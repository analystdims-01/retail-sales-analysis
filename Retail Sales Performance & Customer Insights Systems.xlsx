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4854D7-5FB2-4F18-9523-F548973FE9E2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Sales" sheetId="1" state="hidden" r:id="rId1"/>
    <sheet name="Customers" sheetId="2" state="hidden" r:id="rId2"/>
    <sheet name="Sales (2)" sheetId="6" state="hidden" r:id="rId3"/>
    <sheet name="Products (2)" sheetId="5" state="hidden" r:id="rId4"/>
    <sheet name="Products" sheetId="3" r:id="rId5"/>
    <sheet name="Sheet2" sheetId="8" r:id="rId6"/>
    <sheet name="combined_tbl" sheetId="4" r:id="rId7"/>
  </sheets>
  <definedNames>
    <definedName name="_xlcn.WorksheetConnection_combined_tblI1AB5011" hidden="1">combined_tbl!$H$1:$AB$500</definedName>
    <definedName name="_xlcn.WorksheetConnection_RetailSalesPerformanceCustomerInsightsSystems.xlsxSales1" hidden="1">Sales[]</definedName>
    <definedName name="_xlcn.WorksheetConnection_RetailSalesPerformanceCustomerInsightsSystems.xlsxTable71" hidden="1">Table7[]</definedName>
    <definedName name="ExternalData_2" localSheetId="3" hidden="1">'Products (2)'!$A$1:$E$101</definedName>
    <definedName name="ExternalData_3" localSheetId="2" hidden="1">'Sales (2)'!$A$1:$I$801</definedName>
  </definedNames>
  <calcPr calcId="191029" calcMode="manual"/>
  <pivotCaches>
    <pivotCache cacheId="1" r:id="rId8"/>
  </pivotCaches>
  <fileRecoveryPr repairLoad="1"/>
  <extLst>
    <ext xmlns:x15="http://schemas.microsoft.com/office/spreadsheetml/2010/11/main" uri="{FCE2AD5D-F65C-4FA6-A056-5C36A1767C68}">
      <x15:dataModel>
        <x15:modelTables>
          <x15:modelTable id="Range" name="Range" connection="WorksheetConnection_combined_tbl!$I$1:$AB$501"/>
          <x15:modelTable id="Table7" name="Table7" connection="WorksheetConnection_Retail Sales Performance &amp; Customer Insights Systems.xlsx!Table7"/>
          <x15:modelTable id="Sales" name="Sales" connection="WorksheetConnection_Retail Sales Performance &amp; Customer Insights Systems.xlsx!Sales"/>
        </x15:modelTables>
        <x15:modelRelationships>
          <x15:modelRelationship fromTable="Range" fromColumn="Sales.customer_id" toTable="Table7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7" i="4" l="1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2" i="4"/>
  <c r="AJ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1" i="4"/>
  <c r="AF1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2" i="4"/>
  <c r="AI2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E500" i="4"/>
  <c r="E499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2" i="4"/>
  <c r="Z3" i="4"/>
  <c r="Z4" i="4"/>
  <c r="Y4" i="4" s="1"/>
  <c r="AA4" i="4" s="1"/>
  <c r="Z5" i="4"/>
  <c r="Y5" i="4" s="1"/>
  <c r="AA5" i="4" s="1"/>
  <c r="Z6" i="4"/>
  <c r="Y6" i="4" s="1"/>
  <c r="AA6" i="4" s="1"/>
  <c r="Z7" i="4"/>
  <c r="AB7" i="4" s="1"/>
  <c r="Z8" i="4"/>
  <c r="Z9" i="4"/>
  <c r="Y9" i="4" s="1"/>
  <c r="AA9" i="4" s="1"/>
  <c r="Z10" i="4"/>
  <c r="Z11" i="4"/>
  <c r="Z12" i="4"/>
  <c r="Z13" i="4"/>
  <c r="Y13" i="4" s="1"/>
  <c r="AA13" i="4" s="1"/>
  <c r="Z14" i="4"/>
  <c r="Z15" i="4"/>
  <c r="AB15" i="4" s="1"/>
  <c r="Z16" i="4"/>
  <c r="Z17" i="4"/>
  <c r="Y17" i="4" s="1"/>
  <c r="AA17" i="4" s="1"/>
  <c r="Z18" i="4"/>
  <c r="Y18" i="4" s="1"/>
  <c r="AA18" i="4" s="1"/>
  <c r="Z19" i="4"/>
  <c r="Z20" i="4"/>
  <c r="Y20" i="4" s="1"/>
  <c r="AA20" i="4" s="1"/>
  <c r="Z21" i="4"/>
  <c r="Y21" i="4" s="1"/>
  <c r="AA21" i="4" s="1"/>
  <c r="Z22" i="4"/>
  <c r="Z23" i="4"/>
  <c r="Z24" i="4"/>
  <c r="AB24" i="4" s="1"/>
  <c r="Z25" i="4"/>
  <c r="Z26" i="4"/>
  <c r="AB26" i="4" s="1"/>
  <c r="Z27" i="4"/>
  <c r="Z28" i="4"/>
  <c r="Z29" i="4"/>
  <c r="Y29" i="4" s="1"/>
  <c r="AA29" i="4" s="1"/>
  <c r="Z30" i="4"/>
  <c r="Z31" i="4"/>
  <c r="Z32" i="4"/>
  <c r="Z33" i="4"/>
  <c r="Y33" i="4" s="1"/>
  <c r="AA33" i="4" s="1"/>
  <c r="Z34" i="4"/>
  <c r="Z35" i="4"/>
  <c r="Z36" i="4"/>
  <c r="Z37" i="4"/>
  <c r="Y37" i="4" s="1"/>
  <c r="AA37" i="4" s="1"/>
  <c r="Z38" i="4"/>
  <c r="Y38" i="4" s="1"/>
  <c r="AA38" i="4" s="1"/>
  <c r="Z39" i="4"/>
  <c r="AB39" i="4" s="1"/>
  <c r="Z40" i="4"/>
  <c r="AB40" i="4" s="1"/>
  <c r="Z41" i="4"/>
  <c r="Z42" i="4"/>
  <c r="Z43" i="4"/>
  <c r="Z44" i="4"/>
  <c r="Z45" i="4"/>
  <c r="Y45" i="4" s="1"/>
  <c r="AA45" i="4" s="1"/>
  <c r="Z46" i="4"/>
  <c r="Z47" i="4"/>
  <c r="Z48" i="4"/>
  <c r="Z49" i="4"/>
  <c r="Y49" i="4" s="1"/>
  <c r="AA49" i="4" s="1"/>
  <c r="Z50" i="4"/>
  <c r="Y50" i="4" s="1"/>
  <c r="AA50" i="4" s="1"/>
  <c r="Z51" i="4"/>
  <c r="Z52" i="4"/>
  <c r="Z53" i="4"/>
  <c r="Y53" i="4" s="1"/>
  <c r="AA53" i="4" s="1"/>
  <c r="Z54" i="4"/>
  <c r="Z55" i="4"/>
  <c r="Z56" i="4"/>
  <c r="AB56" i="4" s="1"/>
  <c r="Z57" i="4"/>
  <c r="Z58" i="4"/>
  <c r="Z59" i="4"/>
  <c r="Z60" i="4"/>
  <c r="Z61" i="4"/>
  <c r="Y61" i="4" s="1"/>
  <c r="AA61" i="4" s="1"/>
  <c r="Z62" i="4"/>
  <c r="AB62" i="4" s="1"/>
  <c r="Z63" i="4"/>
  <c r="Z64" i="4"/>
  <c r="Z65" i="4"/>
  <c r="Y65" i="4" s="1"/>
  <c r="AA65" i="4" s="1"/>
  <c r="Z66" i="4"/>
  <c r="AB66" i="4" s="1"/>
  <c r="Z67" i="4"/>
  <c r="Y67" i="4" s="1"/>
  <c r="AA67" i="4" s="1"/>
  <c r="Z68" i="4"/>
  <c r="AB68" i="4" s="1"/>
  <c r="Z69" i="4"/>
  <c r="Y69" i="4" s="1"/>
  <c r="AA69" i="4" s="1"/>
  <c r="Z70" i="4"/>
  <c r="Y70" i="4" s="1"/>
  <c r="AA70" i="4" s="1"/>
  <c r="Z71" i="4"/>
  <c r="Z72" i="4"/>
  <c r="Z73" i="4"/>
  <c r="Y73" i="4" s="1"/>
  <c r="AA73" i="4" s="1"/>
  <c r="Z74" i="4"/>
  <c r="Z75" i="4"/>
  <c r="Z76" i="4"/>
  <c r="AB76" i="4" s="1"/>
  <c r="Z77" i="4"/>
  <c r="Y77" i="4" s="1"/>
  <c r="AA77" i="4" s="1"/>
  <c r="Z78" i="4"/>
  <c r="Z79" i="4"/>
  <c r="AB79" i="4" s="1"/>
  <c r="Z80" i="4"/>
  <c r="AB80" i="4" s="1"/>
  <c r="Z81" i="4"/>
  <c r="Y81" i="4" s="1"/>
  <c r="AA81" i="4" s="1"/>
  <c r="Z82" i="4"/>
  <c r="Z83" i="4"/>
  <c r="Z84" i="4"/>
  <c r="Z85" i="4"/>
  <c r="Y85" i="4" s="1"/>
  <c r="AA85" i="4" s="1"/>
  <c r="Z86" i="4"/>
  <c r="Z87" i="4"/>
  <c r="Z88" i="4"/>
  <c r="Z89" i="4"/>
  <c r="Y89" i="4" s="1"/>
  <c r="AA89" i="4" s="1"/>
  <c r="Z90" i="4"/>
  <c r="Z91" i="4"/>
  <c r="Y91" i="4" s="1"/>
  <c r="AA91" i="4" s="1"/>
  <c r="Z92" i="4"/>
  <c r="Y92" i="4" s="1"/>
  <c r="AA92" i="4" s="1"/>
  <c r="Z93" i="4"/>
  <c r="Y93" i="4" s="1"/>
  <c r="AA93" i="4" s="1"/>
  <c r="Z94" i="4"/>
  <c r="Z95" i="4"/>
  <c r="Z96" i="4"/>
  <c r="Z97" i="4"/>
  <c r="AB97" i="4" s="1"/>
  <c r="Z98" i="4"/>
  <c r="AB98" i="4" s="1"/>
  <c r="Z99" i="4"/>
  <c r="Z100" i="4"/>
  <c r="Z101" i="4"/>
  <c r="Y101" i="4" s="1"/>
  <c r="AA101" i="4" s="1"/>
  <c r="Z102" i="4"/>
  <c r="Y102" i="4" s="1"/>
  <c r="AA102" i="4" s="1"/>
  <c r="Z103" i="4"/>
  <c r="AB103" i="4" s="1"/>
  <c r="Z104" i="4"/>
  <c r="Z105" i="4"/>
  <c r="Y105" i="4" s="1"/>
  <c r="AA105" i="4" s="1"/>
  <c r="Z106" i="4"/>
  <c r="Z107" i="4"/>
  <c r="Z108" i="4"/>
  <c r="Y108" i="4" s="1"/>
  <c r="AA108" i="4" s="1"/>
  <c r="Z109" i="4"/>
  <c r="Y109" i="4" s="1"/>
  <c r="AA109" i="4" s="1"/>
  <c r="Z110" i="4"/>
  <c r="Z111" i="4"/>
  <c r="Z112" i="4"/>
  <c r="Z113" i="4"/>
  <c r="Z114" i="4"/>
  <c r="Z115" i="4"/>
  <c r="Y115" i="4" s="1"/>
  <c r="AA115" i="4" s="1"/>
  <c r="Z116" i="4"/>
  <c r="Y116" i="4" s="1"/>
  <c r="AA116" i="4" s="1"/>
  <c r="Z117" i="4"/>
  <c r="Y117" i="4" s="1"/>
  <c r="AA117" i="4" s="1"/>
  <c r="Z118" i="4"/>
  <c r="AB118" i="4" s="1"/>
  <c r="Z119" i="4"/>
  <c r="Z120" i="4"/>
  <c r="AB120" i="4" s="1"/>
  <c r="Z121" i="4"/>
  <c r="Y121" i="4" s="1"/>
  <c r="AA121" i="4" s="1"/>
  <c r="Z122" i="4"/>
  <c r="Z123" i="4"/>
  <c r="Z124" i="4"/>
  <c r="AB124" i="4" s="1"/>
  <c r="Z125" i="4"/>
  <c r="Y125" i="4" s="1"/>
  <c r="AA125" i="4" s="1"/>
  <c r="Z126" i="4"/>
  <c r="Z127" i="4"/>
  <c r="Z128" i="4"/>
  <c r="Z129" i="4"/>
  <c r="Z130" i="4"/>
  <c r="Z131" i="4"/>
  <c r="AB131" i="4" s="1"/>
  <c r="Z132" i="4"/>
  <c r="Z133" i="4"/>
  <c r="Y133" i="4" s="1"/>
  <c r="AA133" i="4" s="1"/>
  <c r="Z134" i="4"/>
  <c r="AB134" i="4" s="1"/>
  <c r="Z135" i="4"/>
  <c r="AB135" i="4" s="1"/>
  <c r="Z136" i="4"/>
  <c r="Z137" i="4"/>
  <c r="Y137" i="4" s="1"/>
  <c r="AA137" i="4" s="1"/>
  <c r="Z138" i="4"/>
  <c r="Z139" i="4"/>
  <c r="Z140" i="4"/>
  <c r="Z141" i="4"/>
  <c r="Y141" i="4" s="1"/>
  <c r="AA141" i="4" s="1"/>
  <c r="Z142" i="4"/>
  <c r="Z143" i="4"/>
  <c r="Z144" i="4"/>
  <c r="AB144" i="4" s="1"/>
  <c r="Z145" i="4"/>
  <c r="Y145" i="4" s="1"/>
  <c r="AA145" i="4" s="1"/>
  <c r="Z146" i="4"/>
  <c r="Y146" i="4" s="1"/>
  <c r="AA146" i="4" s="1"/>
  <c r="Z147" i="4"/>
  <c r="Z148" i="4"/>
  <c r="Z149" i="4"/>
  <c r="Y149" i="4" s="1"/>
  <c r="AA149" i="4" s="1"/>
  <c r="Z150" i="4"/>
  <c r="AB150" i="4" s="1"/>
  <c r="Z151" i="4"/>
  <c r="Z152" i="4"/>
  <c r="Z153" i="4"/>
  <c r="AB153" i="4" s="1"/>
  <c r="Z154" i="4"/>
  <c r="Z155" i="4"/>
  <c r="Z156" i="4"/>
  <c r="Z157" i="4"/>
  <c r="Y157" i="4" s="1"/>
  <c r="AA157" i="4" s="1"/>
  <c r="Z158" i="4"/>
  <c r="Z159" i="4"/>
  <c r="Z160" i="4"/>
  <c r="AB160" i="4" s="1"/>
  <c r="Z161" i="4"/>
  <c r="Y161" i="4" s="1"/>
  <c r="AA161" i="4" s="1"/>
  <c r="Z162" i="4"/>
  <c r="AB162" i="4" s="1"/>
  <c r="Z163" i="4"/>
  <c r="Z164" i="4"/>
  <c r="Z165" i="4"/>
  <c r="Y165" i="4" s="1"/>
  <c r="AA165" i="4" s="1"/>
  <c r="Z166" i="4"/>
  <c r="AB166" i="4" s="1"/>
  <c r="Z167" i="4"/>
  <c r="Z168" i="4"/>
  <c r="Z169" i="4"/>
  <c r="Z170" i="4"/>
  <c r="Z171" i="4"/>
  <c r="Z172" i="4"/>
  <c r="AB172" i="4" s="1"/>
  <c r="Z173" i="4"/>
  <c r="Y173" i="4" s="1"/>
  <c r="AA173" i="4" s="1"/>
  <c r="Z174" i="4"/>
  <c r="Z175" i="4"/>
  <c r="AB175" i="4" s="1"/>
  <c r="Z176" i="4"/>
  <c r="AB176" i="4" s="1"/>
  <c r="Z177" i="4"/>
  <c r="Y177" i="4" s="1"/>
  <c r="AA177" i="4" s="1"/>
  <c r="Z178" i="4"/>
  <c r="Y178" i="4" s="1"/>
  <c r="AA178" i="4" s="1"/>
  <c r="Z179" i="4"/>
  <c r="Y179" i="4" s="1"/>
  <c r="AA179" i="4" s="1"/>
  <c r="Z180" i="4"/>
  <c r="AB180" i="4" s="1"/>
  <c r="Z181" i="4"/>
  <c r="Y181" i="4" s="1"/>
  <c r="AA181" i="4" s="1"/>
  <c r="Z182" i="4"/>
  <c r="Z183" i="4"/>
  <c r="Z184" i="4"/>
  <c r="Z185" i="4"/>
  <c r="Z186" i="4"/>
  <c r="AB186" i="4" s="1"/>
  <c r="Z187" i="4"/>
  <c r="Z188" i="4"/>
  <c r="Z189" i="4"/>
  <c r="Y189" i="4" s="1"/>
  <c r="AA189" i="4" s="1"/>
  <c r="Z190" i="4"/>
  <c r="AB190" i="4" s="1"/>
  <c r="Z191" i="4"/>
  <c r="Z192" i="4"/>
  <c r="AB192" i="4" s="1"/>
  <c r="Z193" i="4"/>
  <c r="Y193" i="4" s="1"/>
  <c r="AA193" i="4" s="1"/>
  <c r="Z194" i="4"/>
  <c r="Z195" i="4"/>
  <c r="Z196" i="4"/>
  <c r="Z197" i="4"/>
  <c r="Y197" i="4" s="1"/>
  <c r="AA197" i="4" s="1"/>
  <c r="Z198" i="4"/>
  <c r="Y198" i="4" s="1"/>
  <c r="AA198" i="4" s="1"/>
  <c r="Z199" i="4"/>
  <c r="Z200" i="4"/>
  <c r="AB200" i="4" s="1"/>
  <c r="Z201" i="4"/>
  <c r="Y201" i="4" s="1"/>
  <c r="AA201" i="4" s="1"/>
  <c r="Z202" i="4"/>
  <c r="Z203" i="4"/>
  <c r="Y203" i="4" s="1"/>
  <c r="AA203" i="4" s="1"/>
  <c r="Z204" i="4"/>
  <c r="Z205" i="4"/>
  <c r="Y205" i="4" s="1"/>
  <c r="AA205" i="4" s="1"/>
  <c r="Z206" i="4"/>
  <c r="Z207" i="4"/>
  <c r="Z208" i="4"/>
  <c r="Z209" i="4"/>
  <c r="Y209" i="4" s="1"/>
  <c r="AA209" i="4" s="1"/>
  <c r="Z210" i="4"/>
  <c r="Z211" i="4"/>
  <c r="Z212" i="4"/>
  <c r="Z213" i="4"/>
  <c r="Y213" i="4" s="1"/>
  <c r="AA213" i="4" s="1"/>
  <c r="Z214" i="4"/>
  <c r="Z215" i="4"/>
  <c r="Z216" i="4"/>
  <c r="Z217" i="4"/>
  <c r="Y217" i="4" s="1"/>
  <c r="AA217" i="4" s="1"/>
  <c r="Z218" i="4"/>
  <c r="Z219" i="4"/>
  <c r="Y219" i="4" s="1"/>
  <c r="AA219" i="4" s="1"/>
  <c r="Z220" i="4"/>
  <c r="Y220" i="4" s="1"/>
  <c r="AA220" i="4" s="1"/>
  <c r="Z221" i="4"/>
  <c r="Y221" i="4" s="1"/>
  <c r="AA221" i="4" s="1"/>
  <c r="Z222" i="4"/>
  <c r="AB222" i="4" s="1"/>
  <c r="Z223" i="4"/>
  <c r="Z224" i="4"/>
  <c r="AB224" i="4" s="1"/>
  <c r="Z225" i="4"/>
  <c r="Z226" i="4"/>
  <c r="Z227" i="4"/>
  <c r="AB227" i="4" s="1"/>
  <c r="Z228" i="4"/>
  <c r="AB228" i="4" s="1"/>
  <c r="Z229" i="4"/>
  <c r="Y229" i="4" s="1"/>
  <c r="AA229" i="4" s="1"/>
  <c r="Z230" i="4"/>
  <c r="Y230" i="4" s="1"/>
  <c r="AA230" i="4" s="1"/>
  <c r="Z231" i="4"/>
  <c r="Z232" i="4"/>
  <c r="Z233" i="4"/>
  <c r="Y233" i="4" s="1"/>
  <c r="AA233" i="4" s="1"/>
  <c r="Z234" i="4"/>
  <c r="Z235" i="4"/>
  <c r="Z236" i="4"/>
  <c r="Y236" i="4" s="1"/>
  <c r="AA236" i="4" s="1"/>
  <c r="Z237" i="4"/>
  <c r="Y237" i="4" s="1"/>
  <c r="AA237" i="4" s="1"/>
  <c r="Z238" i="4"/>
  <c r="AB238" i="4" s="1"/>
  <c r="Z239" i="4"/>
  <c r="Z240" i="4"/>
  <c r="Z241" i="4"/>
  <c r="AB241" i="4" s="1"/>
  <c r="Z242" i="4"/>
  <c r="Z243" i="4"/>
  <c r="Y243" i="4" s="1"/>
  <c r="AA243" i="4" s="1"/>
  <c r="Z244" i="4"/>
  <c r="Y244" i="4" s="1"/>
  <c r="AA244" i="4" s="1"/>
  <c r="Z245" i="4"/>
  <c r="Y245" i="4" s="1"/>
  <c r="AA245" i="4" s="1"/>
  <c r="Z246" i="4"/>
  <c r="Z247" i="4"/>
  <c r="Z248" i="4"/>
  <c r="AB248" i="4" s="1"/>
  <c r="Z249" i="4"/>
  <c r="Y249" i="4" s="1"/>
  <c r="AA249" i="4" s="1"/>
  <c r="Z250" i="4"/>
  <c r="AB250" i="4" s="1"/>
  <c r="Z251" i="4"/>
  <c r="Z252" i="4"/>
  <c r="Z253" i="4"/>
  <c r="Y253" i="4" s="1"/>
  <c r="AA253" i="4" s="1"/>
  <c r="Z254" i="4"/>
  <c r="AB254" i="4" s="1"/>
  <c r="Z255" i="4"/>
  <c r="Z256" i="4"/>
  <c r="AB256" i="4" s="1"/>
  <c r="Z257" i="4"/>
  <c r="Z258" i="4"/>
  <c r="Z259" i="4"/>
  <c r="AB259" i="4" s="1"/>
  <c r="Z260" i="4"/>
  <c r="AB260" i="4" s="1"/>
  <c r="Z261" i="4"/>
  <c r="Y261" i="4" s="1"/>
  <c r="AA261" i="4" s="1"/>
  <c r="Z262" i="4"/>
  <c r="Y262" i="4" s="1"/>
  <c r="AA262" i="4" s="1"/>
  <c r="Z263" i="4"/>
  <c r="Z264" i="4"/>
  <c r="Z265" i="4"/>
  <c r="Y265" i="4" s="1"/>
  <c r="AA265" i="4" s="1"/>
  <c r="Z266" i="4"/>
  <c r="Z267" i="4"/>
  <c r="Z268" i="4"/>
  <c r="Z269" i="4"/>
  <c r="Y269" i="4" s="1"/>
  <c r="AA269" i="4" s="1"/>
  <c r="Z270" i="4"/>
  <c r="Z271" i="4"/>
  <c r="Z272" i="4"/>
  <c r="AB272" i="4" s="1"/>
  <c r="Z273" i="4"/>
  <c r="Y273" i="4" s="1"/>
  <c r="AA273" i="4" s="1"/>
  <c r="Z274" i="4"/>
  <c r="Y274" i="4" s="1"/>
  <c r="AA274" i="4" s="1"/>
  <c r="Z275" i="4"/>
  <c r="AB275" i="4" s="1"/>
  <c r="Z276" i="4"/>
  <c r="Z277" i="4"/>
  <c r="Y277" i="4" s="1"/>
  <c r="AA277" i="4" s="1"/>
  <c r="Z278" i="4"/>
  <c r="Z279" i="4"/>
  <c r="Z280" i="4"/>
  <c r="Z281" i="4"/>
  <c r="AB281" i="4" s="1"/>
  <c r="Z282" i="4"/>
  <c r="Z283" i="4"/>
  <c r="Z284" i="4"/>
  <c r="Z285" i="4"/>
  <c r="Y285" i="4" s="1"/>
  <c r="AA285" i="4" s="1"/>
  <c r="Z286" i="4"/>
  <c r="Z287" i="4"/>
  <c r="Z288" i="4"/>
  <c r="Z289" i="4"/>
  <c r="Y289" i="4" s="1"/>
  <c r="AA289" i="4" s="1"/>
  <c r="Z290" i="4"/>
  <c r="Z291" i="4"/>
  <c r="Y291" i="4" s="1"/>
  <c r="AA291" i="4" s="1"/>
  <c r="Z292" i="4"/>
  <c r="Z293" i="4"/>
  <c r="Y293" i="4" s="1"/>
  <c r="AA293" i="4" s="1"/>
  <c r="Z294" i="4"/>
  <c r="Y294" i="4" s="1"/>
  <c r="AA294" i="4" s="1"/>
  <c r="Z295" i="4"/>
  <c r="Z296" i="4"/>
  <c r="AB296" i="4" s="1"/>
  <c r="Z297" i="4"/>
  <c r="AB297" i="4" s="1"/>
  <c r="Z298" i="4"/>
  <c r="Z299" i="4"/>
  <c r="Z300" i="4"/>
  <c r="Z301" i="4"/>
  <c r="Y301" i="4" s="1"/>
  <c r="AA301" i="4" s="1"/>
  <c r="Z302" i="4"/>
  <c r="Z303" i="4"/>
  <c r="Z304" i="4"/>
  <c r="AB304" i="4" s="1"/>
  <c r="Z305" i="4"/>
  <c r="Y305" i="4" s="1"/>
  <c r="AA305" i="4" s="1"/>
  <c r="Z306" i="4"/>
  <c r="Y306" i="4" s="1"/>
  <c r="AA306" i="4" s="1"/>
  <c r="Z307" i="4"/>
  <c r="Y307" i="4" s="1"/>
  <c r="AA307" i="4" s="1"/>
  <c r="Z308" i="4"/>
  <c r="Z309" i="4"/>
  <c r="Y309" i="4" s="1"/>
  <c r="AA309" i="4" s="1"/>
  <c r="Z310" i="4"/>
  <c r="Z311" i="4"/>
  <c r="Z312" i="4"/>
  <c r="AB312" i="4" s="1"/>
  <c r="Z313" i="4"/>
  <c r="Z314" i="4"/>
  <c r="Z315" i="4"/>
  <c r="Y315" i="4" s="1"/>
  <c r="AA315" i="4" s="1"/>
  <c r="Z316" i="4"/>
  <c r="Z317" i="4"/>
  <c r="AB317" i="4" s="1"/>
  <c r="Z318" i="4"/>
  <c r="Z319" i="4"/>
  <c r="Z320" i="4"/>
  <c r="Z321" i="4"/>
  <c r="Y321" i="4" s="1"/>
  <c r="AA321" i="4" s="1"/>
  <c r="Z322" i="4"/>
  <c r="Z323" i="4"/>
  <c r="Z324" i="4"/>
  <c r="Z325" i="4"/>
  <c r="AB325" i="4" s="1"/>
  <c r="Z326" i="4"/>
  <c r="AB326" i="4" s="1"/>
  <c r="Z327" i="4"/>
  <c r="Z328" i="4"/>
  <c r="Z329" i="4"/>
  <c r="Y329" i="4" s="1"/>
  <c r="AA329" i="4" s="1"/>
  <c r="Z330" i="4"/>
  <c r="AB330" i="4" s="1"/>
  <c r="Z331" i="4"/>
  <c r="Y331" i="4" s="1"/>
  <c r="AA331" i="4" s="1"/>
  <c r="Z332" i="4"/>
  <c r="Y332" i="4" s="1"/>
  <c r="AA332" i="4" s="1"/>
  <c r="Z333" i="4"/>
  <c r="AB333" i="4" s="1"/>
  <c r="Z334" i="4"/>
  <c r="Z335" i="4"/>
  <c r="Z336" i="4"/>
  <c r="Z337" i="4"/>
  <c r="Y337" i="4" s="1"/>
  <c r="AA337" i="4" s="1"/>
  <c r="Z338" i="4"/>
  <c r="Z339" i="4"/>
  <c r="Z340" i="4"/>
  <c r="Z341" i="4"/>
  <c r="Y341" i="4" s="1"/>
  <c r="AA341" i="4" s="1"/>
  <c r="Z342" i="4"/>
  <c r="AB342" i="4" s="1"/>
  <c r="Z343" i="4"/>
  <c r="Z344" i="4"/>
  <c r="AB344" i="4" s="1"/>
  <c r="Z345" i="4"/>
  <c r="Y345" i="4" s="1"/>
  <c r="AA345" i="4" s="1"/>
  <c r="Z346" i="4"/>
  <c r="Z347" i="4"/>
  <c r="Y347" i="4" s="1"/>
  <c r="AA347" i="4" s="1"/>
  <c r="Z348" i="4"/>
  <c r="Y348" i="4" s="1"/>
  <c r="AA348" i="4" s="1"/>
  <c r="Z349" i="4"/>
  <c r="Y349" i="4" s="1"/>
  <c r="AA349" i="4" s="1"/>
  <c r="Z350" i="4"/>
  <c r="AB350" i="4" s="1"/>
  <c r="Z351" i="4"/>
  <c r="AB351" i="4" s="1"/>
  <c r="Z352" i="4"/>
  <c r="Z353" i="4"/>
  <c r="Z354" i="4"/>
  <c r="Z355" i="4"/>
  <c r="Z356" i="4"/>
  <c r="Z357" i="4"/>
  <c r="Y357" i="4" s="1"/>
  <c r="AA357" i="4" s="1"/>
  <c r="Z358" i="4"/>
  <c r="Y358" i="4" s="1"/>
  <c r="AA358" i="4" s="1"/>
  <c r="Z359" i="4"/>
  <c r="Z360" i="4"/>
  <c r="AB360" i="4" s="1"/>
  <c r="Z361" i="4"/>
  <c r="Y361" i="4" s="1"/>
  <c r="AA361" i="4" s="1"/>
  <c r="Z362" i="4"/>
  <c r="AB362" i="4" s="1"/>
  <c r="Z363" i="4"/>
  <c r="Z364" i="4"/>
  <c r="Z365" i="4"/>
  <c r="Y365" i="4" s="1"/>
  <c r="AA365" i="4" s="1"/>
  <c r="Z366" i="4"/>
  <c r="Z367" i="4"/>
  <c r="AB367" i="4" s="1"/>
  <c r="Z368" i="4"/>
  <c r="Z369" i="4"/>
  <c r="AB369" i="4" s="1"/>
  <c r="Z370" i="4"/>
  <c r="Z371" i="4"/>
  <c r="Y371" i="4" s="1"/>
  <c r="AA371" i="4" s="1"/>
  <c r="Z372" i="4"/>
  <c r="Y372" i="4" s="1"/>
  <c r="AA372" i="4" s="1"/>
  <c r="Z373" i="4"/>
  <c r="Y373" i="4" s="1"/>
  <c r="AA373" i="4" s="1"/>
  <c r="Z374" i="4"/>
  <c r="Z375" i="4"/>
  <c r="Z376" i="4"/>
  <c r="AB376" i="4" s="1"/>
  <c r="Z377" i="4"/>
  <c r="Y377" i="4" s="1"/>
  <c r="AA377" i="4" s="1"/>
  <c r="Z378" i="4"/>
  <c r="AB378" i="4" s="1"/>
  <c r="Z379" i="4"/>
  <c r="Z380" i="4"/>
  <c r="Z381" i="4"/>
  <c r="AB381" i="4" s="1"/>
  <c r="Z382" i="4"/>
  <c r="Z383" i="4"/>
  <c r="Z384" i="4"/>
  <c r="Z385" i="4"/>
  <c r="Z386" i="4"/>
  <c r="Z387" i="4"/>
  <c r="Z388" i="4"/>
  <c r="Z389" i="4"/>
  <c r="Y389" i="4" s="1"/>
  <c r="AA389" i="4" s="1"/>
  <c r="Z390" i="4"/>
  <c r="Y390" i="4" s="1"/>
  <c r="AA390" i="4" s="1"/>
  <c r="Z391" i="4"/>
  <c r="Z392" i="4"/>
  <c r="Z393" i="4"/>
  <c r="Y393" i="4" s="1"/>
  <c r="AA393" i="4" s="1"/>
  <c r="Z394" i="4"/>
  <c r="AB394" i="4" s="1"/>
  <c r="Z395" i="4"/>
  <c r="Z396" i="4"/>
  <c r="Z397" i="4"/>
  <c r="Y397" i="4" s="1"/>
  <c r="AA397" i="4" s="1"/>
  <c r="Z398" i="4"/>
  <c r="AB398" i="4" s="1"/>
  <c r="Z399" i="4"/>
  <c r="AB399" i="4" s="1"/>
  <c r="Z400" i="4"/>
  <c r="Z401" i="4"/>
  <c r="Y401" i="4" s="1"/>
  <c r="AA401" i="4" s="1"/>
  <c r="Z402" i="4"/>
  <c r="Y402" i="4" s="1"/>
  <c r="AA402" i="4" s="1"/>
  <c r="Z403" i="4"/>
  <c r="AB403" i="4" s="1"/>
  <c r="Z404" i="4"/>
  <c r="Z405" i="4"/>
  <c r="Y405" i="4" s="1"/>
  <c r="AA405" i="4" s="1"/>
  <c r="Z406" i="4"/>
  <c r="AB406" i="4" s="1"/>
  <c r="Z407" i="4"/>
  <c r="Z408" i="4"/>
  <c r="Z409" i="4"/>
  <c r="Z410" i="4"/>
  <c r="Z411" i="4"/>
  <c r="Z412" i="4"/>
  <c r="Y412" i="4" s="1"/>
  <c r="AA412" i="4" s="1"/>
  <c r="Z413" i="4"/>
  <c r="AB413" i="4" s="1"/>
  <c r="Z414" i="4"/>
  <c r="Z415" i="4"/>
  <c r="AB415" i="4" s="1"/>
  <c r="Z416" i="4"/>
  <c r="Z417" i="4"/>
  <c r="AB417" i="4" s="1"/>
  <c r="Z418" i="4"/>
  <c r="Z419" i="4"/>
  <c r="Y419" i="4" s="1"/>
  <c r="AA419" i="4" s="1"/>
  <c r="Z420" i="4"/>
  <c r="Z421" i="4"/>
  <c r="AB421" i="4" s="1"/>
  <c r="Z422" i="4"/>
  <c r="AB422" i="4" s="1"/>
  <c r="Z423" i="4"/>
  <c r="AB423" i="4" s="1"/>
  <c r="Z424" i="4"/>
  <c r="Z425" i="4"/>
  <c r="AB425" i="4" s="1"/>
  <c r="Z426" i="4"/>
  <c r="Z427" i="4"/>
  <c r="Z428" i="4"/>
  <c r="Z429" i="4"/>
  <c r="Y429" i="4" s="1"/>
  <c r="AA429" i="4" s="1"/>
  <c r="Z430" i="4"/>
  <c r="Z431" i="4"/>
  <c r="AB431" i="4" s="1"/>
  <c r="Z432" i="4"/>
  <c r="AB432" i="4" s="1"/>
  <c r="Z433" i="4"/>
  <c r="Y433" i="4" s="1"/>
  <c r="AA433" i="4" s="1"/>
  <c r="Z434" i="4"/>
  <c r="Y434" i="4" s="1"/>
  <c r="AA434" i="4" s="1"/>
  <c r="Z435" i="4"/>
  <c r="Y435" i="4" s="1"/>
  <c r="AA435" i="4" s="1"/>
  <c r="Z436" i="4"/>
  <c r="Z437" i="4"/>
  <c r="AB437" i="4" s="1"/>
  <c r="Z438" i="4"/>
  <c r="Z439" i="4"/>
  <c r="AB439" i="4" s="1"/>
  <c r="Z440" i="4"/>
  <c r="Z441" i="4"/>
  <c r="AB441" i="4" s="1"/>
  <c r="Z442" i="4"/>
  <c r="AB442" i="4" s="1"/>
  <c r="Z443" i="4"/>
  <c r="Z444" i="4"/>
  <c r="Z445" i="4"/>
  <c r="Y445" i="4" s="1"/>
  <c r="AA445" i="4" s="1"/>
  <c r="Z446" i="4"/>
  <c r="Z447" i="4"/>
  <c r="AB447" i="4" s="1"/>
  <c r="Z448" i="4"/>
  <c r="Z449" i="4"/>
  <c r="Y449" i="4" s="1"/>
  <c r="AA449" i="4" s="1"/>
  <c r="Z450" i="4"/>
  <c r="Z451" i="4"/>
  <c r="Y451" i="4" s="1"/>
  <c r="AA451" i="4" s="1"/>
  <c r="Z452" i="4"/>
  <c r="Z453" i="4"/>
  <c r="Y453" i="4" s="1"/>
  <c r="AA453" i="4" s="1"/>
  <c r="Z454" i="4"/>
  <c r="Y454" i="4" s="1"/>
  <c r="AA454" i="4" s="1"/>
  <c r="Z455" i="4"/>
  <c r="Z456" i="4"/>
  <c r="Z457" i="4"/>
  <c r="Y457" i="4" s="1"/>
  <c r="AA457" i="4" s="1"/>
  <c r="Z458" i="4"/>
  <c r="Z459" i="4"/>
  <c r="Z460" i="4"/>
  <c r="Z461" i="4"/>
  <c r="Y461" i="4" s="1"/>
  <c r="AA461" i="4" s="1"/>
  <c r="Z462" i="4"/>
  <c r="Z463" i="4"/>
  <c r="AB463" i="4" s="1"/>
  <c r="Z464" i="4"/>
  <c r="AB464" i="4" s="1"/>
  <c r="Z465" i="4"/>
  <c r="AB465" i="4" s="1"/>
  <c r="Z466" i="4"/>
  <c r="Z467" i="4"/>
  <c r="Z468" i="4"/>
  <c r="Y468" i="4" s="1"/>
  <c r="AA468" i="4" s="1"/>
  <c r="Z469" i="4"/>
  <c r="AB469" i="4" s="1"/>
  <c r="Z470" i="4"/>
  <c r="Z471" i="4"/>
  <c r="AB471" i="4" s="1"/>
  <c r="Z472" i="4"/>
  <c r="Z473" i="4"/>
  <c r="Y473" i="4" s="1"/>
  <c r="AA473" i="4" s="1"/>
  <c r="Z474" i="4"/>
  <c r="AB474" i="4" s="1"/>
  <c r="Z475" i="4"/>
  <c r="Y475" i="4" s="1"/>
  <c r="AA475" i="4" s="1"/>
  <c r="Z476" i="4"/>
  <c r="Z477" i="4"/>
  <c r="Y477" i="4" s="1"/>
  <c r="AA477" i="4" s="1"/>
  <c r="Z478" i="4"/>
  <c r="Z479" i="4"/>
  <c r="AB479" i="4" s="1"/>
  <c r="Z480" i="4"/>
  <c r="Z481" i="4"/>
  <c r="Z482" i="4"/>
  <c r="Z483" i="4"/>
  <c r="Z484" i="4"/>
  <c r="Z485" i="4"/>
  <c r="Y485" i="4" s="1"/>
  <c r="AA485" i="4" s="1"/>
  <c r="Z486" i="4"/>
  <c r="Y486" i="4" s="1"/>
  <c r="AA486" i="4" s="1"/>
  <c r="Z487" i="4"/>
  <c r="AB487" i="4" s="1"/>
  <c r="Z488" i="4"/>
  <c r="Z489" i="4"/>
  <c r="Y489" i="4" s="1"/>
  <c r="AA489" i="4" s="1"/>
  <c r="Z490" i="4"/>
  <c r="Z491" i="4"/>
  <c r="Y491" i="4" s="1"/>
  <c r="AA491" i="4" s="1"/>
  <c r="Z492" i="4"/>
  <c r="Y492" i="4" s="1"/>
  <c r="AA492" i="4" s="1"/>
  <c r="Z493" i="4"/>
  <c r="AB493" i="4" s="1"/>
  <c r="Z494" i="4"/>
  <c r="Z495" i="4"/>
  <c r="Z496" i="4"/>
  <c r="AB496" i="4" s="1"/>
  <c r="Z497" i="4"/>
  <c r="Z498" i="4"/>
  <c r="Y498" i="4" s="1"/>
  <c r="AA498" i="4" s="1"/>
  <c r="Z499" i="4"/>
  <c r="Z500" i="4"/>
  <c r="Z2" i="4"/>
  <c r="Y2" i="4" s="1"/>
  <c r="AA2" i="4" s="1"/>
  <c r="F221" i="4" a="1"/>
  <c r="F221" i="4" s="1"/>
  <c r="F222" i="4" a="1"/>
  <c r="F222" i="4" s="1"/>
  <c r="F223" i="4" a="1"/>
  <c r="F223" i="4" s="1"/>
  <c r="F224" i="4" a="1"/>
  <c r="F224" i="4" s="1"/>
  <c r="F225" i="4" a="1"/>
  <c r="F225" i="4" s="1"/>
  <c r="F226" i="4" a="1"/>
  <c r="F226" i="4" s="1"/>
  <c r="F227" i="4" a="1"/>
  <c r="F227" i="4" s="1"/>
  <c r="F228" i="4" a="1"/>
  <c r="F228" i="4" s="1"/>
  <c r="F229" i="4" a="1"/>
  <c r="F229" i="4" s="1"/>
  <c r="F230" i="4" a="1"/>
  <c r="F230" i="4" s="1"/>
  <c r="F231" i="4" a="1"/>
  <c r="F231" i="4" s="1"/>
  <c r="F232" i="4" a="1"/>
  <c r="F232" i="4" s="1"/>
  <c r="F233" i="4" a="1"/>
  <c r="F233" i="4" s="1"/>
  <c r="F234" i="4" a="1"/>
  <c r="F234" i="4" s="1"/>
  <c r="F235" i="4" a="1"/>
  <c r="F235" i="4" s="1"/>
  <c r="F236" i="4" a="1"/>
  <c r="F236" i="4" s="1"/>
  <c r="F237" i="4" a="1"/>
  <c r="F237" i="4" s="1"/>
  <c r="F238" i="4" a="1"/>
  <c r="F238" i="4" s="1"/>
  <c r="F239" i="4" a="1"/>
  <c r="F239" i="4" s="1"/>
  <c r="F240" i="4" a="1"/>
  <c r="F240" i="4" s="1"/>
  <c r="F241" i="4" a="1"/>
  <c r="F241" i="4" s="1"/>
  <c r="F242" i="4" a="1"/>
  <c r="F242" i="4" s="1"/>
  <c r="F243" i="4" a="1"/>
  <c r="F243" i="4" s="1"/>
  <c r="F244" i="4" a="1"/>
  <c r="F244" i="4" s="1"/>
  <c r="F245" i="4" a="1"/>
  <c r="F245" i="4" s="1"/>
  <c r="F246" i="4" a="1"/>
  <c r="F246" i="4" s="1"/>
  <c r="F247" i="4" a="1"/>
  <c r="F247" i="4" s="1"/>
  <c r="F248" i="4" a="1"/>
  <c r="F248" i="4" s="1"/>
  <c r="F249" i="4" a="1"/>
  <c r="F249" i="4" s="1"/>
  <c r="F250" i="4" a="1"/>
  <c r="F250" i="4" s="1"/>
  <c r="F251" i="4" a="1"/>
  <c r="F251" i="4" s="1"/>
  <c r="F252" i="4" a="1"/>
  <c r="F252" i="4" s="1"/>
  <c r="F253" i="4" a="1"/>
  <c r="F253" i="4" s="1"/>
  <c r="F254" i="4" a="1"/>
  <c r="F254" i="4" s="1"/>
  <c r="F255" i="4" a="1"/>
  <c r="F255" i="4" s="1"/>
  <c r="F256" i="4" a="1"/>
  <c r="F256" i="4" s="1"/>
  <c r="F257" i="4" a="1"/>
  <c r="F257" i="4" s="1"/>
  <c r="F258" i="4" a="1"/>
  <c r="F258" i="4" s="1"/>
  <c r="F259" i="4" a="1"/>
  <c r="F259" i="4" s="1"/>
  <c r="F260" i="4" a="1"/>
  <c r="F260" i="4" s="1"/>
  <c r="F261" i="4" a="1"/>
  <c r="F261" i="4" s="1"/>
  <c r="F262" i="4" a="1"/>
  <c r="F262" i="4" s="1"/>
  <c r="F263" i="4" a="1"/>
  <c r="F263" i="4" s="1"/>
  <c r="F264" i="4" a="1"/>
  <c r="F264" i="4" s="1"/>
  <c r="F265" i="4" a="1"/>
  <c r="F265" i="4" s="1"/>
  <c r="F266" i="4" a="1"/>
  <c r="F266" i="4" s="1"/>
  <c r="F267" i="4" a="1"/>
  <c r="F267" i="4" s="1"/>
  <c r="F268" i="4" a="1"/>
  <c r="F268" i="4" s="1"/>
  <c r="F269" i="4" a="1"/>
  <c r="F269" i="4" s="1"/>
  <c r="F270" i="4" a="1"/>
  <c r="F270" i="4" s="1"/>
  <c r="F271" i="4" a="1"/>
  <c r="F271" i="4" s="1"/>
  <c r="F272" i="4" a="1"/>
  <c r="F272" i="4" s="1"/>
  <c r="F273" i="4" a="1"/>
  <c r="F273" i="4" s="1"/>
  <c r="F274" i="4" a="1"/>
  <c r="F274" i="4" s="1"/>
  <c r="F275" i="4" a="1"/>
  <c r="F275" i="4" s="1"/>
  <c r="F276" i="4" a="1"/>
  <c r="F276" i="4" s="1"/>
  <c r="F277" i="4" a="1"/>
  <c r="F277" i="4" s="1"/>
  <c r="F278" i="4" a="1"/>
  <c r="F278" i="4" s="1"/>
  <c r="F279" i="4" a="1"/>
  <c r="F279" i="4" s="1"/>
  <c r="F280" i="4" a="1"/>
  <c r="F280" i="4" s="1"/>
  <c r="F281" i="4" a="1"/>
  <c r="F281" i="4" s="1"/>
  <c r="F282" i="4" a="1"/>
  <c r="F282" i="4" s="1"/>
  <c r="F283" i="4" a="1"/>
  <c r="F283" i="4" s="1"/>
  <c r="F284" i="4" a="1"/>
  <c r="F284" i="4" s="1"/>
  <c r="F285" i="4" a="1"/>
  <c r="F285" i="4" s="1"/>
  <c r="F286" i="4" a="1"/>
  <c r="F286" i="4" s="1"/>
  <c r="F287" i="4" a="1"/>
  <c r="F287" i="4" s="1"/>
  <c r="F288" i="4" a="1"/>
  <c r="F288" i="4" s="1"/>
  <c r="F289" i="4" a="1"/>
  <c r="F289" i="4" s="1"/>
  <c r="F290" i="4" a="1"/>
  <c r="F290" i="4" s="1"/>
  <c r="F291" i="4" a="1"/>
  <c r="F291" i="4" s="1"/>
  <c r="F292" i="4" a="1"/>
  <c r="F292" i="4" s="1"/>
  <c r="F293" i="4" a="1"/>
  <c r="F293" i="4" s="1"/>
  <c r="F294" i="4" a="1"/>
  <c r="F294" i="4" s="1"/>
  <c r="F295" i="4" a="1"/>
  <c r="F295" i="4" s="1"/>
  <c r="F296" i="4" a="1"/>
  <c r="F296" i="4" s="1"/>
  <c r="F297" i="4" a="1"/>
  <c r="F297" i="4" s="1"/>
  <c r="F298" i="4" a="1"/>
  <c r="F298" i="4" s="1"/>
  <c r="F299" i="4" a="1"/>
  <c r="F299" i="4" s="1"/>
  <c r="F300" i="4" a="1"/>
  <c r="F300" i="4" s="1"/>
  <c r="F301" i="4" a="1"/>
  <c r="F301" i="4" s="1"/>
  <c r="F302" i="4" a="1"/>
  <c r="F302" i="4" s="1"/>
  <c r="F303" i="4" a="1"/>
  <c r="F303" i="4" s="1"/>
  <c r="F304" i="4" a="1"/>
  <c r="F304" i="4" s="1"/>
  <c r="F305" i="4" a="1"/>
  <c r="F305" i="4" s="1"/>
  <c r="F306" i="4" a="1"/>
  <c r="F306" i="4" s="1"/>
  <c r="F307" i="4" a="1"/>
  <c r="F307" i="4" s="1"/>
  <c r="F308" i="4" a="1"/>
  <c r="F308" i="4" s="1"/>
  <c r="F309" i="4" a="1"/>
  <c r="F309" i="4" s="1"/>
  <c r="F310" i="4" a="1"/>
  <c r="F310" i="4" s="1"/>
  <c r="F311" i="4" a="1"/>
  <c r="F311" i="4" s="1"/>
  <c r="F312" i="4" a="1"/>
  <c r="F312" i="4" s="1"/>
  <c r="F313" i="4" a="1"/>
  <c r="F313" i="4" s="1"/>
  <c r="F314" i="4" a="1"/>
  <c r="F314" i="4" s="1"/>
  <c r="F315" i="4" a="1"/>
  <c r="F315" i="4" s="1"/>
  <c r="F316" i="4" a="1"/>
  <c r="F316" i="4" s="1"/>
  <c r="F317" i="4" a="1"/>
  <c r="F317" i="4" s="1"/>
  <c r="F318" i="4" a="1"/>
  <c r="F318" i="4" s="1"/>
  <c r="F319" i="4" a="1"/>
  <c r="F319" i="4" s="1"/>
  <c r="F320" i="4" a="1"/>
  <c r="F320" i="4" s="1"/>
  <c r="F321" i="4" a="1"/>
  <c r="F321" i="4" s="1"/>
  <c r="F322" i="4" a="1"/>
  <c r="F322" i="4" s="1"/>
  <c r="F323" i="4" a="1"/>
  <c r="F323" i="4" s="1"/>
  <c r="F324" i="4" a="1"/>
  <c r="F324" i="4" s="1"/>
  <c r="F325" i="4" a="1"/>
  <c r="F325" i="4" s="1"/>
  <c r="F326" i="4" a="1"/>
  <c r="F326" i="4" s="1"/>
  <c r="F327" i="4" a="1"/>
  <c r="F327" i="4" s="1"/>
  <c r="F328" i="4" a="1"/>
  <c r="F328" i="4" s="1"/>
  <c r="F329" i="4" a="1"/>
  <c r="F329" i="4" s="1"/>
  <c r="F330" i="4" a="1"/>
  <c r="F330" i="4" s="1"/>
  <c r="F331" i="4" a="1"/>
  <c r="F331" i="4" s="1"/>
  <c r="F332" i="4" a="1"/>
  <c r="F332" i="4" s="1"/>
  <c r="F333" i="4" a="1"/>
  <c r="F333" i="4" s="1"/>
  <c r="F334" i="4" a="1"/>
  <c r="F334" i="4" s="1"/>
  <c r="F335" i="4" a="1"/>
  <c r="F335" i="4" s="1"/>
  <c r="F336" i="4" a="1"/>
  <c r="F336" i="4" s="1"/>
  <c r="F337" i="4" a="1"/>
  <c r="F337" i="4" s="1"/>
  <c r="F338" i="4" a="1"/>
  <c r="F338" i="4" s="1"/>
  <c r="F339" i="4" a="1"/>
  <c r="F339" i="4" s="1"/>
  <c r="F340" i="4" a="1"/>
  <c r="F340" i="4" s="1"/>
  <c r="F341" i="4" a="1"/>
  <c r="F341" i="4" s="1"/>
  <c r="F342" i="4" a="1"/>
  <c r="F342" i="4" s="1"/>
  <c r="F343" i="4" a="1"/>
  <c r="F343" i="4" s="1"/>
  <c r="F344" i="4" a="1"/>
  <c r="F344" i="4" s="1"/>
  <c r="F345" i="4" a="1"/>
  <c r="F345" i="4" s="1"/>
  <c r="F346" i="4" a="1"/>
  <c r="F346" i="4" s="1"/>
  <c r="F347" i="4" a="1"/>
  <c r="F347" i="4" s="1"/>
  <c r="F348" i="4" a="1"/>
  <c r="F348" i="4" s="1"/>
  <c r="F349" i="4" a="1"/>
  <c r="F349" i="4" s="1"/>
  <c r="F350" i="4" a="1"/>
  <c r="F350" i="4" s="1"/>
  <c r="F351" i="4" a="1"/>
  <c r="F351" i="4" s="1"/>
  <c r="F352" i="4" a="1"/>
  <c r="F352" i="4" s="1"/>
  <c r="F353" i="4" a="1"/>
  <c r="F353" i="4" s="1"/>
  <c r="F354" i="4" a="1"/>
  <c r="F354" i="4" s="1"/>
  <c r="F355" i="4" a="1"/>
  <c r="F355" i="4" s="1"/>
  <c r="F356" i="4" a="1"/>
  <c r="F356" i="4" s="1"/>
  <c r="F357" i="4" a="1"/>
  <c r="F357" i="4" s="1"/>
  <c r="F358" i="4" a="1"/>
  <c r="F358" i="4" s="1"/>
  <c r="F359" i="4" a="1"/>
  <c r="F359" i="4" s="1"/>
  <c r="F360" i="4" a="1"/>
  <c r="F360" i="4" s="1"/>
  <c r="F361" i="4" a="1"/>
  <c r="F361" i="4" s="1"/>
  <c r="F362" i="4" a="1"/>
  <c r="F362" i="4" s="1"/>
  <c r="F363" i="4" a="1"/>
  <c r="F363" i="4" s="1"/>
  <c r="F364" i="4" a="1"/>
  <c r="F364" i="4" s="1"/>
  <c r="F365" i="4" a="1"/>
  <c r="F365" i="4" s="1"/>
  <c r="F366" i="4" a="1"/>
  <c r="F366" i="4" s="1"/>
  <c r="F367" i="4" a="1"/>
  <c r="F367" i="4" s="1"/>
  <c r="F368" i="4" a="1"/>
  <c r="F368" i="4" s="1"/>
  <c r="F369" i="4" a="1"/>
  <c r="F369" i="4" s="1"/>
  <c r="F370" i="4" a="1"/>
  <c r="F370" i="4" s="1"/>
  <c r="F371" i="4" a="1"/>
  <c r="F371" i="4" s="1"/>
  <c r="F372" i="4" a="1"/>
  <c r="F372" i="4" s="1"/>
  <c r="F373" i="4" a="1"/>
  <c r="F373" i="4" s="1"/>
  <c r="F374" i="4" a="1"/>
  <c r="F374" i="4" s="1"/>
  <c r="F375" i="4" a="1"/>
  <c r="F375" i="4" s="1"/>
  <c r="F376" i="4" a="1"/>
  <c r="F376" i="4" s="1"/>
  <c r="F377" i="4" a="1"/>
  <c r="F377" i="4" s="1"/>
  <c r="F378" i="4" a="1"/>
  <c r="F378" i="4" s="1"/>
  <c r="F379" i="4" a="1"/>
  <c r="F379" i="4" s="1"/>
  <c r="F380" i="4" a="1"/>
  <c r="F380" i="4" s="1"/>
  <c r="F381" i="4" a="1"/>
  <c r="F381" i="4" s="1"/>
  <c r="F382" i="4" a="1"/>
  <c r="F382" i="4" s="1"/>
  <c r="F383" i="4" a="1"/>
  <c r="F383" i="4" s="1"/>
  <c r="F384" i="4" a="1"/>
  <c r="F384" i="4" s="1"/>
  <c r="F385" i="4" a="1"/>
  <c r="F385" i="4" s="1"/>
  <c r="F386" i="4" a="1"/>
  <c r="F386" i="4" s="1"/>
  <c r="F387" i="4" a="1"/>
  <c r="F387" i="4" s="1"/>
  <c r="F388" i="4" a="1"/>
  <c r="F388" i="4" s="1"/>
  <c r="F389" i="4" a="1"/>
  <c r="F389" i="4" s="1"/>
  <c r="F390" i="4" a="1"/>
  <c r="F390" i="4" s="1"/>
  <c r="F391" i="4" a="1"/>
  <c r="F391" i="4" s="1"/>
  <c r="F392" i="4" a="1"/>
  <c r="F392" i="4" s="1"/>
  <c r="F393" i="4" a="1"/>
  <c r="F393" i="4" s="1"/>
  <c r="F394" i="4" a="1"/>
  <c r="F394" i="4" s="1"/>
  <c r="F395" i="4" a="1"/>
  <c r="F395" i="4" s="1"/>
  <c r="F396" i="4" a="1"/>
  <c r="F396" i="4" s="1"/>
  <c r="F397" i="4" a="1"/>
  <c r="F397" i="4" s="1"/>
  <c r="F398" i="4" a="1"/>
  <c r="F398" i="4" s="1"/>
  <c r="F399" i="4" a="1"/>
  <c r="F399" i="4" s="1"/>
  <c r="F400" i="4" a="1"/>
  <c r="F400" i="4" s="1"/>
  <c r="F401" i="4" a="1"/>
  <c r="F401" i="4" s="1"/>
  <c r="F402" i="4" a="1"/>
  <c r="F402" i="4" s="1"/>
  <c r="F403" i="4" a="1"/>
  <c r="F403" i="4" s="1"/>
  <c r="F404" i="4" a="1"/>
  <c r="F404" i="4" s="1"/>
  <c r="F405" i="4" a="1"/>
  <c r="F405" i="4" s="1"/>
  <c r="F406" i="4" a="1"/>
  <c r="F406" i="4" s="1"/>
  <c r="F407" i="4" a="1"/>
  <c r="F407" i="4" s="1"/>
  <c r="F408" i="4" a="1"/>
  <c r="F408" i="4" s="1"/>
  <c r="F409" i="4" a="1"/>
  <c r="F409" i="4" s="1"/>
  <c r="F410" i="4" a="1"/>
  <c r="F410" i="4" s="1"/>
  <c r="F411" i="4" a="1"/>
  <c r="F411" i="4" s="1"/>
  <c r="F412" i="4" a="1"/>
  <c r="F412" i="4" s="1"/>
  <c r="F413" i="4" a="1"/>
  <c r="F413" i="4" s="1"/>
  <c r="F414" i="4" a="1"/>
  <c r="F414" i="4" s="1"/>
  <c r="F415" i="4" a="1"/>
  <c r="F415" i="4" s="1"/>
  <c r="F416" i="4" a="1"/>
  <c r="F416" i="4" s="1"/>
  <c r="F417" i="4" a="1"/>
  <c r="F417" i="4" s="1"/>
  <c r="F418" i="4" a="1"/>
  <c r="F418" i="4" s="1"/>
  <c r="F419" i="4" a="1"/>
  <c r="F419" i="4" s="1"/>
  <c r="F420" i="4" a="1"/>
  <c r="F420" i="4" s="1"/>
  <c r="F421" i="4" a="1"/>
  <c r="F421" i="4" s="1"/>
  <c r="F422" i="4" a="1"/>
  <c r="F422" i="4" s="1"/>
  <c r="F423" i="4" a="1"/>
  <c r="F423" i="4" s="1"/>
  <c r="F424" i="4" a="1"/>
  <c r="F424" i="4" s="1"/>
  <c r="F425" i="4" a="1"/>
  <c r="F425" i="4" s="1"/>
  <c r="F426" i="4" a="1"/>
  <c r="F426" i="4" s="1"/>
  <c r="F427" i="4" a="1"/>
  <c r="F427" i="4" s="1"/>
  <c r="F428" i="4" a="1"/>
  <c r="F428" i="4" s="1"/>
  <c r="F429" i="4" a="1"/>
  <c r="F429" i="4" s="1"/>
  <c r="F430" i="4" a="1"/>
  <c r="F430" i="4" s="1"/>
  <c r="F431" i="4" a="1"/>
  <c r="F431" i="4" s="1"/>
  <c r="F432" i="4" a="1"/>
  <c r="F432" i="4" s="1"/>
  <c r="F433" i="4" a="1"/>
  <c r="F433" i="4" s="1"/>
  <c r="F434" i="4" a="1"/>
  <c r="F434" i="4" s="1"/>
  <c r="F435" i="4" a="1"/>
  <c r="F435" i="4" s="1"/>
  <c r="F436" i="4" a="1"/>
  <c r="F436" i="4" s="1"/>
  <c r="F437" i="4" a="1"/>
  <c r="F437" i="4" s="1"/>
  <c r="F438" i="4" a="1"/>
  <c r="F438" i="4" s="1"/>
  <c r="F439" i="4" a="1"/>
  <c r="F439" i="4" s="1"/>
  <c r="F440" i="4" a="1"/>
  <c r="F440" i="4" s="1"/>
  <c r="F441" i="4" a="1"/>
  <c r="F441" i="4" s="1"/>
  <c r="F442" i="4" a="1"/>
  <c r="F442" i="4" s="1"/>
  <c r="F443" i="4" a="1"/>
  <c r="F443" i="4" s="1"/>
  <c r="F444" i="4" a="1"/>
  <c r="F444" i="4" s="1"/>
  <c r="F445" i="4" a="1"/>
  <c r="F445" i="4" s="1"/>
  <c r="F446" i="4" a="1"/>
  <c r="F446" i="4" s="1"/>
  <c r="F447" i="4" a="1"/>
  <c r="F447" i="4" s="1"/>
  <c r="F448" i="4" a="1"/>
  <c r="F448" i="4" s="1"/>
  <c r="F449" i="4" a="1"/>
  <c r="F449" i="4" s="1"/>
  <c r="F450" i="4" a="1"/>
  <c r="F450" i="4" s="1"/>
  <c r="F451" i="4" a="1"/>
  <c r="F451" i="4" s="1"/>
  <c r="F452" i="4" a="1"/>
  <c r="F452" i="4" s="1"/>
  <c r="F453" i="4" a="1"/>
  <c r="F453" i="4" s="1"/>
  <c r="F454" i="4" a="1"/>
  <c r="F454" i="4" s="1"/>
  <c r="F455" i="4" a="1"/>
  <c r="F455" i="4" s="1"/>
  <c r="F456" i="4" a="1"/>
  <c r="F456" i="4" s="1"/>
  <c r="F457" i="4" a="1"/>
  <c r="F457" i="4" s="1"/>
  <c r="F458" i="4" a="1"/>
  <c r="F458" i="4" s="1"/>
  <c r="F459" i="4" a="1"/>
  <c r="F459" i="4" s="1"/>
  <c r="F460" i="4" a="1"/>
  <c r="F460" i="4" s="1"/>
  <c r="F461" i="4" a="1"/>
  <c r="F461" i="4" s="1"/>
  <c r="F462" i="4" a="1"/>
  <c r="F462" i="4" s="1"/>
  <c r="F463" i="4" a="1"/>
  <c r="F463" i="4" s="1"/>
  <c r="F464" i="4" a="1"/>
  <c r="F464" i="4" s="1"/>
  <c r="F465" i="4" a="1"/>
  <c r="F465" i="4" s="1"/>
  <c r="F466" i="4" a="1"/>
  <c r="F466" i="4" s="1"/>
  <c r="F467" i="4" a="1"/>
  <c r="F467" i="4" s="1"/>
  <c r="F468" i="4" a="1"/>
  <c r="F468" i="4" s="1"/>
  <c r="F469" i="4" a="1"/>
  <c r="F469" i="4" s="1"/>
  <c r="F470" i="4" a="1"/>
  <c r="F470" i="4" s="1"/>
  <c r="F471" i="4" a="1"/>
  <c r="F471" i="4" s="1"/>
  <c r="F472" i="4" a="1"/>
  <c r="F472" i="4" s="1"/>
  <c r="F473" i="4" a="1"/>
  <c r="F473" i="4" s="1"/>
  <c r="F474" i="4" a="1"/>
  <c r="F474" i="4" s="1"/>
  <c r="F475" i="4" a="1"/>
  <c r="F475" i="4" s="1"/>
  <c r="F476" i="4" a="1"/>
  <c r="F476" i="4" s="1"/>
  <c r="F477" i="4" a="1"/>
  <c r="F477" i="4" s="1"/>
  <c r="F478" i="4" a="1"/>
  <c r="F478" i="4" s="1"/>
  <c r="F479" i="4" a="1"/>
  <c r="F479" i="4" s="1"/>
  <c r="F480" i="4" a="1"/>
  <c r="F480" i="4" s="1"/>
  <c r="F481" i="4" a="1"/>
  <c r="F481" i="4" s="1"/>
  <c r="F482" i="4" a="1"/>
  <c r="F482" i="4" s="1"/>
  <c r="F483" i="4" a="1"/>
  <c r="F483" i="4" s="1"/>
  <c r="F484" i="4" a="1"/>
  <c r="F484" i="4" s="1"/>
  <c r="F485" i="4" a="1"/>
  <c r="F485" i="4" s="1"/>
  <c r="F486" i="4" a="1"/>
  <c r="F486" i="4" s="1"/>
  <c r="F487" i="4" a="1"/>
  <c r="F487" i="4" s="1"/>
  <c r="F488" i="4" a="1"/>
  <c r="F488" i="4" s="1"/>
  <c r="F489" i="4" a="1"/>
  <c r="F489" i="4" s="1"/>
  <c r="F490" i="4" a="1"/>
  <c r="F490" i="4" s="1"/>
  <c r="F491" i="4" a="1"/>
  <c r="F491" i="4" s="1"/>
  <c r="F492" i="4" a="1"/>
  <c r="F492" i="4" s="1"/>
  <c r="F493" i="4" a="1"/>
  <c r="F493" i="4" s="1"/>
  <c r="F494" i="4" a="1"/>
  <c r="F494" i="4" s="1"/>
  <c r="F495" i="4" a="1"/>
  <c r="F495" i="4" s="1"/>
  <c r="F496" i="4" a="1"/>
  <c r="F496" i="4" s="1"/>
  <c r="F497" i="4" a="1"/>
  <c r="F497" i="4" s="1"/>
  <c r="F498" i="4" a="1"/>
  <c r="F498" i="4" s="1"/>
  <c r="F499" i="4" a="1"/>
  <c r="F499" i="4" s="1"/>
  <c r="F500" i="4" a="1"/>
  <c r="F500" i="4" s="1"/>
  <c r="F2" i="4" a="1"/>
  <c r="F2" i="4" s="1"/>
  <c r="F3" i="4" a="1"/>
  <c r="F3" i="4" s="1"/>
  <c r="F4" i="4" a="1"/>
  <c r="F4" i="4" s="1"/>
  <c r="F5" i="4" a="1"/>
  <c r="F5" i="4" s="1"/>
  <c r="F6" i="4" a="1"/>
  <c r="F6" i="4" s="1"/>
  <c r="F7" i="4" a="1"/>
  <c r="F7" i="4" s="1"/>
  <c r="F8" i="4" a="1"/>
  <c r="F8" i="4" s="1"/>
  <c r="F9" i="4" a="1"/>
  <c r="F9" i="4" s="1"/>
  <c r="F10" i="4" a="1"/>
  <c r="F10" i="4" s="1"/>
  <c r="F11" i="4" a="1"/>
  <c r="F11" i="4" s="1"/>
  <c r="F12" i="4" a="1"/>
  <c r="F12" i="4" s="1"/>
  <c r="F13" i="4" a="1"/>
  <c r="F13" i="4" s="1"/>
  <c r="F14" i="4" a="1"/>
  <c r="F14" i="4" s="1"/>
  <c r="F15" i="4" a="1"/>
  <c r="F15" i="4" s="1"/>
  <c r="F16" i="4" a="1"/>
  <c r="F16" i="4" s="1"/>
  <c r="F17" i="4" a="1"/>
  <c r="F17" i="4" s="1"/>
  <c r="F18" i="4" a="1"/>
  <c r="F18" i="4" s="1"/>
  <c r="F19" i="4" a="1"/>
  <c r="F19" i="4" s="1"/>
  <c r="F20" i="4" a="1"/>
  <c r="F20" i="4" s="1"/>
  <c r="F21" i="4" a="1"/>
  <c r="F21" i="4" s="1"/>
  <c r="F22" i="4" a="1"/>
  <c r="F22" i="4" s="1"/>
  <c r="F23" i="4" a="1"/>
  <c r="F23" i="4" s="1"/>
  <c r="F24" i="4" a="1"/>
  <c r="F24" i="4" s="1"/>
  <c r="F25" i="4" a="1"/>
  <c r="F25" i="4" s="1"/>
  <c r="F26" i="4" a="1"/>
  <c r="F26" i="4" s="1"/>
  <c r="F27" i="4" a="1"/>
  <c r="F27" i="4" s="1"/>
  <c r="F28" i="4" a="1"/>
  <c r="F28" i="4" s="1"/>
  <c r="F29" i="4" a="1"/>
  <c r="F29" i="4" s="1"/>
  <c r="F30" i="4" a="1"/>
  <c r="F30" i="4" s="1"/>
  <c r="F31" i="4" a="1"/>
  <c r="F31" i="4" s="1"/>
  <c r="F32" i="4" a="1"/>
  <c r="F32" i="4" s="1"/>
  <c r="F33" i="4" a="1"/>
  <c r="F33" i="4" s="1"/>
  <c r="F34" i="4" a="1"/>
  <c r="F34" i="4" s="1"/>
  <c r="F35" i="4" a="1"/>
  <c r="F35" i="4" s="1"/>
  <c r="F36" i="4" a="1"/>
  <c r="F36" i="4" s="1"/>
  <c r="F37" i="4" a="1"/>
  <c r="F37" i="4" s="1"/>
  <c r="F38" i="4" a="1"/>
  <c r="F38" i="4" s="1"/>
  <c r="F39" i="4" a="1"/>
  <c r="F39" i="4" s="1"/>
  <c r="F40" i="4" a="1"/>
  <c r="F40" i="4" s="1"/>
  <c r="F41" i="4" a="1"/>
  <c r="F41" i="4" s="1"/>
  <c r="F42" i="4" a="1"/>
  <c r="F42" i="4" s="1"/>
  <c r="F43" i="4" a="1"/>
  <c r="F43" i="4" s="1"/>
  <c r="F44" i="4" a="1"/>
  <c r="F44" i="4" s="1"/>
  <c r="F45" i="4" a="1"/>
  <c r="F45" i="4" s="1"/>
  <c r="F46" i="4" a="1"/>
  <c r="F46" i="4" s="1"/>
  <c r="F47" i="4" a="1"/>
  <c r="F47" i="4" s="1"/>
  <c r="F48" i="4" a="1"/>
  <c r="F48" i="4" s="1"/>
  <c r="F49" i="4" a="1"/>
  <c r="F49" i="4" s="1"/>
  <c r="F50" i="4" a="1"/>
  <c r="F50" i="4" s="1"/>
  <c r="F51" i="4" a="1"/>
  <c r="F51" i="4" s="1"/>
  <c r="F52" i="4" a="1"/>
  <c r="F52" i="4" s="1"/>
  <c r="F53" i="4" a="1"/>
  <c r="F53" i="4" s="1"/>
  <c r="F54" i="4" a="1"/>
  <c r="F54" i="4" s="1"/>
  <c r="F55" i="4" a="1"/>
  <c r="F55" i="4" s="1"/>
  <c r="F56" i="4" a="1"/>
  <c r="F56" i="4" s="1"/>
  <c r="F57" i="4" a="1"/>
  <c r="F57" i="4" s="1"/>
  <c r="F58" i="4" a="1"/>
  <c r="F58" i="4" s="1"/>
  <c r="F59" i="4" a="1"/>
  <c r="F59" i="4" s="1"/>
  <c r="F60" i="4" a="1"/>
  <c r="F60" i="4" s="1"/>
  <c r="F61" i="4" a="1"/>
  <c r="F61" i="4" s="1"/>
  <c r="F62" i="4" a="1"/>
  <c r="F62" i="4" s="1"/>
  <c r="F63" i="4" a="1"/>
  <c r="F63" i="4" s="1"/>
  <c r="F64" i="4" a="1"/>
  <c r="F64" i="4" s="1"/>
  <c r="F65" i="4" a="1"/>
  <c r="F65" i="4" s="1"/>
  <c r="F66" i="4" a="1"/>
  <c r="F66" i="4" s="1"/>
  <c r="F67" i="4" a="1"/>
  <c r="F67" i="4" s="1"/>
  <c r="F68" i="4" a="1"/>
  <c r="F68" i="4" s="1"/>
  <c r="F69" i="4" a="1"/>
  <c r="F69" i="4" s="1"/>
  <c r="F70" i="4" a="1"/>
  <c r="F70" i="4" s="1"/>
  <c r="F71" i="4" a="1"/>
  <c r="F71" i="4" s="1"/>
  <c r="F72" i="4" a="1"/>
  <c r="F72" i="4" s="1"/>
  <c r="F73" i="4" a="1"/>
  <c r="F73" i="4" s="1"/>
  <c r="F74" i="4" a="1"/>
  <c r="F74" i="4" s="1"/>
  <c r="F75" i="4" a="1"/>
  <c r="F75" i="4" s="1"/>
  <c r="F76" i="4" a="1"/>
  <c r="F76" i="4" s="1"/>
  <c r="F77" i="4" a="1"/>
  <c r="F77" i="4" s="1"/>
  <c r="F78" i="4" a="1"/>
  <c r="F78" i="4" s="1"/>
  <c r="F79" i="4" a="1"/>
  <c r="F79" i="4" s="1"/>
  <c r="F80" i="4" a="1"/>
  <c r="F80" i="4" s="1"/>
  <c r="F81" i="4" a="1"/>
  <c r="F81" i="4" s="1"/>
  <c r="F82" i="4" a="1"/>
  <c r="F82" i="4" s="1"/>
  <c r="F83" i="4" a="1"/>
  <c r="F83" i="4" s="1"/>
  <c r="F84" i="4" a="1"/>
  <c r="F84" i="4" s="1"/>
  <c r="F85" i="4" a="1"/>
  <c r="F85" i="4" s="1"/>
  <c r="F86" i="4" a="1"/>
  <c r="F86" i="4" s="1"/>
  <c r="F87" i="4" a="1"/>
  <c r="F87" i="4" s="1"/>
  <c r="F88" i="4" a="1"/>
  <c r="F88" i="4" s="1"/>
  <c r="F89" i="4" a="1"/>
  <c r="F89" i="4" s="1"/>
  <c r="F90" i="4" a="1"/>
  <c r="F90" i="4" s="1"/>
  <c r="F91" i="4" a="1"/>
  <c r="F91" i="4" s="1"/>
  <c r="F92" i="4" a="1"/>
  <c r="F92" i="4" s="1"/>
  <c r="F93" i="4" a="1"/>
  <c r="F93" i="4" s="1"/>
  <c r="F94" i="4" a="1"/>
  <c r="F94" i="4" s="1"/>
  <c r="F95" i="4" a="1"/>
  <c r="F95" i="4" s="1"/>
  <c r="F96" i="4" a="1"/>
  <c r="F96" i="4" s="1"/>
  <c r="F97" i="4" a="1"/>
  <c r="F97" i="4" s="1"/>
  <c r="F98" i="4" a="1"/>
  <c r="F98" i="4" s="1"/>
  <c r="F99" i="4" a="1"/>
  <c r="F99" i="4" s="1"/>
  <c r="F100" i="4" a="1"/>
  <c r="F100" i="4" s="1"/>
  <c r="F101" i="4" a="1"/>
  <c r="F101" i="4" s="1"/>
  <c r="F102" i="4" a="1"/>
  <c r="F102" i="4" s="1"/>
  <c r="F103" i="4" a="1"/>
  <c r="F103" i="4" s="1"/>
  <c r="F104" i="4" a="1"/>
  <c r="F104" i="4" s="1"/>
  <c r="F105" i="4" a="1"/>
  <c r="F105" i="4" s="1"/>
  <c r="F106" i="4" a="1"/>
  <c r="F106" i="4" s="1"/>
  <c r="F107" i="4" a="1"/>
  <c r="F107" i="4" s="1"/>
  <c r="F108" i="4" a="1"/>
  <c r="F108" i="4" s="1"/>
  <c r="F109" i="4" a="1"/>
  <c r="F109" i="4" s="1"/>
  <c r="F110" i="4" a="1"/>
  <c r="F110" i="4" s="1"/>
  <c r="F111" i="4" a="1"/>
  <c r="F111" i="4" s="1"/>
  <c r="F112" i="4" a="1"/>
  <c r="F112" i="4" s="1"/>
  <c r="F113" i="4" a="1"/>
  <c r="F113" i="4" s="1"/>
  <c r="F114" i="4" a="1"/>
  <c r="F114" i="4" s="1"/>
  <c r="F115" i="4" a="1"/>
  <c r="F115" i="4" s="1"/>
  <c r="F116" i="4" a="1"/>
  <c r="F116" i="4" s="1"/>
  <c r="F117" i="4" a="1"/>
  <c r="F117" i="4" s="1"/>
  <c r="F118" i="4" a="1"/>
  <c r="F118" i="4" s="1"/>
  <c r="F119" i="4" a="1"/>
  <c r="F119" i="4" s="1"/>
  <c r="F120" i="4" a="1"/>
  <c r="F120" i="4" s="1"/>
  <c r="F121" i="4" a="1"/>
  <c r="F121" i="4" s="1"/>
  <c r="F122" i="4" a="1"/>
  <c r="F122" i="4" s="1"/>
  <c r="F123" i="4" a="1"/>
  <c r="F123" i="4" s="1"/>
  <c r="F124" i="4" a="1"/>
  <c r="F124" i="4" s="1"/>
  <c r="F125" i="4" a="1"/>
  <c r="F125" i="4" s="1"/>
  <c r="F126" i="4" a="1"/>
  <c r="F126" i="4" s="1"/>
  <c r="F127" i="4" a="1"/>
  <c r="F127" i="4" s="1"/>
  <c r="F128" i="4" a="1"/>
  <c r="F128" i="4" s="1"/>
  <c r="F129" i="4" a="1"/>
  <c r="F129" i="4" s="1"/>
  <c r="F130" i="4" a="1"/>
  <c r="F130" i="4" s="1"/>
  <c r="F131" i="4" a="1"/>
  <c r="F131" i="4" s="1"/>
  <c r="F132" i="4" a="1"/>
  <c r="F132" i="4" s="1"/>
  <c r="F133" i="4" a="1"/>
  <c r="F133" i="4" s="1"/>
  <c r="F134" i="4" a="1"/>
  <c r="F134" i="4" s="1"/>
  <c r="F135" i="4" a="1"/>
  <c r="F135" i="4" s="1"/>
  <c r="F136" i="4" a="1"/>
  <c r="F136" i="4" s="1"/>
  <c r="F137" i="4" a="1"/>
  <c r="F137" i="4" s="1"/>
  <c r="F138" i="4" a="1"/>
  <c r="F138" i="4" s="1"/>
  <c r="F139" i="4" a="1"/>
  <c r="F139" i="4" s="1"/>
  <c r="F140" i="4" a="1"/>
  <c r="F140" i="4" s="1"/>
  <c r="F141" i="4" a="1"/>
  <c r="F141" i="4" s="1"/>
  <c r="F142" i="4" a="1"/>
  <c r="F142" i="4" s="1"/>
  <c r="F143" i="4" a="1"/>
  <c r="F143" i="4" s="1"/>
  <c r="F144" i="4" a="1"/>
  <c r="F144" i="4" s="1"/>
  <c r="F145" i="4" a="1"/>
  <c r="F145" i="4" s="1"/>
  <c r="F146" i="4" a="1"/>
  <c r="F146" i="4" s="1"/>
  <c r="F147" i="4" a="1"/>
  <c r="F147" i="4" s="1"/>
  <c r="F148" i="4" a="1"/>
  <c r="F148" i="4" s="1"/>
  <c r="F149" i="4" a="1"/>
  <c r="F149" i="4" s="1"/>
  <c r="F150" i="4" a="1"/>
  <c r="F150" i="4" s="1"/>
  <c r="F151" i="4" a="1"/>
  <c r="F151" i="4" s="1"/>
  <c r="F152" i="4" a="1"/>
  <c r="F152" i="4" s="1"/>
  <c r="F153" i="4" a="1"/>
  <c r="F153" i="4" s="1"/>
  <c r="F154" i="4" a="1"/>
  <c r="F154" i="4" s="1"/>
  <c r="F155" i="4" a="1"/>
  <c r="F155" i="4" s="1"/>
  <c r="F156" i="4" a="1"/>
  <c r="F156" i="4" s="1"/>
  <c r="F157" i="4" a="1"/>
  <c r="F157" i="4" s="1"/>
  <c r="F158" i="4" a="1"/>
  <c r="F158" i="4" s="1"/>
  <c r="F159" i="4" a="1"/>
  <c r="F159" i="4" s="1"/>
  <c r="F160" i="4" a="1"/>
  <c r="F160" i="4" s="1"/>
  <c r="F161" i="4" a="1"/>
  <c r="F161" i="4" s="1"/>
  <c r="F162" i="4" a="1"/>
  <c r="F162" i="4" s="1"/>
  <c r="F163" i="4" a="1"/>
  <c r="F163" i="4" s="1"/>
  <c r="F164" i="4" a="1"/>
  <c r="F164" i="4" s="1"/>
  <c r="F165" i="4" a="1"/>
  <c r="F165" i="4" s="1"/>
  <c r="F166" i="4" a="1"/>
  <c r="F166" i="4" s="1"/>
  <c r="F167" i="4" a="1"/>
  <c r="F167" i="4" s="1"/>
  <c r="F168" i="4" a="1"/>
  <c r="F168" i="4" s="1"/>
  <c r="F169" i="4" a="1"/>
  <c r="F169" i="4" s="1"/>
  <c r="F170" i="4" a="1"/>
  <c r="F170" i="4" s="1"/>
  <c r="F171" i="4" a="1"/>
  <c r="F171" i="4" s="1"/>
  <c r="F172" i="4" a="1"/>
  <c r="F172" i="4" s="1"/>
  <c r="F173" i="4" a="1"/>
  <c r="F173" i="4" s="1"/>
  <c r="F174" i="4" a="1"/>
  <c r="F174" i="4" s="1"/>
  <c r="F175" i="4" a="1"/>
  <c r="F175" i="4" s="1"/>
  <c r="F176" i="4" a="1"/>
  <c r="F176" i="4" s="1"/>
  <c r="F177" i="4" a="1"/>
  <c r="F177" i="4" s="1"/>
  <c r="F178" i="4" a="1"/>
  <c r="F178" i="4" s="1"/>
  <c r="F179" i="4" a="1"/>
  <c r="F179" i="4" s="1"/>
  <c r="F180" i="4" a="1"/>
  <c r="F180" i="4" s="1"/>
  <c r="F181" i="4" a="1"/>
  <c r="F181" i="4" s="1"/>
  <c r="F182" i="4" a="1"/>
  <c r="F182" i="4" s="1"/>
  <c r="F183" i="4" a="1"/>
  <c r="F183" i="4" s="1"/>
  <c r="F184" i="4" a="1"/>
  <c r="F184" i="4" s="1"/>
  <c r="F185" i="4" a="1"/>
  <c r="F185" i="4" s="1"/>
  <c r="F186" i="4" a="1"/>
  <c r="F186" i="4" s="1"/>
  <c r="F187" i="4" a="1"/>
  <c r="F187" i="4" s="1"/>
  <c r="F188" i="4" a="1"/>
  <c r="F188" i="4" s="1"/>
  <c r="F189" i="4" a="1"/>
  <c r="F189" i="4" s="1"/>
  <c r="F190" i="4" a="1"/>
  <c r="F190" i="4" s="1"/>
  <c r="F191" i="4" a="1"/>
  <c r="F191" i="4" s="1"/>
  <c r="F192" i="4" a="1"/>
  <c r="F192" i="4" s="1"/>
  <c r="F193" i="4" a="1"/>
  <c r="F193" i="4" s="1"/>
  <c r="F194" i="4" a="1"/>
  <c r="F194" i="4" s="1"/>
  <c r="F195" i="4" a="1"/>
  <c r="F195" i="4" s="1"/>
  <c r="F196" i="4" a="1"/>
  <c r="F196" i="4" s="1"/>
  <c r="F197" i="4" a="1"/>
  <c r="F197" i="4" s="1"/>
  <c r="F198" i="4" a="1"/>
  <c r="F198" i="4" s="1"/>
  <c r="F199" i="4" a="1"/>
  <c r="F199" i="4" s="1"/>
  <c r="F200" i="4" a="1"/>
  <c r="F200" i="4" s="1"/>
  <c r="F201" i="4" a="1"/>
  <c r="F201" i="4" s="1"/>
  <c r="F202" i="4" a="1"/>
  <c r="F202" i="4" s="1"/>
  <c r="F203" i="4" a="1"/>
  <c r="F203" i="4" s="1"/>
  <c r="F204" i="4" a="1"/>
  <c r="F204" i="4" s="1"/>
  <c r="F205" i="4" a="1"/>
  <c r="F205" i="4" s="1"/>
  <c r="F206" i="4" a="1"/>
  <c r="F206" i="4" s="1"/>
  <c r="F207" i="4" a="1"/>
  <c r="F207" i="4" s="1"/>
  <c r="F208" i="4" a="1"/>
  <c r="F208" i="4" s="1"/>
  <c r="F209" i="4" a="1"/>
  <c r="F209" i="4" s="1"/>
  <c r="F210" i="4" a="1"/>
  <c r="F210" i="4" s="1"/>
  <c r="F211" i="4" a="1"/>
  <c r="F211" i="4" s="1"/>
  <c r="F212" i="4" a="1"/>
  <c r="F212" i="4" s="1"/>
  <c r="F213" i="4" a="1"/>
  <c r="F213" i="4" s="1"/>
  <c r="F214" i="4" a="1"/>
  <c r="F214" i="4" s="1"/>
  <c r="F215" i="4" a="1"/>
  <c r="F215" i="4" s="1"/>
  <c r="F216" i="4" a="1"/>
  <c r="F216" i="4" s="1"/>
  <c r="F217" i="4" a="1"/>
  <c r="F217" i="4" s="1"/>
  <c r="F218" i="4" a="1"/>
  <c r="F218" i="4" s="1"/>
  <c r="F219" i="4" a="1"/>
  <c r="F219" i="4" s="1"/>
  <c r="F220" i="4" a="1"/>
  <c r="F220" i="4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G54" i="4" l="1"/>
  <c r="H52" i="4"/>
  <c r="I52" i="4" s="1"/>
  <c r="H139" i="4"/>
  <c r="I139" i="4" s="1"/>
  <c r="H492" i="4"/>
  <c r="I492" i="4" s="1"/>
  <c r="H484" i="4"/>
  <c r="I484" i="4" s="1"/>
  <c r="H476" i="4"/>
  <c r="I476" i="4" s="1"/>
  <c r="H468" i="4"/>
  <c r="I468" i="4" s="1"/>
  <c r="H460" i="4"/>
  <c r="I460" i="4" s="1"/>
  <c r="H436" i="4"/>
  <c r="I436" i="4" s="1"/>
  <c r="H412" i="4"/>
  <c r="I412" i="4" s="1"/>
  <c r="H404" i="4"/>
  <c r="I404" i="4" s="1"/>
  <c r="H372" i="4"/>
  <c r="I372" i="4" s="1"/>
  <c r="H364" i="4"/>
  <c r="I364" i="4" s="1"/>
  <c r="H356" i="4"/>
  <c r="I356" i="4" s="1"/>
  <c r="H348" i="4"/>
  <c r="I348" i="4" s="1"/>
  <c r="H340" i="4"/>
  <c r="I340" i="4" s="1"/>
  <c r="H324" i="4"/>
  <c r="I324" i="4" s="1"/>
  <c r="H308" i="4"/>
  <c r="I308" i="4" s="1"/>
  <c r="H300" i="4"/>
  <c r="I300" i="4" s="1"/>
  <c r="H292" i="4"/>
  <c r="I292" i="4" s="1"/>
  <c r="H284" i="4"/>
  <c r="I284" i="4" s="1"/>
  <c r="H276" i="4"/>
  <c r="I276" i="4" s="1"/>
  <c r="H244" i="4"/>
  <c r="I244" i="4" s="1"/>
  <c r="H228" i="4"/>
  <c r="I228" i="4" s="1"/>
  <c r="H220" i="4"/>
  <c r="I220" i="4" s="1"/>
  <c r="H212" i="4"/>
  <c r="I212" i="4" s="1"/>
  <c r="H204" i="4"/>
  <c r="I204" i="4" s="1"/>
  <c r="H196" i="4"/>
  <c r="I196" i="4" s="1"/>
  <c r="H188" i="4"/>
  <c r="I188" i="4" s="1"/>
  <c r="H172" i="4"/>
  <c r="I172" i="4" s="1"/>
  <c r="H164" i="4"/>
  <c r="I164" i="4" s="1"/>
  <c r="H140" i="4"/>
  <c r="I140" i="4" s="1"/>
  <c r="H132" i="4"/>
  <c r="I132" i="4" s="1"/>
  <c r="H124" i="4"/>
  <c r="I124" i="4" s="1"/>
  <c r="H92" i="4"/>
  <c r="I92" i="4" s="1"/>
  <c r="H76" i="4"/>
  <c r="I76" i="4" s="1"/>
  <c r="H68" i="4"/>
  <c r="I68" i="4" s="1"/>
  <c r="H60" i="4"/>
  <c r="I60" i="4" s="1"/>
  <c r="H44" i="4"/>
  <c r="I44" i="4" s="1"/>
  <c r="H36" i="4"/>
  <c r="I36" i="4" s="1"/>
  <c r="H28" i="4"/>
  <c r="I28" i="4" s="1"/>
  <c r="H20" i="4"/>
  <c r="I20" i="4" s="1"/>
  <c r="H4" i="4"/>
  <c r="I4" i="4" s="1"/>
  <c r="H91" i="4"/>
  <c r="I91" i="4" s="1"/>
  <c r="H466" i="4"/>
  <c r="I466" i="4" s="1"/>
  <c r="H274" i="4"/>
  <c r="I274" i="4" s="1"/>
  <c r="H130" i="4"/>
  <c r="I130" i="4" s="1"/>
  <c r="H34" i="4"/>
  <c r="I34" i="4" s="1"/>
  <c r="H177" i="4"/>
  <c r="I177" i="4" s="1"/>
  <c r="H128" i="4"/>
  <c r="I128" i="4" s="1"/>
  <c r="H494" i="4"/>
  <c r="I494" i="4" s="1"/>
  <c r="H38" i="4"/>
  <c r="I38" i="4" s="1"/>
  <c r="H491" i="4"/>
  <c r="I491" i="4" s="1"/>
  <c r="H475" i="4"/>
  <c r="I475" i="4" s="1"/>
  <c r="H459" i="4"/>
  <c r="I459" i="4" s="1"/>
  <c r="H451" i="4"/>
  <c r="I451" i="4" s="1"/>
  <c r="H435" i="4"/>
  <c r="I435" i="4" s="1"/>
  <c r="H427" i="4"/>
  <c r="I427" i="4" s="1"/>
  <c r="H419" i="4"/>
  <c r="I419" i="4" s="1"/>
  <c r="H403" i="4"/>
  <c r="I403" i="4" s="1"/>
  <c r="H395" i="4"/>
  <c r="I395" i="4" s="1"/>
  <c r="H379" i="4"/>
  <c r="I379" i="4" s="1"/>
  <c r="H371" i="4"/>
  <c r="I371" i="4" s="1"/>
  <c r="H363" i="4"/>
  <c r="I363" i="4" s="1"/>
  <c r="H339" i="4"/>
  <c r="I339" i="4" s="1"/>
  <c r="H323" i="4"/>
  <c r="I323" i="4" s="1"/>
  <c r="H315" i="4"/>
  <c r="I315" i="4" s="1"/>
  <c r="H291" i="4"/>
  <c r="I291" i="4" s="1"/>
  <c r="H283" i="4"/>
  <c r="I283" i="4" s="1"/>
  <c r="H275" i="4"/>
  <c r="I275" i="4" s="1"/>
  <c r="H259" i="4"/>
  <c r="I259" i="4" s="1"/>
  <c r="H227" i="4"/>
  <c r="I227" i="4" s="1"/>
  <c r="H219" i="4"/>
  <c r="I219" i="4" s="1"/>
  <c r="H211" i="4"/>
  <c r="I211" i="4" s="1"/>
  <c r="H187" i="4"/>
  <c r="I187" i="4" s="1"/>
  <c r="H179" i="4"/>
  <c r="I179" i="4" s="1"/>
  <c r="H163" i="4"/>
  <c r="I163" i="4" s="1"/>
  <c r="H155" i="4"/>
  <c r="I155" i="4" s="1"/>
  <c r="H147" i="4"/>
  <c r="I147" i="4" s="1"/>
  <c r="H131" i="4"/>
  <c r="I131" i="4" s="1"/>
  <c r="H123" i="4"/>
  <c r="I123" i="4" s="1"/>
  <c r="H107" i="4"/>
  <c r="I107" i="4" s="1"/>
  <c r="H99" i="4"/>
  <c r="I99" i="4" s="1"/>
  <c r="H75" i="4"/>
  <c r="I75" i="4" s="1"/>
  <c r="H59" i="4"/>
  <c r="I59" i="4" s="1"/>
  <c r="H43" i="4"/>
  <c r="I43" i="4" s="1"/>
  <c r="H19" i="4"/>
  <c r="I19" i="4" s="1"/>
  <c r="H11" i="4"/>
  <c r="I11" i="4" s="1"/>
  <c r="H498" i="4"/>
  <c r="I498" i="4" s="1"/>
  <c r="H490" i="4"/>
  <c r="I490" i="4" s="1"/>
  <c r="G482" i="4"/>
  <c r="H474" i="4"/>
  <c r="I474" i="4" s="1"/>
  <c r="H458" i="4"/>
  <c r="I458" i="4" s="1"/>
  <c r="H442" i="4"/>
  <c r="I442" i="4" s="1"/>
  <c r="H426" i="4"/>
  <c r="I426" i="4" s="1"/>
  <c r="H418" i="4"/>
  <c r="I418" i="4" s="1"/>
  <c r="H410" i="4"/>
  <c r="I410" i="4" s="1"/>
  <c r="H394" i="4"/>
  <c r="I394" i="4" s="1"/>
  <c r="H386" i="4"/>
  <c r="I386" i="4" s="1"/>
  <c r="H378" i="4"/>
  <c r="I378" i="4" s="1"/>
  <c r="H346" i="4"/>
  <c r="I346" i="4" s="1"/>
  <c r="H338" i="4"/>
  <c r="I338" i="4" s="1"/>
  <c r="G322" i="4"/>
  <c r="H314" i="4"/>
  <c r="I314" i="4" s="1"/>
  <c r="H306" i="4"/>
  <c r="I306" i="4" s="1"/>
  <c r="H298" i="4"/>
  <c r="I298" i="4" s="1"/>
  <c r="H290" i="4"/>
  <c r="I290" i="4" s="1"/>
  <c r="H282" i="4"/>
  <c r="I282" i="4" s="1"/>
  <c r="H266" i="4"/>
  <c r="I266" i="4" s="1"/>
  <c r="H226" i="4"/>
  <c r="I226" i="4" s="1"/>
  <c r="H218" i="4"/>
  <c r="I218" i="4" s="1"/>
  <c r="H210" i="4"/>
  <c r="I210" i="4" s="1"/>
  <c r="H194" i="4"/>
  <c r="I194" i="4" s="1"/>
  <c r="H186" i="4"/>
  <c r="I186" i="4" s="1"/>
  <c r="H170" i="4"/>
  <c r="I170" i="4" s="1"/>
  <c r="H162" i="4"/>
  <c r="I162" i="4" s="1"/>
  <c r="H154" i="4"/>
  <c r="I154" i="4" s="1"/>
  <c r="H122" i="4"/>
  <c r="I122" i="4" s="1"/>
  <c r="H114" i="4"/>
  <c r="I114" i="4" s="1"/>
  <c r="H98" i="4"/>
  <c r="I98" i="4" s="1"/>
  <c r="H90" i="4"/>
  <c r="I90" i="4" s="1"/>
  <c r="G82" i="4"/>
  <c r="H74" i="4"/>
  <c r="I74" i="4" s="1"/>
  <c r="H66" i="4"/>
  <c r="I66" i="4" s="1"/>
  <c r="H58" i="4"/>
  <c r="I58" i="4" s="1"/>
  <c r="H50" i="4"/>
  <c r="I50" i="4" s="1"/>
  <c r="H42" i="4"/>
  <c r="I42" i="4" s="1"/>
  <c r="H18" i="4"/>
  <c r="I18" i="4" s="1"/>
  <c r="H497" i="4"/>
  <c r="I497" i="4" s="1"/>
  <c r="H481" i="4"/>
  <c r="I481" i="4" s="1"/>
  <c r="H465" i="4"/>
  <c r="I465" i="4" s="1"/>
  <c r="H457" i="4"/>
  <c r="I457" i="4" s="1"/>
  <c r="H449" i="4"/>
  <c r="I449" i="4" s="1"/>
  <c r="H441" i="4"/>
  <c r="I441" i="4" s="1"/>
  <c r="H417" i="4"/>
  <c r="I417" i="4" s="1"/>
  <c r="H409" i="4"/>
  <c r="I409" i="4" s="1"/>
  <c r="H401" i="4"/>
  <c r="I401" i="4" s="1"/>
  <c r="H393" i="4"/>
  <c r="I393" i="4" s="1"/>
  <c r="H385" i="4"/>
  <c r="I385" i="4" s="1"/>
  <c r="H377" i="4"/>
  <c r="I377" i="4" s="1"/>
  <c r="H369" i="4"/>
  <c r="I369" i="4" s="1"/>
  <c r="H361" i="4"/>
  <c r="I361" i="4" s="1"/>
  <c r="H353" i="4"/>
  <c r="I353" i="4" s="1"/>
  <c r="H337" i="4"/>
  <c r="I337" i="4" s="1"/>
  <c r="H329" i="4"/>
  <c r="I329" i="4" s="1"/>
  <c r="H321" i="4"/>
  <c r="I321" i="4" s="1"/>
  <c r="H305" i="4"/>
  <c r="I305" i="4" s="1"/>
  <c r="H297" i="4"/>
  <c r="I297" i="4" s="1"/>
  <c r="H289" i="4"/>
  <c r="I289" i="4" s="1"/>
  <c r="H281" i="4"/>
  <c r="I281" i="4" s="1"/>
  <c r="H265" i="4"/>
  <c r="I265" i="4" s="1"/>
  <c r="H257" i="4"/>
  <c r="I257" i="4" s="1"/>
  <c r="H233" i="4"/>
  <c r="I233" i="4" s="1"/>
  <c r="H225" i="4"/>
  <c r="I225" i="4" s="1"/>
  <c r="H217" i="4"/>
  <c r="I217" i="4" s="1"/>
  <c r="H209" i="4"/>
  <c r="I209" i="4" s="1"/>
  <c r="H201" i="4"/>
  <c r="I201" i="4" s="1"/>
  <c r="H193" i="4"/>
  <c r="I193" i="4" s="1"/>
  <c r="H185" i="4"/>
  <c r="I185" i="4" s="1"/>
  <c r="H153" i="4"/>
  <c r="I153" i="4" s="1"/>
  <c r="H145" i="4"/>
  <c r="I145" i="4" s="1"/>
  <c r="H137" i="4"/>
  <c r="I137" i="4" s="1"/>
  <c r="H73" i="4"/>
  <c r="I73" i="4" s="1"/>
  <c r="H57" i="4"/>
  <c r="I57" i="4" s="1"/>
  <c r="H25" i="4"/>
  <c r="I25" i="4" s="1"/>
  <c r="H9" i="4"/>
  <c r="I9" i="4" s="1"/>
  <c r="H500" i="4"/>
  <c r="I500" i="4" s="1"/>
  <c r="H488" i="4"/>
  <c r="I488" i="4" s="1"/>
  <c r="H480" i="4"/>
  <c r="I480" i="4" s="1"/>
  <c r="H472" i="4"/>
  <c r="I472" i="4" s="1"/>
  <c r="H464" i="4"/>
  <c r="I464" i="4" s="1"/>
  <c r="H456" i="4"/>
  <c r="I456" i="4" s="1"/>
  <c r="H432" i="4"/>
  <c r="I432" i="4" s="1"/>
  <c r="H416" i="4"/>
  <c r="I416" i="4" s="1"/>
  <c r="H408" i="4"/>
  <c r="I408" i="4" s="1"/>
  <c r="H392" i="4"/>
  <c r="I392" i="4" s="1"/>
  <c r="H384" i="4"/>
  <c r="I384" i="4" s="1"/>
  <c r="H368" i="4"/>
  <c r="I368" i="4" s="1"/>
  <c r="H360" i="4"/>
  <c r="I360" i="4" s="1"/>
  <c r="H352" i="4"/>
  <c r="I352" i="4" s="1"/>
  <c r="H328" i="4"/>
  <c r="I328" i="4" s="1"/>
  <c r="H320" i="4"/>
  <c r="I320" i="4" s="1"/>
  <c r="H312" i="4"/>
  <c r="I312" i="4" s="1"/>
  <c r="H304" i="4"/>
  <c r="I304" i="4" s="1"/>
  <c r="H296" i="4"/>
  <c r="I296" i="4" s="1"/>
  <c r="H288" i="4"/>
  <c r="I288" i="4" s="1"/>
  <c r="H280" i="4"/>
  <c r="I280" i="4" s="1"/>
  <c r="H272" i="4"/>
  <c r="I272" i="4" s="1"/>
  <c r="H264" i="4"/>
  <c r="I264" i="4" s="1"/>
  <c r="H240" i="4"/>
  <c r="I240" i="4" s="1"/>
  <c r="H232" i="4"/>
  <c r="I232" i="4" s="1"/>
  <c r="H224" i="4"/>
  <c r="I224" i="4" s="1"/>
  <c r="H216" i="4"/>
  <c r="I216" i="4" s="1"/>
  <c r="H192" i="4"/>
  <c r="I192" i="4" s="1"/>
  <c r="H184" i="4"/>
  <c r="I184" i="4" s="1"/>
  <c r="H176" i="4"/>
  <c r="I176" i="4" s="1"/>
  <c r="H168" i="4"/>
  <c r="I168" i="4" s="1"/>
  <c r="H160" i="4"/>
  <c r="I160" i="4" s="1"/>
  <c r="H144" i="4"/>
  <c r="I144" i="4" s="1"/>
  <c r="H136" i="4"/>
  <c r="I136" i="4" s="1"/>
  <c r="H104" i="4"/>
  <c r="I104" i="4" s="1"/>
  <c r="H96" i="4"/>
  <c r="I96" i="4" s="1"/>
  <c r="H80" i="4"/>
  <c r="I80" i="4" s="1"/>
  <c r="H72" i="4"/>
  <c r="I72" i="4" s="1"/>
  <c r="H40" i="4"/>
  <c r="I40" i="4" s="1"/>
  <c r="H16" i="4"/>
  <c r="I16" i="4" s="1"/>
  <c r="H495" i="4"/>
  <c r="I495" i="4" s="1"/>
  <c r="H487" i="4"/>
  <c r="I487" i="4" s="1"/>
  <c r="H471" i="4"/>
  <c r="I471" i="4" s="1"/>
  <c r="H455" i="4"/>
  <c r="I455" i="4" s="1"/>
  <c r="H439" i="4"/>
  <c r="I439" i="4" s="1"/>
  <c r="H423" i="4"/>
  <c r="I423" i="4" s="1"/>
  <c r="H391" i="4"/>
  <c r="I391" i="4" s="1"/>
  <c r="H383" i="4"/>
  <c r="I383" i="4" s="1"/>
  <c r="H367" i="4"/>
  <c r="I367" i="4" s="1"/>
  <c r="H351" i="4"/>
  <c r="I351" i="4" s="1"/>
  <c r="H319" i="4"/>
  <c r="I319" i="4" s="1"/>
  <c r="H295" i="4"/>
  <c r="I295" i="4" s="1"/>
  <c r="H287" i="4"/>
  <c r="I287" i="4" s="1"/>
  <c r="H279" i="4"/>
  <c r="I279" i="4" s="1"/>
  <c r="H271" i="4"/>
  <c r="I271" i="4" s="1"/>
  <c r="H263" i="4"/>
  <c r="I263" i="4" s="1"/>
  <c r="H255" i="4"/>
  <c r="I255" i="4" s="1"/>
  <c r="H231" i="4"/>
  <c r="I231" i="4" s="1"/>
  <c r="H223" i="4"/>
  <c r="I223" i="4" s="1"/>
  <c r="H207" i="4"/>
  <c r="I207" i="4" s="1"/>
  <c r="H199" i="4"/>
  <c r="I199" i="4" s="1"/>
  <c r="H191" i="4"/>
  <c r="I191" i="4" s="1"/>
  <c r="H183" i="4"/>
  <c r="I183" i="4" s="1"/>
  <c r="H159" i="4"/>
  <c r="I159" i="4" s="1"/>
  <c r="H143" i="4"/>
  <c r="I143" i="4" s="1"/>
  <c r="H135" i="4"/>
  <c r="I135" i="4" s="1"/>
  <c r="H119" i="4"/>
  <c r="I119" i="4" s="1"/>
  <c r="H111" i="4"/>
  <c r="I111" i="4" s="1"/>
  <c r="H103" i="4"/>
  <c r="I103" i="4" s="1"/>
  <c r="H95" i="4"/>
  <c r="I95" i="4" s="1"/>
  <c r="H71" i="4"/>
  <c r="I71" i="4" s="1"/>
  <c r="H63" i="4"/>
  <c r="I63" i="4" s="1"/>
  <c r="H47" i="4"/>
  <c r="I47" i="4" s="1"/>
  <c r="H31" i="4"/>
  <c r="I31" i="4" s="1"/>
  <c r="H23" i="4"/>
  <c r="I23" i="4" s="1"/>
  <c r="H486" i="4"/>
  <c r="I486" i="4" s="1"/>
  <c r="H478" i="4"/>
  <c r="I478" i="4" s="1"/>
  <c r="H470" i="4"/>
  <c r="I470" i="4" s="1"/>
  <c r="H462" i="4"/>
  <c r="I462" i="4" s="1"/>
  <c r="H454" i="4"/>
  <c r="I454" i="4" s="1"/>
  <c r="H446" i="4"/>
  <c r="I446" i="4" s="1"/>
  <c r="H438" i="4"/>
  <c r="I438" i="4" s="1"/>
  <c r="H422" i="4"/>
  <c r="I422" i="4" s="1"/>
  <c r="H414" i="4"/>
  <c r="I414" i="4" s="1"/>
  <c r="H398" i="4"/>
  <c r="I398" i="4" s="1"/>
  <c r="H382" i="4"/>
  <c r="I382" i="4" s="1"/>
  <c r="H374" i="4"/>
  <c r="I374" i="4" s="1"/>
  <c r="H366" i="4"/>
  <c r="I366" i="4" s="1"/>
  <c r="H358" i="4"/>
  <c r="I358" i="4" s="1"/>
  <c r="H350" i="4"/>
  <c r="I350" i="4" s="1"/>
  <c r="H342" i="4"/>
  <c r="I342" i="4" s="1"/>
  <c r="H334" i="4"/>
  <c r="I334" i="4" s="1"/>
  <c r="H326" i="4"/>
  <c r="I326" i="4" s="1"/>
  <c r="H310" i="4"/>
  <c r="I310" i="4" s="1"/>
  <c r="H294" i="4"/>
  <c r="I294" i="4" s="1"/>
  <c r="H286" i="4"/>
  <c r="I286" i="4" s="1"/>
  <c r="H278" i="4"/>
  <c r="I278" i="4" s="1"/>
  <c r="H270" i="4"/>
  <c r="I270" i="4" s="1"/>
  <c r="H262" i="4"/>
  <c r="I262" i="4" s="1"/>
  <c r="H246" i="4"/>
  <c r="I246" i="4" s="1"/>
  <c r="H238" i="4"/>
  <c r="I238" i="4" s="1"/>
  <c r="H230" i="4"/>
  <c r="I230" i="4" s="1"/>
  <c r="H206" i="4"/>
  <c r="I206" i="4" s="1"/>
  <c r="H198" i="4"/>
  <c r="I198" i="4" s="1"/>
  <c r="H190" i="4"/>
  <c r="I190" i="4" s="1"/>
  <c r="H182" i="4"/>
  <c r="I182" i="4" s="1"/>
  <c r="H174" i="4"/>
  <c r="I174" i="4" s="1"/>
  <c r="H166" i="4"/>
  <c r="I166" i="4" s="1"/>
  <c r="H158" i="4"/>
  <c r="I158" i="4" s="1"/>
  <c r="H142" i="4"/>
  <c r="I142" i="4" s="1"/>
  <c r="H134" i="4"/>
  <c r="I134" i="4" s="1"/>
  <c r="H94" i="4"/>
  <c r="I94" i="4" s="1"/>
  <c r="H86" i="4"/>
  <c r="I86" i="4" s="1"/>
  <c r="H78" i="4"/>
  <c r="I78" i="4" s="1"/>
  <c r="H62" i="4"/>
  <c r="I62" i="4" s="1"/>
  <c r="H14" i="4"/>
  <c r="I14" i="4" s="1"/>
  <c r="H485" i="4"/>
  <c r="I485" i="4" s="1"/>
  <c r="H477" i="4"/>
  <c r="I477" i="4" s="1"/>
  <c r="H469" i="4"/>
  <c r="I469" i="4" s="1"/>
  <c r="H445" i="4"/>
  <c r="I445" i="4" s="1"/>
  <c r="H429" i="4"/>
  <c r="I429" i="4" s="1"/>
  <c r="H421" i="4"/>
  <c r="I421" i="4" s="1"/>
  <c r="H413" i="4"/>
  <c r="I413" i="4" s="1"/>
  <c r="H397" i="4"/>
  <c r="I397" i="4" s="1"/>
  <c r="H381" i="4"/>
  <c r="I381" i="4" s="1"/>
  <c r="H373" i="4"/>
  <c r="I373" i="4" s="1"/>
  <c r="H341" i="4"/>
  <c r="I341" i="4" s="1"/>
  <c r="H333" i="4"/>
  <c r="I333" i="4" s="1"/>
  <c r="H325" i="4"/>
  <c r="I325" i="4" s="1"/>
  <c r="H317" i="4"/>
  <c r="I317" i="4" s="1"/>
  <c r="H309" i="4"/>
  <c r="I309" i="4" s="1"/>
  <c r="H301" i="4"/>
  <c r="I301" i="4" s="1"/>
  <c r="H293" i="4"/>
  <c r="I293" i="4" s="1"/>
  <c r="H285" i="4"/>
  <c r="I285" i="4" s="1"/>
  <c r="H269" i="4"/>
  <c r="I269" i="4" s="1"/>
  <c r="H253" i="4"/>
  <c r="I253" i="4" s="1"/>
  <c r="H245" i="4"/>
  <c r="I245" i="4" s="1"/>
  <c r="H237" i="4"/>
  <c r="I237" i="4" s="1"/>
  <c r="H221" i="4"/>
  <c r="I221" i="4" s="1"/>
  <c r="H205" i="4"/>
  <c r="I205" i="4" s="1"/>
  <c r="H173" i="4"/>
  <c r="I173" i="4" s="1"/>
  <c r="H149" i="4"/>
  <c r="I149" i="4" s="1"/>
  <c r="H109" i="4"/>
  <c r="I109" i="4" s="1"/>
  <c r="H93" i="4"/>
  <c r="I93" i="4" s="1"/>
  <c r="H69" i="4"/>
  <c r="I69" i="4" s="1"/>
  <c r="H61" i="4"/>
  <c r="I61" i="4" s="1"/>
  <c r="H37" i="4"/>
  <c r="I37" i="4" s="1"/>
  <c r="H29" i="4"/>
  <c r="I29" i="4" s="1"/>
  <c r="H467" i="4"/>
  <c r="I467" i="4" s="1"/>
  <c r="H347" i="4"/>
  <c r="I347" i="4" s="1"/>
  <c r="H331" i="4"/>
  <c r="I331" i="4" s="1"/>
  <c r="H67" i="4"/>
  <c r="I67" i="4" s="1"/>
  <c r="H35" i="4"/>
  <c r="I35" i="4" s="1"/>
  <c r="H3" i="4"/>
  <c r="I3" i="4" s="1"/>
  <c r="H178" i="4"/>
  <c r="I178" i="4" s="1"/>
  <c r="H425" i="4"/>
  <c r="I425" i="4" s="1"/>
  <c r="H345" i="4"/>
  <c r="I345" i="4" s="1"/>
  <c r="H313" i="4"/>
  <c r="I313" i="4" s="1"/>
  <c r="H161" i="4"/>
  <c r="I161" i="4" s="1"/>
  <c r="H97" i="4"/>
  <c r="I97" i="4" s="1"/>
  <c r="H65" i="4"/>
  <c r="I65" i="4" s="1"/>
  <c r="H49" i="4"/>
  <c r="I49" i="4" s="1"/>
  <c r="H448" i="4"/>
  <c r="I448" i="4" s="1"/>
  <c r="H400" i="4"/>
  <c r="I400" i="4" s="1"/>
  <c r="H256" i="4"/>
  <c r="I256" i="4" s="1"/>
  <c r="H248" i="4"/>
  <c r="I248" i="4" s="1"/>
  <c r="H152" i="4"/>
  <c r="I152" i="4" s="1"/>
  <c r="H112" i="4"/>
  <c r="J112" i="4" s="1"/>
  <c r="H88" i="4"/>
  <c r="I88" i="4" s="1"/>
  <c r="H64" i="4"/>
  <c r="I64" i="4" s="1"/>
  <c r="H48" i="4"/>
  <c r="I48" i="4" s="1"/>
  <c r="H24" i="4"/>
  <c r="I24" i="4" s="1"/>
  <c r="H447" i="4"/>
  <c r="I447" i="4" s="1"/>
  <c r="H55" i="4"/>
  <c r="I55" i="4" s="1"/>
  <c r="H39" i="4"/>
  <c r="I39" i="4" s="1"/>
  <c r="H7" i="4"/>
  <c r="I7" i="4" s="1"/>
  <c r="H70" i="4"/>
  <c r="I70" i="4" s="1"/>
  <c r="H30" i="4"/>
  <c r="I30" i="4" s="1"/>
  <c r="H22" i="4"/>
  <c r="I22" i="4" s="1"/>
  <c r="H6" i="4"/>
  <c r="I6" i="4" s="1"/>
  <c r="H405" i="4"/>
  <c r="I405" i="4" s="1"/>
  <c r="H357" i="4"/>
  <c r="I357" i="4" s="1"/>
  <c r="H181" i="4"/>
  <c r="I181" i="4" s="1"/>
  <c r="H165" i="4"/>
  <c r="I165" i="4" s="1"/>
  <c r="H77" i="4"/>
  <c r="I77" i="4" s="1"/>
  <c r="H21" i="4"/>
  <c r="I21" i="4" s="1"/>
  <c r="H307" i="4"/>
  <c r="I307" i="4" s="1"/>
  <c r="H299" i="4"/>
  <c r="I299" i="4" s="1"/>
  <c r="H251" i="4"/>
  <c r="I251" i="4" s="1"/>
  <c r="H171" i="4"/>
  <c r="I171" i="4" s="1"/>
  <c r="H51" i="4"/>
  <c r="I51" i="4" s="1"/>
  <c r="H434" i="4"/>
  <c r="I434" i="4" s="1"/>
  <c r="H354" i="4"/>
  <c r="I354" i="4" s="1"/>
  <c r="H330" i="4"/>
  <c r="I330" i="4" s="1"/>
  <c r="H146" i="4"/>
  <c r="I146" i="4" s="1"/>
  <c r="H10" i="4"/>
  <c r="I10" i="4" s="1"/>
  <c r="H105" i="4"/>
  <c r="I105" i="4" s="1"/>
  <c r="H89" i="4"/>
  <c r="I89" i="4" s="1"/>
  <c r="H496" i="4"/>
  <c r="I496" i="4" s="1"/>
  <c r="H440" i="4"/>
  <c r="I440" i="4" s="1"/>
  <c r="H424" i="4"/>
  <c r="I424" i="4" s="1"/>
  <c r="H336" i="4"/>
  <c r="I336" i="4" s="1"/>
  <c r="H208" i="4"/>
  <c r="I208" i="4" s="1"/>
  <c r="H32" i="4"/>
  <c r="I32" i="4" s="1"/>
  <c r="H8" i="4"/>
  <c r="I8" i="4" s="1"/>
  <c r="H431" i="4"/>
  <c r="I431" i="4" s="1"/>
  <c r="H399" i="4"/>
  <c r="I399" i="4" s="1"/>
  <c r="H359" i="4"/>
  <c r="I359" i="4" s="1"/>
  <c r="H79" i="4"/>
  <c r="I79" i="4" s="1"/>
  <c r="H222" i="4"/>
  <c r="I222" i="4" s="1"/>
  <c r="H214" i="4"/>
  <c r="I214" i="4" s="1"/>
  <c r="H141" i="4"/>
  <c r="I141" i="4" s="1"/>
  <c r="H133" i="4"/>
  <c r="I133" i="4" s="1"/>
  <c r="H101" i="4"/>
  <c r="I101" i="4" s="1"/>
  <c r="H53" i="4"/>
  <c r="I53" i="4" s="1"/>
  <c r="H13" i="4"/>
  <c r="I13" i="4" s="1"/>
  <c r="H479" i="4"/>
  <c r="I479" i="4" s="1"/>
  <c r="H463" i="4"/>
  <c r="I463" i="4" s="1"/>
  <c r="H415" i="4"/>
  <c r="I415" i="4" s="1"/>
  <c r="H407" i="4"/>
  <c r="I407" i="4" s="1"/>
  <c r="H375" i="4"/>
  <c r="I375" i="4" s="1"/>
  <c r="H327" i="4"/>
  <c r="I327" i="4" s="1"/>
  <c r="H239" i="4"/>
  <c r="I239" i="4" s="1"/>
  <c r="H15" i="4"/>
  <c r="I15" i="4" s="1"/>
  <c r="H118" i="4"/>
  <c r="I118" i="4" s="1"/>
  <c r="H46" i="4"/>
  <c r="I46" i="4" s="1"/>
  <c r="H437" i="4"/>
  <c r="I437" i="4" s="1"/>
  <c r="H365" i="4"/>
  <c r="I365" i="4" s="1"/>
  <c r="H349" i="4"/>
  <c r="I349" i="4" s="1"/>
  <c r="H197" i="4"/>
  <c r="I197" i="4" s="1"/>
  <c r="H189" i="4"/>
  <c r="I189" i="4" s="1"/>
  <c r="H157" i="4"/>
  <c r="I157" i="4" s="1"/>
  <c r="H45" i="4"/>
  <c r="I45" i="4" s="1"/>
  <c r="H5" i="4"/>
  <c r="I5" i="4" s="1"/>
  <c r="H396" i="4"/>
  <c r="I396" i="4" s="1"/>
  <c r="H380" i="4"/>
  <c r="I380" i="4" s="1"/>
  <c r="H332" i="4"/>
  <c r="I332" i="4" s="1"/>
  <c r="H180" i="4"/>
  <c r="I180" i="4" s="1"/>
  <c r="H156" i="4"/>
  <c r="I156" i="4" s="1"/>
  <c r="H108" i="4"/>
  <c r="I108" i="4" s="1"/>
  <c r="H84" i="4"/>
  <c r="I84" i="4" s="1"/>
  <c r="H450" i="4"/>
  <c r="I450" i="4" s="1"/>
  <c r="G242" i="4"/>
  <c r="H202" i="4"/>
  <c r="I202" i="4" s="1"/>
  <c r="H106" i="4"/>
  <c r="I106" i="4" s="1"/>
  <c r="H273" i="4"/>
  <c r="I273" i="4" s="1"/>
  <c r="H169" i="4"/>
  <c r="I169" i="4" s="1"/>
  <c r="H33" i="4"/>
  <c r="I33" i="4" s="1"/>
  <c r="H343" i="4"/>
  <c r="I343" i="4" s="1"/>
  <c r="H335" i="4"/>
  <c r="I335" i="4" s="1"/>
  <c r="H311" i="4"/>
  <c r="I311" i="4" s="1"/>
  <c r="H151" i="4"/>
  <c r="I151" i="4" s="1"/>
  <c r="H127" i="4"/>
  <c r="I127" i="4" s="1"/>
  <c r="H87" i="4"/>
  <c r="I87" i="4" s="1"/>
  <c r="H430" i="4"/>
  <c r="I430" i="4" s="1"/>
  <c r="H406" i="4"/>
  <c r="I406" i="4" s="1"/>
  <c r="H302" i="4"/>
  <c r="I302" i="4" s="1"/>
  <c r="H150" i="4"/>
  <c r="I150" i="4" s="1"/>
  <c r="H110" i="4"/>
  <c r="I110" i="4" s="1"/>
  <c r="H102" i="4"/>
  <c r="I102" i="4" s="1"/>
  <c r="H389" i="4"/>
  <c r="I389" i="4" s="1"/>
  <c r="H277" i="4"/>
  <c r="I277" i="4" s="1"/>
  <c r="H261" i="4"/>
  <c r="I261" i="4" s="1"/>
  <c r="H229" i="4"/>
  <c r="I229" i="4" s="1"/>
  <c r="H213" i="4"/>
  <c r="I213" i="4" s="1"/>
  <c r="H85" i="4"/>
  <c r="I85" i="4" s="1"/>
  <c r="H444" i="4"/>
  <c r="I444" i="4" s="1"/>
  <c r="H428" i="4"/>
  <c r="I428" i="4" s="1"/>
  <c r="H420" i="4"/>
  <c r="I420" i="4" s="1"/>
  <c r="H388" i="4"/>
  <c r="I388" i="4" s="1"/>
  <c r="H268" i="4"/>
  <c r="I268" i="4" s="1"/>
  <c r="H252" i="4"/>
  <c r="I252" i="4" s="1"/>
  <c r="H236" i="4"/>
  <c r="I236" i="4" s="1"/>
  <c r="H100" i="4"/>
  <c r="I100" i="4" s="1"/>
  <c r="H483" i="4"/>
  <c r="I483" i="4" s="1"/>
  <c r="H443" i="4"/>
  <c r="I443" i="4" s="1"/>
  <c r="H411" i="4"/>
  <c r="I411" i="4" s="1"/>
  <c r="H267" i="4"/>
  <c r="I267" i="4" s="1"/>
  <c r="H243" i="4"/>
  <c r="I243" i="4" s="1"/>
  <c r="H235" i="4"/>
  <c r="I235" i="4" s="1"/>
  <c r="H203" i="4"/>
  <c r="I203" i="4" s="1"/>
  <c r="H195" i="4"/>
  <c r="I195" i="4" s="1"/>
  <c r="H83" i="4"/>
  <c r="I83" i="4" s="1"/>
  <c r="H27" i="4"/>
  <c r="I27" i="4" s="1"/>
  <c r="H402" i="4"/>
  <c r="I402" i="4" s="1"/>
  <c r="H370" i="4"/>
  <c r="I370" i="4" s="1"/>
  <c r="H362" i="4"/>
  <c r="I362" i="4" s="1"/>
  <c r="H258" i="4"/>
  <c r="I258" i="4" s="1"/>
  <c r="H250" i="4"/>
  <c r="I250" i="4" s="1"/>
  <c r="H234" i="4"/>
  <c r="I234" i="4" s="1"/>
  <c r="H138" i="4"/>
  <c r="I138" i="4" s="1"/>
  <c r="H26" i="4"/>
  <c r="I26" i="4" s="1"/>
  <c r="H129" i="4"/>
  <c r="J129" i="4" s="1"/>
  <c r="H81" i="4"/>
  <c r="I81" i="4" s="1"/>
  <c r="H17" i="4"/>
  <c r="I17" i="4" s="1"/>
  <c r="G489" i="4"/>
  <c r="H489" i="4"/>
  <c r="I489" i="4" s="1"/>
  <c r="G473" i="4"/>
  <c r="H473" i="4"/>
  <c r="I473" i="4" s="1"/>
  <c r="G433" i="4"/>
  <c r="H433" i="4"/>
  <c r="I433" i="4" s="1"/>
  <c r="G249" i="4"/>
  <c r="H249" i="4"/>
  <c r="I249" i="4" s="1"/>
  <c r="G241" i="4"/>
  <c r="H241" i="4"/>
  <c r="I241" i="4" s="1"/>
  <c r="H121" i="4"/>
  <c r="I121" i="4" s="1"/>
  <c r="G113" i="4"/>
  <c r="H113" i="4"/>
  <c r="J113" i="4" s="1"/>
  <c r="G41" i="4"/>
  <c r="H41" i="4"/>
  <c r="I41" i="4" s="1"/>
  <c r="G376" i="4"/>
  <c r="H376" i="4"/>
  <c r="I376" i="4" s="1"/>
  <c r="G344" i="4"/>
  <c r="H344" i="4"/>
  <c r="I344" i="4" s="1"/>
  <c r="G200" i="4"/>
  <c r="H200" i="4"/>
  <c r="I200" i="4" s="1"/>
  <c r="H120" i="4"/>
  <c r="K120" i="4" s="1"/>
  <c r="G56" i="4"/>
  <c r="H56" i="4"/>
  <c r="I56" i="4" s="1"/>
  <c r="H242" i="4"/>
  <c r="I242" i="4" s="1"/>
  <c r="G303" i="4"/>
  <c r="H303" i="4"/>
  <c r="I303" i="4" s="1"/>
  <c r="G247" i="4"/>
  <c r="H247" i="4"/>
  <c r="I247" i="4" s="1"/>
  <c r="G215" i="4"/>
  <c r="H215" i="4"/>
  <c r="I215" i="4" s="1"/>
  <c r="G175" i="4"/>
  <c r="H175" i="4"/>
  <c r="I175" i="4" s="1"/>
  <c r="G167" i="4"/>
  <c r="H167" i="4"/>
  <c r="I167" i="4" s="1"/>
  <c r="G390" i="4"/>
  <c r="H390" i="4"/>
  <c r="I390" i="4" s="1"/>
  <c r="G318" i="4"/>
  <c r="H318" i="4"/>
  <c r="I318" i="4" s="1"/>
  <c r="G254" i="4"/>
  <c r="H254" i="4"/>
  <c r="I254" i="4" s="1"/>
  <c r="H126" i="4"/>
  <c r="I126" i="4" s="1"/>
  <c r="H54" i="4"/>
  <c r="I54" i="4" s="1"/>
  <c r="H482" i="4"/>
  <c r="I482" i="4" s="1"/>
  <c r="G493" i="4"/>
  <c r="H493" i="4"/>
  <c r="I493" i="4" s="1"/>
  <c r="G461" i="4"/>
  <c r="H461" i="4"/>
  <c r="I461" i="4" s="1"/>
  <c r="G453" i="4"/>
  <c r="H453" i="4"/>
  <c r="I453" i="4" s="1"/>
  <c r="H125" i="4"/>
  <c r="K125" i="4" s="1"/>
  <c r="H117" i="4"/>
  <c r="I117" i="4" s="1"/>
  <c r="G452" i="4"/>
  <c r="H452" i="4"/>
  <c r="I452" i="4" s="1"/>
  <c r="G316" i="4"/>
  <c r="H316" i="4"/>
  <c r="I316" i="4" s="1"/>
  <c r="G260" i="4"/>
  <c r="H260" i="4"/>
  <c r="I260" i="4" s="1"/>
  <c r="G148" i="4"/>
  <c r="H148" i="4"/>
  <c r="I148" i="4" s="1"/>
  <c r="H116" i="4"/>
  <c r="I116" i="4" s="1"/>
  <c r="G12" i="4"/>
  <c r="H12" i="4"/>
  <c r="I12" i="4" s="1"/>
  <c r="H82" i="4"/>
  <c r="I82" i="4" s="1"/>
  <c r="G499" i="4"/>
  <c r="H499" i="4"/>
  <c r="I499" i="4" s="1"/>
  <c r="H322" i="4"/>
  <c r="I322" i="4" s="1"/>
  <c r="G387" i="4"/>
  <c r="H387" i="4"/>
  <c r="I387" i="4" s="1"/>
  <c r="G355" i="4"/>
  <c r="H355" i="4"/>
  <c r="I355" i="4" s="1"/>
  <c r="H115" i="4"/>
  <c r="J115" i="4" s="1"/>
  <c r="H2" i="4"/>
  <c r="I2" i="4" s="1"/>
  <c r="G476" i="4"/>
  <c r="G124" i="4"/>
  <c r="G114" i="4"/>
  <c r="G305" i="4"/>
  <c r="G71" i="4"/>
  <c r="G108" i="4"/>
  <c r="G74" i="4"/>
  <c r="G465" i="4"/>
  <c r="G281" i="4"/>
  <c r="G273" i="4"/>
  <c r="G392" i="4"/>
  <c r="G328" i="4"/>
  <c r="G343" i="4"/>
  <c r="G325" i="4"/>
  <c r="G380" i="4"/>
  <c r="G163" i="4"/>
  <c r="G327" i="4"/>
  <c r="G237" i="4"/>
  <c r="G309" i="4"/>
  <c r="G372" i="4"/>
  <c r="G292" i="4"/>
  <c r="G172" i="4"/>
  <c r="G28" i="4"/>
  <c r="G165" i="4"/>
  <c r="G2" i="4"/>
  <c r="G315" i="4"/>
  <c r="G219" i="4"/>
  <c r="G378" i="4"/>
  <c r="G346" i="4"/>
  <c r="G218" i="4"/>
  <c r="G401" i="4"/>
  <c r="G265" i="4"/>
  <c r="G240" i="4"/>
  <c r="G112" i="4"/>
  <c r="G24" i="4"/>
  <c r="G295" i="4"/>
  <c r="G149" i="4"/>
  <c r="G492" i="4"/>
  <c r="G348" i="4"/>
  <c r="G324" i="4"/>
  <c r="G236" i="4"/>
  <c r="G92" i="4"/>
  <c r="G486" i="4"/>
  <c r="G358" i="4"/>
  <c r="G302" i="4"/>
  <c r="G125" i="4"/>
  <c r="G252" i="4"/>
  <c r="G68" i="4"/>
  <c r="G211" i="4"/>
  <c r="G394" i="4"/>
  <c r="G194" i="4"/>
  <c r="G146" i="4"/>
  <c r="G129" i="4"/>
  <c r="G33" i="4"/>
  <c r="G16" i="4"/>
  <c r="G429" i="4"/>
  <c r="G133" i="4"/>
  <c r="G60" i="4"/>
  <c r="G491" i="4"/>
  <c r="G314" i="4"/>
  <c r="G306" i="4"/>
  <c r="G186" i="4"/>
  <c r="G122" i="4"/>
  <c r="G304" i="4"/>
  <c r="G168" i="4"/>
  <c r="G446" i="4"/>
  <c r="G134" i="4"/>
  <c r="G94" i="4"/>
  <c r="G469" i="4"/>
  <c r="G445" i="4"/>
  <c r="G181" i="4"/>
  <c r="G85" i="4"/>
  <c r="G69" i="4"/>
  <c r="G436" i="4"/>
  <c r="G428" i="4"/>
  <c r="G420" i="4"/>
  <c r="G412" i="4"/>
  <c r="G404" i="4"/>
  <c r="G396" i="4"/>
  <c r="G140" i="4"/>
  <c r="G116" i="4"/>
  <c r="G84" i="4"/>
  <c r="G76" i="4"/>
  <c r="G427" i="4"/>
  <c r="G131" i="4"/>
  <c r="G35" i="4"/>
  <c r="G490" i="4"/>
  <c r="G426" i="4"/>
  <c r="G418" i="4"/>
  <c r="G354" i="4"/>
  <c r="G258" i="4"/>
  <c r="G234" i="4"/>
  <c r="G178" i="4"/>
  <c r="G98" i="4"/>
  <c r="G50" i="4"/>
  <c r="G42" i="4"/>
  <c r="G290" i="4"/>
  <c r="G105" i="4"/>
  <c r="G17" i="4"/>
  <c r="G166" i="4"/>
  <c r="G150" i="4"/>
  <c r="G118" i="4"/>
  <c r="G441" i="4"/>
  <c r="G409" i="4"/>
  <c r="G313" i="4"/>
  <c r="G177" i="4"/>
  <c r="G145" i="4"/>
  <c r="G81" i="4"/>
  <c r="G65" i="4"/>
  <c r="G57" i="4"/>
  <c r="G25" i="4"/>
  <c r="G216" i="4"/>
  <c r="G160" i="4"/>
  <c r="G144" i="4"/>
  <c r="G120" i="4"/>
  <c r="G231" i="4"/>
  <c r="G15" i="4"/>
  <c r="G478" i="4"/>
  <c r="G462" i="4"/>
  <c r="G214" i="4"/>
  <c r="G381" i="4"/>
  <c r="G365" i="4"/>
  <c r="G277" i="4"/>
  <c r="G484" i="4"/>
  <c r="G460" i="4"/>
  <c r="G356" i="4"/>
  <c r="G340" i="4"/>
  <c r="G332" i="4"/>
  <c r="G52" i="4"/>
  <c r="G75" i="4"/>
  <c r="G233" i="4"/>
  <c r="G193" i="4"/>
  <c r="G256" i="4"/>
  <c r="G415" i="4"/>
  <c r="G79" i="4"/>
  <c r="G39" i="4"/>
  <c r="G222" i="4"/>
  <c r="G37" i="4"/>
  <c r="G388" i="4"/>
  <c r="G204" i="4"/>
  <c r="G164" i="4"/>
  <c r="G451" i="4"/>
  <c r="G435" i="4"/>
  <c r="G395" i="4"/>
  <c r="G498" i="4"/>
  <c r="G474" i="4"/>
  <c r="G466" i="4"/>
  <c r="G442" i="4"/>
  <c r="G282" i="4"/>
  <c r="G106" i="4"/>
  <c r="G58" i="4"/>
  <c r="G34" i="4"/>
  <c r="G464" i="4"/>
  <c r="G360" i="4"/>
  <c r="G264" i="4"/>
  <c r="G8" i="4"/>
  <c r="G439" i="4"/>
  <c r="G407" i="4"/>
  <c r="G255" i="4"/>
  <c r="G223" i="4"/>
  <c r="G207" i="4"/>
  <c r="G191" i="4"/>
  <c r="G95" i="4"/>
  <c r="G63" i="4"/>
  <c r="G31" i="4"/>
  <c r="G438" i="4"/>
  <c r="G238" i="4"/>
  <c r="G206" i="4"/>
  <c r="G182" i="4"/>
  <c r="G142" i="4"/>
  <c r="G126" i="4"/>
  <c r="G38" i="4"/>
  <c r="G6" i="4"/>
  <c r="G413" i="4"/>
  <c r="G341" i="4"/>
  <c r="G189" i="4"/>
  <c r="G11" i="4"/>
  <c r="G450" i="4"/>
  <c r="G434" i="4"/>
  <c r="G362" i="4"/>
  <c r="G338" i="4"/>
  <c r="G274" i="4"/>
  <c r="G226" i="4"/>
  <c r="G210" i="4"/>
  <c r="G170" i="4"/>
  <c r="G162" i="4"/>
  <c r="G90" i="4"/>
  <c r="G66" i="4"/>
  <c r="G363" i="4"/>
  <c r="G417" i="4"/>
  <c r="G345" i="4"/>
  <c r="G209" i="4"/>
  <c r="G107" i="4"/>
  <c r="G128" i="4"/>
  <c r="G179" i="4"/>
  <c r="G440" i="4"/>
  <c r="G271" i="4"/>
  <c r="G183" i="4"/>
  <c r="G159" i="4"/>
  <c r="G87" i="4"/>
  <c r="G419" i="4"/>
  <c r="G259" i="4"/>
  <c r="G470" i="4"/>
  <c r="G454" i="4"/>
  <c r="G430" i="4"/>
  <c r="G382" i="4"/>
  <c r="G350" i="4"/>
  <c r="G110" i="4"/>
  <c r="G22" i="4"/>
  <c r="G336" i="4"/>
  <c r="G437" i="4"/>
  <c r="G349" i="4"/>
  <c r="G293" i="4"/>
  <c r="G269" i="4"/>
  <c r="G261" i="4"/>
  <c r="G253" i="4"/>
  <c r="G229" i="4"/>
  <c r="G173" i="4"/>
  <c r="G117" i="4"/>
  <c r="G61" i="4"/>
  <c r="G459" i="4"/>
  <c r="G307" i="4"/>
  <c r="G291" i="4"/>
  <c r="G67" i="4"/>
  <c r="G43" i="4"/>
  <c r="G410" i="4"/>
  <c r="G330" i="4"/>
  <c r="G250" i="4"/>
  <c r="G138" i="4"/>
  <c r="G10" i="4"/>
  <c r="G425" i="4"/>
  <c r="G385" i="4"/>
  <c r="G361" i="4"/>
  <c r="G185" i="4"/>
  <c r="G169" i="4"/>
  <c r="G73" i="4"/>
  <c r="G432" i="4"/>
  <c r="G384" i="4"/>
  <c r="G352" i="4"/>
  <c r="G104" i="4"/>
  <c r="G64" i="4"/>
  <c r="G367" i="4"/>
  <c r="G199" i="4"/>
  <c r="G135" i="4"/>
  <c r="G230" i="4"/>
  <c r="G190" i="4"/>
  <c r="G78" i="4"/>
  <c r="G373" i="4"/>
  <c r="G213" i="4"/>
  <c r="G141" i="4"/>
  <c r="G45" i="4"/>
  <c r="G300" i="4"/>
  <c r="G268" i="4"/>
  <c r="G220" i="4"/>
  <c r="G188" i="4"/>
  <c r="G100" i="4"/>
  <c r="G36" i="4"/>
  <c r="G4" i="4"/>
  <c r="G308" i="4"/>
  <c r="G235" i="4"/>
  <c r="G297" i="4"/>
  <c r="G153" i="4"/>
  <c r="G89" i="4"/>
  <c r="G500" i="4"/>
  <c r="G424" i="4"/>
  <c r="G320" i="4"/>
  <c r="G312" i="4"/>
  <c r="G184" i="4"/>
  <c r="G152" i="4"/>
  <c r="G80" i="4"/>
  <c r="G32" i="4"/>
  <c r="G487" i="4"/>
  <c r="G463" i="4"/>
  <c r="G239" i="4"/>
  <c r="G119" i="4"/>
  <c r="G7" i="4"/>
  <c r="G329" i="4"/>
  <c r="G422" i="4"/>
  <c r="G414" i="4"/>
  <c r="G334" i="4"/>
  <c r="G86" i="4"/>
  <c r="G70" i="4"/>
  <c r="G421" i="4"/>
  <c r="G77" i="4"/>
  <c r="G468" i="4"/>
  <c r="G444" i="4"/>
  <c r="G364" i="4"/>
  <c r="G284" i="4"/>
  <c r="G276" i="4"/>
  <c r="G244" i="4"/>
  <c r="G228" i="4"/>
  <c r="G212" i="4"/>
  <c r="G196" i="4"/>
  <c r="G180" i="4"/>
  <c r="G156" i="4"/>
  <c r="G132" i="4"/>
  <c r="G44" i="4"/>
  <c r="G20" i="4"/>
  <c r="G483" i="4"/>
  <c r="G467" i="4"/>
  <c r="G371" i="4"/>
  <c r="G339" i="4"/>
  <c r="G331" i="4"/>
  <c r="G283" i="4"/>
  <c r="G275" i="4"/>
  <c r="G251" i="4"/>
  <c r="G227" i="4"/>
  <c r="G203" i="4"/>
  <c r="G187" i="4"/>
  <c r="G139" i="4"/>
  <c r="G83" i="4"/>
  <c r="G27" i="4"/>
  <c r="G377" i="4"/>
  <c r="G496" i="4"/>
  <c r="G456" i="4"/>
  <c r="G448" i="4"/>
  <c r="G416" i="4"/>
  <c r="G408" i="4"/>
  <c r="G400" i="4"/>
  <c r="G368" i="4"/>
  <c r="G288" i="4"/>
  <c r="G280" i="4"/>
  <c r="G248" i="4"/>
  <c r="G232" i="4"/>
  <c r="G224" i="4"/>
  <c r="G208" i="4"/>
  <c r="G192" i="4"/>
  <c r="G176" i="4"/>
  <c r="G136" i="4"/>
  <c r="G96" i="4"/>
  <c r="G72" i="4"/>
  <c r="G137" i="4"/>
  <c r="G495" i="4"/>
  <c r="G479" i="4"/>
  <c r="G471" i="4"/>
  <c r="G455" i="4"/>
  <c r="G399" i="4"/>
  <c r="G383" i="4"/>
  <c r="G375" i="4"/>
  <c r="G359" i="4"/>
  <c r="G335" i="4"/>
  <c r="G319" i="4"/>
  <c r="G311" i="4"/>
  <c r="G263" i="4"/>
  <c r="G127" i="4"/>
  <c r="G55" i="4"/>
  <c r="G457" i="4"/>
  <c r="G321" i="4"/>
  <c r="G97" i="4"/>
  <c r="G494" i="4"/>
  <c r="G374" i="4"/>
  <c r="G326" i="4"/>
  <c r="G294" i="4"/>
  <c r="G286" i="4"/>
  <c r="G270" i="4"/>
  <c r="G246" i="4"/>
  <c r="G174" i="4"/>
  <c r="G158" i="4"/>
  <c r="G62" i="4"/>
  <c r="G46" i="4"/>
  <c r="G30" i="4"/>
  <c r="G14" i="4"/>
  <c r="G449" i="4"/>
  <c r="G477" i="4"/>
  <c r="G405" i="4"/>
  <c r="G397" i="4"/>
  <c r="G389" i="4"/>
  <c r="G333" i="4"/>
  <c r="G317" i="4"/>
  <c r="G301" i="4"/>
  <c r="G285" i="4"/>
  <c r="G245" i="4"/>
  <c r="G205" i="4"/>
  <c r="G197" i="4"/>
  <c r="G53" i="4"/>
  <c r="G29" i="4"/>
  <c r="G5" i="4"/>
  <c r="G411" i="4"/>
  <c r="G403" i="4"/>
  <c r="G379" i="4"/>
  <c r="G299" i="4"/>
  <c r="G171" i="4"/>
  <c r="G155" i="4"/>
  <c r="G115" i="4"/>
  <c r="G99" i="4"/>
  <c r="G51" i="4"/>
  <c r="G19" i="4"/>
  <c r="G458" i="4"/>
  <c r="G402" i="4"/>
  <c r="G386" i="4"/>
  <c r="G370" i="4"/>
  <c r="G266" i="4"/>
  <c r="G202" i="4"/>
  <c r="G154" i="4"/>
  <c r="G26" i="4"/>
  <c r="G18" i="4"/>
  <c r="G497" i="4"/>
  <c r="G369" i="4"/>
  <c r="G201" i="4"/>
  <c r="G161" i="4"/>
  <c r="G121" i="4"/>
  <c r="G49" i="4"/>
  <c r="G488" i="4"/>
  <c r="G480" i="4"/>
  <c r="G472" i="4"/>
  <c r="G296" i="4"/>
  <c r="G272" i="4"/>
  <c r="G447" i="4"/>
  <c r="G151" i="4"/>
  <c r="G143" i="4"/>
  <c r="G111" i="4"/>
  <c r="G103" i="4"/>
  <c r="G47" i="4"/>
  <c r="G23" i="4"/>
  <c r="G406" i="4"/>
  <c r="G398" i="4"/>
  <c r="G366" i="4"/>
  <c r="G342" i="4"/>
  <c r="G310" i="4"/>
  <c r="G278" i="4"/>
  <c r="G262" i="4"/>
  <c r="G198" i="4"/>
  <c r="G102" i="4"/>
  <c r="G485" i="4"/>
  <c r="G357" i="4"/>
  <c r="G221" i="4"/>
  <c r="G157" i="4"/>
  <c r="G109" i="4"/>
  <c r="G93" i="4"/>
  <c r="G13" i="4"/>
  <c r="G475" i="4"/>
  <c r="G443" i="4"/>
  <c r="G347" i="4"/>
  <c r="G323" i="4"/>
  <c r="G267" i="4"/>
  <c r="G243" i="4"/>
  <c r="G195" i="4"/>
  <c r="G147" i="4"/>
  <c r="G123" i="4"/>
  <c r="G91" i="4"/>
  <c r="G59" i="4"/>
  <c r="G3" i="4"/>
  <c r="G298" i="4"/>
  <c r="G130" i="4"/>
  <c r="G481" i="4"/>
  <c r="G393" i="4"/>
  <c r="G353" i="4"/>
  <c r="G337" i="4"/>
  <c r="G289" i="4"/>
  <c r="G257" i="4"/>
  <c r="G225" i="4"/>
  <c r="G217" i="4"/>
  <c r="G9" i="4"/>
  <c r="G88" i="4"/>
  <c r="G48" i="4"/>
  <c r="G40" i="4"/>
  <c r="G431" i="4"/>
  <c r="G423" i="4"/>
  <c r="G391" i="4"/>
  <c r="G351" i="4"/>
  <c r="G287" i="4"/>
  <c r="G279" i="4"/>
  <c r="G101" i="4"/>
  <c r="G21" i="4"/>
  <c r="J488" i="4"/>
  <c r="J472" i="4"/>
  <c r="J456" i="4"/>
  <c r="J328" i="4"/>
  <c r="J72" i="4"/>
  <c r="J56" i="4"/>
  <c r="J168" i="4"/>
  <c r="J40" i="4"/>
  <c r="J152" i="4"/>
  <c r="J264" i="4"/>
  <c r="J162" i="4"/>
  <c r="J66" i="4"/>
  <c r="J34" i="4"/>
  <c r="J352" i="4"/>
  <c r="J288" i="4"/>
  <c r="J192" i="4"/>
  <c r="J474" i="4"/>
  <c r="J378" i="4"/>
  <c r="J346" i="4"/>
  <c r="J282" i="4"/>
  <c r="J186" i="4"/>
  <c r="J154" i="4"/>
  <c r="J58" i="4"/>
  <c r="J466" i="4"/>
  <c r="J496" i="4"/>
  <c r="J432" i="4"/>
  <c r="J272" i="4"/>
  <c r="J176" i="4"/>
  <c r="J490" i="4"/>
  <c r="J458" i="4"/>
  <c r="J426" i="4"/>
  <c r="J362" i="4"/>
  <c r="J266" i="4"/>
  <c r="J234" i="4"/>
  <c r="J457" i="4"/>
  <c r="J449" i="4"/>
  <c r="J377" i="4"/>
  <c r="J369" i="4"/>
  <c r="J297" i="4"/>
  <c r="J289" i="4"/>
  <c r="J249" i="4"/>
  <c r="J225" i="4"/>
  <c r="J209" i="4"/>
  <c r="J201" i="4"/>
  <c r="J169" i="4"/>
  <c r="J161" i="4"/>
  <c r="J81" i="4"/>
  <c r="J57" i="4"/>
  <c r="J49" i="4"/>
  <c r="J25" i="4"/>
  <c r="J17" i="4"/>
  <c r="J431" i="4"/>
  <c r="J423" i="4"/>
  <c r="J399" i="4"/>
  <c r="J391" i="4"/>
  <c r="J279" i="4"/>
  <c r="J271" i="4"/>
  <c r="J247" i="4"/>
  <c r="J239" i="4"/>
  <c r="J215" i="4"/>
  <c r="J191" i="4"/>
  <c r="J183" i="4"/>
  <c r="J135" i="4"/>
  <c r="J95" i="4"/>
  <c r="J71" i="4"/>
  <c r="J39" i="4"/>
  <c r="J470" i="4"/>
  <c r="J462" i="4"/>
  <c r="J430" i="4"/>
  <c r="J382" i="4"/>
  <c r="J374" i="4"/>
  <c r="J310" i="4"/>
  <c r="J294" i="4"/>
  <c r="J246" i="4"/>
  <c r="J230" i="4"/>
  <c r="J206" i="4"/>
  <c r="J166" i="4"/>
  <c r="J142" i="4"/>
  <c r="J134" i="4"/>
  <c r="J38" i="4"/>
  <c r="J14" i="4"/>
  <c r="J477" i="4"/>
  <c r="J469" i="4"/>
  <c r="J373" i="4"/>
  <c r="J341" i="4"/>
  <c r="J285" i="4"/>
  <c r="J269" i="4"/>
  <c r="J261" i="4"/>
  <c r="J205" i="4"/>
  <c r="J189" i="4"/>
  <c r="J181" i="4"/>
  <c r="J109" i="4"/>
  <c r="J53" i="4"/>
  <c r="J492" i="4"/>
  <c r="J484" i="4"/>
  <c r="J476" i="4"/>
  <c r="J388" i="4"/>
  <c r="J372" i="4"/>
  <c r="J364" i="4"/>
  <c r="J316" i="4"/>
  <c r="J308" i="4"/>
  <c r="J292" i="4"/>
  <c r="J284" i="4"/>
  <c r="J268" i="4"/>
  <c r="J196" i="4"/>
  <c r="J188" i="4"/>
  <c r="J156" i="4"/>
  <c r="J116" i="4"/>
  <c r="J76" i="4"/>
  <c r="J68" i="4"/>
  <c r="J52" i="4"/>
  <c r="J20" i="4"/>
  <c r="J491" i="4"/>
  <c r="J427" i="4"/>
  <c r="J403" i="4"/>
  <c r="J395" i="4"/>
  <c r="J387" i="4"/>
  <c r="J331" i="4"/>
  <c r="J291" i="4"/>
  <c r="J283" i="4"/>
  <c r="J275" i="4"/>
  <c r="J243" i="4"/>
  <c r="J211" i="4"/>
  <c r="J179" i="4"/>
  <c r="J171" i="4"/>
  <c r="J163" i="4"/>
  <c r="J139" i="4"/>
  <c r="J107" i="4"/>
  <c r="J91" i="4"/>
  <c r="J75" i="4"/>
  <c r="J59" i="4"/>
  <c r="J51" i="4"/>
  <c r="J11" i="4"/>
  <c r="K41" i="4"/>
  <c r="K457" i="4"/>
  <c r="K201" i="4"/>
  <c r="K169" i="4"/>
  <c r="K297" i="4"/>
  <c r="K377" i="4"/>
  <c r="K57" i="4"/>
  <c r="K369" i="4"/>
  <c r="K481" i="4"/>
  <c r="K289" i="4"/>
  <c r="K161" i="4"/>
  <c r="K89" i="4"/>
  <c r="K25" i="4"/>
  <c r="K273" i="4"/>
  <c r="K209" i="4"/>
  <c r="K17" i="4"/>
  <c r="K449" i="4"/>
  <c r="K496" i="4"/>
  <c r="K456" i="4"/>
  <c r="K432" i="4"/>
  <c r="K368" i="4"/>
  <c r="K352" i="4"/>
  <c r="K328" i="4"/>
  <c r="K272" i="4"/>
  <c r="K264" i="4"/>
  <c r="K176" i="4"/>
  <c r="K168" i="4"/>
  <c r="K152" i="4"/>
  <c r="K96" i="4"/>
  <c r="K72" i="4"/>
  <c r="K56" i="4"/>
  <c r="K40" i="4"/>
  <c r="K423" i="4"/>
  <c r="K399" i="4"/>
  <c r="K391" i="4"/>
  <c r="K335" i="4"/>
  <c r="K279" i="4"/>
  <c r="K271" i="4"/>
  <c r="K239" i="4"/>
  <c r="K207" i="4"/>
  <c r="K191" i="4"/>
  <c r="K183" i="4"/>
  <c r="K111" i="4"/>
  <c r="K95" i="4"/>
  <c r="K71" i="4"/>
  <c r="K39" i="4"/>
  <c r="K470" i="4"/>
  <c r="K462" i="4"/>
  <c r="K438" i="4"/>
  <c r="K430" i="4"/>
  <c r="K382" i="4"/>
  <c r="K374" i="4"/>
  <c r="K350" i="4"/>
  <c r="K310" i="4"/>
  <c r="K294" i="4"/>
  <c r="K246" i="4"/>
  <c r="K230" i="4"/>
  <c r="K206" i="4"/>
  <c r="K166" i="4"/>
  <c r="K142" i="4"/>
  <c r="K134" i="4"/>
  <c r="K38" i="4"/>
  <c r="K477" i="4"/>
  <c r="K469" i="4"/>
  <c r="K373" i="4"/>
  <c r="K341" i="4"/>
  <c r="K285" i="4"/>
  <c r="K277" i="4"/>
  <c r="K269" i="4"/>
  <c r="K261" i="4"/>
  <c r="K253" i="4"/>
  <c r="K245" i="4"/>
  <c r="K205" i="4"/>
  <c r="K197" i="4"/>
  <c r="K189" i="4"/>
  <c r="K181" i="4"/>
  <c r="K109" i="4"/>
  <c r="K53" i="4"/>
  <c r="K492" i="4"/>
  <c r="K484" i="4"/>
  <c r="K412" i="4"/>
  <c r="K388" i="4"/>
  <c r="K372" i="4"/>
  <c r="K364" i="4"/>
  <c r="K316" i="4"/>
  <c r="K292" i="4"/>
  <c r="K284" i="4"/>
  <c r="K268" i="4"/>
  <c r="K196" i="4"/>
  <c r="K188" i="4"/>
  <c r="K156" i="4"/>
  <c r="K116" i="4"/>
  <c r="K76" i="4"/>
  <c r="K68" i="4"/>
  <c r="K52" i="4"/>
  <c r="K491" i="4"/>
  <c r="K403" i="4"/>
  <c r="K395" i="4"/>
  <c r="K387" i="4"/>
  <c r="K331" i="4"/>
  <c r="K323" i="4"/>
  <c r="K291" i="4"/>
  <c r="K283" i="4"/>
  <c r="K243" i="4"/>
  <c r="K179" i="4"/>
  <c r="K163" i="4"/>
  <c r="K139" i="4"/>
  <c r="K91" i="4"/>
  <c r="K75" i="4"/>
  <c r="K59" i="4"/>
  <c r="K51" i="4"/>
  <c r="K35" i="4"/>
  <c r="K490" i="4"/>
  <c r="K474" i="4"/>
  <c r="K466" i="4"/>
  <c r="K458" i="4"/>
  <c r="K378" i="4"/>
  <c r="K362" i="4"/>
  <c r="K346" i="4"/>
  <c r="K298" i="4"/>
  <c r="K282" i="4"/>
  <c r="K266" i="4"/>
  <c r="K162" i="4"/>
  <c r="K154" i="4"/>
  <c r="K66" i="4"/>
  <c r="K58" i="4"/>
  <c r="Y172" i="4"/>
  <c r="AA172" i="4" s="1"/>
  <c r="AB468" i="4"/>
  <c r="AB371" i="4"/>
  <c r="AB85" i="4"/>
  <c r="AB434" i="4"/>
  <c r="AB77" i="4"/>
  <c r="Y166" i="4"/>
  <c r="AA166" i="4" s="1"/>
  <c r="AB373" i="4"/>
  <c r="AB37" i="4"/>
  <c r="AB2" i="4"/>
  <c r="AB277" i="4"/>
  <c r="Y493" i="4"/>
  <c r="AA493" i="4" s="1"/>
  <c r="AB262" i="4"/>
  <c r="Y442" i="4"/>
  <c r="AA442" i="4" s="1"/>
  <c r="AB189" i="4"/>
  <c r="AB491" i="4"/>
  <c r="AB173" i="4"/>
  <c r="Y333" i="4"/>
  <c r="AA333" i="4" s="1"/>
  <c r="AB461" i="4"/>
  <c r="AB358" i="4"/>
  <c r="AB261" i="4"/>
  <c r="AB157" i="4"/>
  <c r="AB61" i="4"/>
  <c r="Y469" i="4"/>
  <c r="AA469" i="4" s="1"/>
  <c r="Y325" i="4"/>
  <c r="AA325" i="4" s="1"/>
  <c r="Y76" i="4"/>
  <c r="AA76" i="4" s="1"/>
  <c r="AB445" i="4"/>
  <c r="AB357" i="4"/>
  <c r="AB236" i="4"/>
  <c r="AB149" i="4"/>
  <c r="AB45" i="4"/>
  <c r="Y317" i="4"/>
  <c r="AA317" i="4" s="1"/>
  <c r="Y68" i="4"/>
  <c r="AA68" i="4" s="1"/>
  <c r="AB230" i="4"/>
  <c r="AB133" i="4"/>
  <c r="Y260" i="4"/>
  <c r="AA260" i="4" s="1"/>
  <c r="Y62" i="4"/>
  <c r="AA62" i="4" s="1"/>
  <c r="AB429" i="4"/>
  <c r="AB332" i="4"/>
  <c r="AB229" i="4"/>
  <c r="AB117" i="4"/>
  <c r="AB6" i="4"/>
  <c r="Y259" i="4"/>
  <c r="AA259" i="4" s="1"/>
  <c r="AB412" i="4"/>
  <c r="AB301" i="4"/>
  <c r="AB221" i="4"/>
  <c r="AB108" i="4"/>
  <c r="AB5" i="4"/>
  <c r="Y422" i="4"/>
  <c r="AA422" i="4" s="1"/>
  <c r="AB492" i="4"/>
  <c r="AB397" i="4"/>
  <c r="AB293" i="4"/>
  <c r="AB198" i="4"/>
  <c r="AB102" i="4"/>
  <c r="AB4" i="4"/>
  <c r="Y413" i="4"/>
  <c r="AA413" i="4" s="1"/>
  <c r="Y180" i="4"/>
  <c r="AA180" i="4" s="1"/>
  <c r="B495" i="4" a="1"/>
  <c r="B495" i="4" s="1"/>
  <c r="C495" i="4" s="1"/>
  <c r="B497" i="4" a="1"/>
  <c r="B497" i="4" s="1"/>
  <c r="C497" i="4" s="1"/>
  <c r="B481" i="4" a="1"/>
  <c r="B481" i="4" s="1"/>
  <c r="C481" i="4" s="1"/>
  <c r="B479" i="4" a="1"/>
  <c r="B479" i="4" s="1"/>
  <c r="C479" i="4" s="1"/>
  <c r="B455" i="4" a="1"/>
  <c r="B455" i="4" s="1"/>
  <c r="C455" i="4" s="1"/>
  <c r="B447" i="4" a="1"/>
  <c r="B447" i="4" s="1"/>
  <c r="C447" i="4" s="1"/>
  <c r="B487" i="4" a="1"/>
  <c r="B487" i="4" s="1"/>
  <c r="C487" i="4" s="1"/>
  <c r="B463" i="4" a="1"/>
  <c r="B463" i="4" s="1"/>
  <c r="C463" i="4" s="1"/>
  <c r="B494" i="4" a="1"/>
  <c r="B494" i="4" s="1"/>
  <c r="C494" i="4" s="1"/>
  <c r="B471" i="4" a="1"/>
  <c r="B471" i="4" s="1"/>
  <c r="C471" i="4" s="1"/>
  <c r="B485" i="4" a="1"/>
  <c r="B485" i="4" s="1"/>
  <c r="C485" i="4" s="1"/>
  <c r="B477" i="4" a="1"/>
  <c r="B477" i="4" s="1"/>
  <c r="C477" i="4" s="1"/>
  <c r="B493" i="4" a="1"/>
  <c r="B493" i="4" s="1"/>
  <c r="C493" i="4" s="1"/>
  <c r="B2" i="4" a="1"/>
  <c r="B2" i="4" s="1"/>
  <c r="C2" i="4" s="1"/>
  <c r="B475" i="4" a="1"/>
  <c r="B475" i="4" s="1"/>
  <c r="C475" i="4" s="1"/>
  <c r="B459" i="4" a="1"/>
  <c r="B459" i="4" s="1"/>
  <c r="C459" i="4" s="1"/>
  <c r="B483" i="4" a="1"/>
  <c r="B483" i="4" s="1"/>
  <c r="C483" i="4" s="1"/>
  <c r="B467" i="4" a="1"/>
  <c r="B467" i="4" s="1"/>
  <c r="C467" i="4" s="1"/>
  <c r="B498" i="4" a="1"/>
  <c r="B498" i="4" s="1"/>
  <c r="C498" i="4" s="1"/>
  <c r="B491" i="4" a="1"/>
  <c r="B491" i="4" s="1"/>
  <c r="C491" i="4" s="1"/>
  <c r="B489" i="4" a="1"/>
  <c r="B489" i="4" s="1"/>
  <c r="C489" i="4" s="1"/>
  <c r="B473" i="4" a="1"/>
  <c r="B473" i="4" s="1"/>
  <c r="C473" i="4" s="1"/>
  <c r="B451" i="4" a="1"/>
  <c r="B451" i="4" s="1"/>
  <c r="C451" i="4" s="1"/>
  <c r="B443" i="4" a="1"/>
  <c r="B443" i="4" s="1"/>
  <c r="C443" i="4" s="1"/>
  <c r="B435" i="4" a="1"/>
  <c r="B435" i="4" s="1"/>
  <c r="C435" i="4" s="1"/>
  <c r="B427" i="4" a="1"/>
  <c r="B427" i="4" s="1"/>
  <c r="C427" i="4" s="1"/>
  <c r="B419" i="4" a="1"/>
  <c r="B419" i="4" s="1"/>
  <c r="C419" i="4" s="1"/>
  <c r="B411" i="4" a="1"/>
  <c r="B411" i="4" s="1"/>
  <c r="C411" i="4" s="1"/>
  <c r="B403" i="4" a="1"/>
  <c r="B403" i="4" s="1"/>
  <c r="C403" i="4" s="1"/>
  <c r="B395" i="4" a="1"/>
  <c r="B395" i="4" s="1"/>
  <c r="C395" i="4" s="1"/>
  <c r="B387" i="4" a="1"/>
  <c r="B387" i="4" s="1"/>
  <c r="C387" i="4" s="1"/>
  <c r="B379" i="4" a="1"/>
  <c r="B379" i="4" s="1"/>
  <c r="C379" i="4" s="1"/>
  <c r="B371" i="4" a="1"/>
  <c r="B371" i="4" s="1"/>
  <c r="C371" i="4" s="1"/>
  <c r="B363" i="4" a="1"/>
  <c r="B363" i="4" s="1"/>
  <c r="C363" i="4" s="1"/>
  <c r="B355" i="4" a="1"/>
  <c r="B355" i="4" s="1"/>
  <c r="C355" i="4" s="1"/>
  <c r="B347" i="4" a="1"/>
  <c r="B347" i="4" s="1"/>
  <c r="C347" i="4" s="1"/>
  <c r="B339" i="4" a="1"/>
  <c r="B339" i="4" s="1"/>
  <c r="C339" i="4" s="1"/>
  <c r="B331" i="4" a="1"/>
  <c r="B331" i="4" s="1"/>
  <c r="C331" i="4" s="1"/>
  <c r="B323" i="4" a="1"/>
  <c r="B323" i="4" s="1"/>
  <c r="C323" i="4" s="1"/>
  <c r="B315" i="4" a="1"/>
  <c r="B315" i="4" s="1"/>
  <c r="C315" i="4" s="1"/>
  <c r="B307" i="4" a="1"/>
  <c r="B307" i="4" s="1"/>
  <c r="C307" i="4" s="1"/>
  <c r="B299" i="4" a="1"/>
  <c r="B299" i="4" s="1"/>
  <c r="C299" i="4" s="1"/>
  <c r="B291" i="4" a="1"/>
  <c r="B291" i="4" s="1"/>
  <c r="C291" i="4" s="1"/>
  <c r="B283" i="4" a="1"/>
  <c r="B283" i="4" s="1"/>
  <c r="C283" i="4" s="1"/>
  <c r="B275" i="4" a="1"/>
  <c r="B275" i="4" s="1"/>
  <c r="C275" i="4" s="1"/>
  <c r="B267" i="4" a="1"/>
  <c r="B267" i="4" s="1"/>
  <c r="C267" i="4" s="1"/>
  <c r="B259" i="4" a="1"/>
  <c r="B259" i="4" s="1"/>
  <c r="C259" i="4" s="1"/>
  <c r="B251" i="4" a="1"/>
  <c r="B251" i="4" s="1"/>
  <c r="C251" i="4" s="1"/>
  <c r="B243" i="4" a="1"/>
  <c r="B243" i="4" s="1"/>
  <c r="C243" i="4" s="1"/>
  <c r="B235" i="4" a="1"/>
  <c r="B235" i="4" s="1"/>
  <c r="C235" i="4" s="1"/>
  <c r="B227" i="4" a="1"/>
  <c r="B227" i="4" s="1"/>
  <c r="C227" i="4" s="1"/>
  <c r="B219" i="4" a="1"/>
  <c r="B219" i="4" s="1"/>
  <c r="C219" i="4" s="1"/>
  <c r="B211" i="4" a="1"/>
  <c r="B211" i="4" s="1"/>
  <c r="C211" i="4" s="1"/>
  <c r="B203" i="4" a="1"/>
  <c r="B203" i="4" s="1"/>
  <c r="C203" i="4" s="1"/>
  <c r="B195" i="4" a="1"/>
  <c r="B195" i="4" s="1"/>
  <c r="C195" i="4" s="1"/>
  <c r="B187" i="4" a="1"/>
  <c r="B187" i="4" s="1"/>
  <c r="C187" i="4" s="1"/>
  <c r="B179" i="4" a="1"/>
  <c r="B179" i="4" s="1"/>
  <c r="C179" i="4" s="1"/>
  <c r="B171" i="4" a="1"/>
  <c r="B171" i="4" s="1"/>
  <c r="C171" i="4" s="1"/>
  <c r="B163" i="4" a="1"/>
  <c r="B163" i="4" s="1"/>
  <c r="C163" i="4" s="1"/>
  <c r="B155" i="4" a="1"/>
  <c r="B155" i="4" s="1"/>
  <c r="C155" i="4" s="1"/>
  <c r="B147" i="4" a="1"/>
  <c r="B147" i="4" s="1"/>
  <c r="C147" i="4" s="1"/>
  <c r="B139" i="4" a="1"/>
  <c r="B139" i="4" s="1"/>
  <c r="C139" i="4" s="1"/>
  <c r="B131" i="4" a="1"/>
  <c r="B131" i="4" s="1"/>
  <c r="C131" i="4" s="1"/>
  <c r="B123" i="4" a="1"/>
  <c r="B123" i="4" s="1"/>
  <c r="C123" i="4" s="1"/>
  <c r="B115" i="4" a="1"/>
  <c r="B115" i="4" s="1"/>
  <c r="C115" i="4" s="1"/>
  <c r="B107" i="4" a="1"/>
  <c r="B107" i="4" s="1"/>
  <c r="C107" i="4" s="1"/>
  <c r="B99" i="4" a="1"/>
  <c r="B99" i="4" s="1"/>
  <c r="C99" i="4" s="1"/>
  <c r="B91" i="4" a="1"/>
  <c r="B91" i="4" s="1"/>
  <c r="C91" i="4" s="1"/>
  <c r="B83" i="4" a="1"/>
  <c r="B83" i="4" s="1"/>
  <c r="C83" i="4" s="1"/>
  <c r="B75" i="4" a="1"/>
  <c r="B75" i="4" s="1"/>
  <c r="C75" i="4" s="1"/>
  <c r="B67" i="4" a="1"/>
  <c r="B67" i="4" s="1"/>
  <c r="C67" i="4" s="1"/>
  <c r="B59" i="4" a="1"/>
  <c r="B59" i="4" s="1"/>
  <c r="C59" i="4" s="1"/>
  <c r="B51" i="4" a="1"/>
  <c r="B51" i="4" s="1"/>
  <c r="C51" i="4" s="1"/>
  <c r="B43" i="4" a="1"/>
  <c r="B43" i="4" s="1"/>
  <c r="C43" i="4" s="1"/>
  <c r="B35" i="4" a="1"/>
  <c r="B35" i="4" s="1"/>
  <c r="C35" i="4" s="1"/>
  <c r="B27" i="4" a="1"/>
  <c r="B27" i="4" s="1"/>
  <c r="C27" i="4" s="1"/>
  <c r="B19" i="4" a="1"/>
  <c r="B19" i="4" s="1"/>
  <c r="C19" i="4" s="1"/>
  <c r="B11" i="4" a="1"/>
  <c r="B11" i="4" s="1"/>
  <c r="C11" i="4" s="1"/>
  <c r="B3" i="4" a="1"/>
  <c r="B3" i="4" s="1"/>
  <c r="C3" i="4" s="1"/>
  <c r="B490" i="4" a="1"/>
  <c r="B490" i="4" s="1"/>
  <c r="C490" i="4" s="1"/>
  <c r="B482" i="4" a="1"/>
  <c r="B482" i="4" s="1"/>
  <c r="C482" i="4" s="1"/>
  <c r="B474" i="4" a="1"/>
  <c r="B474" i="4" s="1"/>
  <c r="C474" i="4" s="1"/>
  <c r="B466" i="4" a="1"/>
  <c r="B466" i="4" s="1"/>
  <c r="C466" i="4" s="1"/>
  <c r="B458" i="4" a="1"/>
  <c r="B458" i="4" s="1"/>
  <c r="C458" i="4" s="1"/>
  <c r="B450" i="4" a="1"/>
  <c r="B450" i="4" s="1"/>
  <c r="C450" i="4" s="1"/>
  <c r="B442" i="4" a="1"/>
  <c r="B442" i="4" s="1"/>
  <c r="C442" i="4" s="1"/>
  <c r="B434" i="4" a="1"/>
  <c r="B434" i="4" s="1"/>
  <c r="C434" i="4" s="1"/>
  <c r="B426" i="4" a="1"/>
  <c r="B426" i="4" s="1"/>
  <c r="C426" i="4" s="1"/>
  <c r="B418" i="4" a="1"/>
  <c r="B418" i="4" s="1"/>
  <c r="C418" i="4" s="1"/>
  <c r="B410" i="4" a="1"/>
  <c r="B410" i="4" s="1"/>
  <c r="C410" i="4" s="1"/>
  <c r="B402" i="4" a="1"/>
  <c r="B402" i="4" s="1"/>
  <c r="C402" i="4" s="1"/>
  <c r="B394" i="4" a="1"/>
  <c r="B394" i="4" s="1"/>
  <c r="C394" i="4" s="1"/>
  <c r="B386" i="4" a="1"/>
  <c r="B386" i="4" s="1"/>
  <c r="C386" i="4" s="1"/>
  <c r="B378" i="4" a="1"/>
  <c r="B378" i="4" s="1"/>
  <c r="C378" i="4" s="1"/>
  <c r="B370" i="4" a="1"/>
  <c r="B370" i="4" s="1"/>
  <c r="C370" i="4" s="1"/>
  <c r="B362" i="4" a="1"/>
  <c r="B362" i="4" s="1"/>
  <c r="C362" i="4" s="1"/>
  <c r="B354" i="4" a="1"/>
  <c r="B354" i="4" s="1"/>
  <c r="C354" i="4" s="1"/>
  <c r="B346" i="4" a="1"/>
  <c r="B346" i="4" s="1"/>
  <c r="C346" i="4" s="1"/>
  <c r="B338" i="4" a="1"/>
  <c r="B338" i="4" s="1"/>
  <c r="C338" i="4" s="1"/>
  <c r="B330" i="4" a="1"/>
  <c r="B330" i="4" s="1"/>
  <c r="C330" i="4" s="1"/>
  <c r="B322" i="4" a="1"/>
  <c r="B322" i="4" s="1"/>
  <c r="C322" i="4" s="1"/>
  <c r="B314" i="4" a="1"/>
  <c r="B314" i="4" s="1"/>
  <c r="C314" i="4" s="1"/>
  <c r="B306" i="4" a="1"/>
  <c r="B306" i="4" s="1"/>
  <c r="C306" i="4" s="1"/>
  <c r="B298" i="4" a="1"/>
  <c r="B298" i="4" s="1"/>
  <c r="C298" i="4" s="1"/>
  <c r="B290" i="4" a="1"/>
  <c r="B290" i="4" s="1"/>
  <c r="C290" i="4" s="1"/>
  <c r="B282" i="4" a="1"/>
  <c r="B282" i="4" s="1"/>
  <c r="C282" i="4" s="1"/>
  <c r="B274" i="4" a="1"/>
  <c r="B274" i="4" s="1"/>
  <c r="C274" i="4" s="1"/>
  <c r="B266" i="4" a="1"/>
  <c r="B266" i="4" s="1"/>
  <c r="C266" i="4" s="1"/>
  <c r="B258" i="4" a="1"/>
  <c r="B258" i="4" s="1"/>
  <c r="C258" i="4" s="1"/>
  <c r="B250" i="4" a="1"/>
  <c r="B250" i="4" s="1"/>
  <c r="C250" i="4" s="1"/>
  <c r="B242" i="4" a="1"/>
  <c r="B242" i="4" s="1"/>
  <c r="C242" i="4" s="1"/>
  <c r="B234" i="4" a="1"/>
  <c r="B234" i="4" s="1"/>
  <c r="C234" i="4" s="1"/>
  <c r="B226" i="4" a="1"/>
  <c r="B226" i="4" s="1"/>
  <c r="C226" i="4" s="1"/>
  <c r="B218" i="4" a="1"/>
  <c r="B218" i="4" s="1"/>
  <c r="C218" i="4" s="1"/>
  <c r="B210" i="4" a="1"/>
  <c r="B210" i="4" s="1"/>
  <c r="C210" i="4" s="1"/>
  <c r="B202" i="4" a="1"/>
  <c r="B202" i="4" s="1"/>
  <c r="C202" i="4" s="1"/>
  <c r="B194" i="4" a="1"/>
  <c r="B194" i="4" s="1"/>
  <c r="C194" i="4" s="1"/>
  <c r="B186" i="4" a="1"/>
  <c r="B186" i="4" s="1"/>
  <c r="C186" i="4" s="1"/>
  <c r="B178" i="4" a="1"/>
  <c r="B178" i="4" s="1"/>
  <c r="C178" i="4" s="1"/>
  <c r="B170" i="4" a="1"/>
  <c r="B170" i="4" s="1"/>
  <c r="C170" i="4" s="1"/>
  <c r="B162" i="4" a="1"/>
  <c r="B162" i="4" s="1"/>
  <c r="C162" i="4" s="1"/>
  <c r="B154" i="4" a="1"/>
  <c r="B154" i="4" s="1"/>
  <c r="C154" i="4" s="1"/>
  <c r="B146" i="4" a="1"/>
  <c r="B146" i="4" s="1"/>
  <c r="C146" i="4" s="1"/>
  <c r="B138" i="4" a="1"/>
  <c r="B138" i="4" s="1"/>
  <c r="C138" i="4" s="1"/>
  <c r="B130" i="4" a="1"/>
  <c r="B130" i="4" s="1"/>
  <c r="C130" i="4" s="1"/>
  <c r="B122" i="4" a="1"/>
  <c r="B122" i="4" s="1"/>
  <c r="C122" i="4" s="1"/>
  <c r="B114" i="4" a="1"/>
  <c r="B114" i="4" s="1"/>
  <c r="C114" i="4" s="1"/>
  <c r="B106" i="4" a="1"/>
  <c r="B106" i="4" s="1"/>
  <c r="C106" i="4" s="1"/>
  <c r="B98" i="4" a="1"/>
  <c r="B98" i="4" s="1"/>
  <c r="C98" i="4" s="1"/>
  <c r="B90" i="4" a="1"/>
  <c r="B90" i="4" s="1"/>
  <c r="C90" i="4" s="1"/>
  <c r="B82" i="4" a="1"/>
  <c r="B82" i="4" s="1"/>
  <c r="C82" i="4" s="1"/>
  <c r="B74" i="4" a="1"/>
  <c r="B74" i="4" s="1"/>
  <c r="C74" i="4" s="1"/>
  <c r="B66" i="4" a="1"/>
  <c r="B66" i="4" s="1"/>
  <c r="C66" i="4" s="1"/>
  <c r="B58" i="4" a="1"/>
  <c r="B58" i="4" s="1"/>
  <c r="C58" i="4" s="1"/>
  <c r="B50" i="4" a="1"/>
  <c r="B50" i="4" s="1"/>
  <c r="C50" i="4" s="1"/>
  <c r="B465" i="4" a="1"/>
  <c r="B465" i="4" s="1"/>
  <c r="C465" i="4" s="1"/>
  <c r="B449" i="4" a="1"/>
  <c r="B449" i="4" s="1"/>
  <c r="C449" i="4" s="1"/>
  <c r="B433" i="4" a="1"/>
  <c r="B433" i="4" s="1"/>
  <c r="C433" i="4" s="1"/>
  <c r="B425" i="4" a="1"/>
  <c r="B425" i="4" s="1"/>
  <c r="C425" i="4" s="1"/>
  <c r="B417" i="4" a="1"/>
  <c r="B417" i="4" s="1"/>
  <c r="C417" i="4" s="1"/>
  <c r="B409" i="4" a="1"/>
  <c r="B409" i="4" s="1"/>
  <c r="C409" i="4" s="1"/>
  <c r="B401" i="4" a="1"/>
  <c r="B401" i="4" s="1"/>
  <c r="C401" i="4" s="1"/>
  <c r="B393" i="4" a="1"/>
  <c r="B393" i="4" s="1"/>
  <c r="C393" i="4" s="1"/>
  <c r="B385" i="4" a="1"/>
  <c r="B385" i="4" s="1"/>
  <c r="C385" i="4" s="1"/>
  <c r="B377" i="4" a="1"/>
  <c r="B377" i="4" s="1"/>
  <c r="C377" i="4" s="1"/>
  <c r="B369" i="4" a="1"/>
  <c r="B369" i="4" s="1"/>
  <c r="C369" i="4" s="1"/>
  <c r="B361" i="4" a="1"/>
  <c r="B361" i="4" s="1"/>
  <c r="C361" i="4" s="1"/>
  <c r="B353" i="4" a="1"/>
  <c r="B353" i="4" s="1"/>
  <c r="C353" i="4" s="1"/>
  <c r="B345" i="4" a="1"/>
  <c r="B345" i="4" s="1"/>
  <c r="C345" i="4" s="1"/>
  <c r="B337" i="4" a="1"/>
  <c r="B337" i="4" s="1"/>
  <c r="C337" i="4" s="1"/>
  <c r="B329" i="4" a="1"/>
  <c r="B329" i="4" s="1"/>
  <c r="C329" i="4" s="1"/>
  <c r="B321" i="4" a="1"/>
  <c r="B321" i="4" s="1"/>
  <c r="C321" i="4" s="1"/>
  <c r="B313" i="4" a="1"/>
  <c r="B313" i="4" s="1"/>
  <c r="C313" i="4" s="1"/>
  <c r="B305" i="4" a="1"/>
  <c r="B305" i="4" s="1"/>
  <c r="C305" i="4" s="1"/>
  <c r="B297" i="4" a="1"/>
  <c r="B297" i="4" s="1"/>
  <c r="C297" i="4" s="1"/>
  <c r="B289" i="4" a="1"/>
  <c r="B289" i="4" s="1"/>
  <c r="C289" i="4" s="1"/>
  <c r="B281" i="4" a="1"/>
  <c r="B281" i="4" s="1"/>
  <c r="C281" i="4" s="1"/>
  <c r="B273" i="4" a="1"/>
  <c r="B273" i="4" s="1"/>
  <c r="C273" i="4" s="1"/>
  <c r="B265" i="4" a="1"/>
  <c r="B265" i="4" s="1"/>
  <c r="C265" i="4" s="1"/>
  <c r="B257" i="4" a="1"/>
  <c r="B257" i="4" s="1"/>
  <c r="C257" i="4" s="1"/>
  <c r="B249" i="4" a="1"/>
  <c r="B249" i="4" s="1"/>
  <c r="C249" i="4" s="1"/>
  <c r="B241" i="4" a="1"/>
  <c r="B241" i="4" s="1"/>
  <c r="C241" i="4" s="1"/>
  <c r="B233" i="4" a="1"/>
  <c r="B233" i="4" s="1"/>
  <c r="C233" i="4" s="1"/>
  <c r="B225" i="4" a="1"/>
  <c r="B225" i="4" s="1"/>
  <c r="C225" i="4" s="1"/>
  <c r="B217" i="4" a="1"/>
  <c r="B217" i="4" s="1"/>
  <c r="C217" i="4" s="1"/>
  <c r="B209" i="4" a="1"/>
  <c r="B209" i="4" s="1"/>
  <c r="C209" i="4" s="1"/>
  <c r="B201" i="4" a="1"/>
  <c r="B201" i="4" s="1"/>
  <c r="C201" i="4" s="1"/>
  <c r="B193" i="4" a="1"/>
  <c r="B193" i="4" s="1"/>
  <c r="C193" i="4" s="1"/>
  <c r="B185" i="4" a="1"/>
  <c r="B185" i="4" s="1"/>
  <c r="C185" i="4" s="1"/>
  <c r="B177" i="4" a="1"/>
  <c r="B177" i="4" s="1"/>
  <c r="C177" i="4" s="1"/>
  <c r="B169" i="4" a="1"/>
  <c r="B169" i="4" s="1"/>
  <c r="C169" i="4" s="1"/>
  <c r="B161" i="4" a="1"/>
  <c r="B161" i="4" s="1"/>
  <c r="C161" i="4" s="1"/>
  <c r="B153" i="4" a="1"/>
  <c r="B153" i="4" s="1"/>
  <c r="C153" i="4" s="1"/>
  <c r="B145" i="4" a="1"/>
  <c r="B145" i="4" s="1"/>
  <c r="C145" i="4" s="1"/>
  <c r="B137" i="4" a="1"/>
  <c r="B137" i="4" s="1"/>
  <c r="C137" i="4" s="1"/>
  <c r="B129" i="4" a="1"/>
  <c r="B129" i="4" s="1"/>
  <c r="C129" i="4" s="1"/>
  <c r="B121" i="4" a="1"/>
  <c r="B121" i="4" s="1"/>
  <c r="C121" i="4" s="1"/>
  <c r="B113" i="4" a="1"/>
  <c r="B113" i="4" s="1"/>
  <c r="C113" i="4" s="1"/>
  <c r="B105" i="4" a="1"/>
  <c r="B105" i="4" s="1"/>
  <c r="C105" i="4" s="1"/>
  <c r="B97" i="4" a="1"/>
  <c r="B97" i="4" s="1"/>
  <c r="C97" i="4" s="1"/>
  <c r="B89" i="4" a="1"/>
  <c r="B89" i="4" s="1"/>
  <c r="C89" i="4" s="1"/>
  <c r="B81" i="4" a="1"/>
  <c r="B81" i="4" s="1"/>
  <c r="C81" i="4" s="1"/>
  <c r="B73" i="4" a="1"/>
  <c r="B73" i="4" s="1"/>
  <c r="C73" i="4" s="1"/>
  <c r="B65" i="4" a="1"/>
  <c r="B65" i="4" s="1"/>
  <c r="C65" i="4" s="1"/>
  <c r="B57" i="4" a="1"/>
  <c r="B57" i="4" s="1"/>
  <c r="C57" i="4" s="1"/>
  <c r="B49" i="4" a="1"/>
  <c r="B49" i="4" s="1"/>
  <c r="C49" i="4" s="1"/>
  <c r="B41" i="4" a="1"/>
  <c r="B41" i="4" s="1"/>
  <c r="C41" i="4" s="1"/>
  <c r="B33" i="4" a="1"/>
  <c r="B33" i="4" s="1"/>
  <c r="C33" i="4" s="1"/>
  <c r="B25" i="4" a="1"/>
  <c r="B25" i="4" s="1"/>
  <c r="C25" i="4" s="1"/>
  <c r="B17" i="4" a="1"/>
  <c r="B17" i="4" s="1"/>
  <c r="C17" i="4" s="1"/>
  <c r="B9" i="4" a="1"/>
  <c r="B9" i="4" s="1"/>
  <c r="C9" i="4" s="1"/>
  <c r="B500" i="4" a="1"/>
  <c r="B500" i="4" s="1"/>
  <c r="C500" i="4" s="1"/>
  <c r="B457" i="4" a="1"/>
  <c r="B457" i="4" s="1"/>
  <c r="C457" i="4" s="1"/>
  <c r="B441" i="4" a="1"/>
  <c r="B441" i="4" s="1"/>
  <c r="C441" i="4" s="1"/>
  <c r="B496" i="4" a="1"/>
  <c r="B496" i="4" s="1"/>
  <c r="C496" i="4" s="1"/>
  <c r="B488" i="4" a="1"/>
  <c r="B488" i="4" s="1"/>
  <c r="C488" i="4" s="1"/>
  <c r="B480" i="4" a="1"/>
  <c r="B480" i="4" s="1"/>
  <c r="C480" i="4" s="1"/>
  <c r="B472" i="4" a="1"/>
  <c r="B472" i="4" s="1"/>
  <c r="C472" i="4" s="1"/>
  <c r="B464" i="4" a="1"/>
  <c r="B464" i="4" s="1"/>
  <c r="C464" i="4" s="1"/>
  <c r="B456" i="4" a="1"/>
  <c r="B456" i="4" s="1"/>
  <c r="C456" i="4" s="1"/>
  <c r="B448" i="4" a="1"/>
  <c r="B448" i="4" s="1"/>
  <c r="C448" i="4" s="1"/>
  <c r="B440" i="4" a="1"/>
  <c r="B440" i="4" s="1"/>
  <c r="C440" i="4" s="1"/>
  <c r="B432" i="4" a="1"/>
  <c r="B432" i="4" s="1"/>
  <c r="C432" i="4" s="1"/>
  <c r="B424" i="4" a="1"/>
  <c r="B424" i="4" s="1"/>
  <c r="C424" i="4" s="1"/>
  <c r="B416" i="4" a="1"/>
  <c r="B416" i="4" s="1"/>
  <c r="C416" i="4" s="1"/>
  <c r="B408" i="4" a="1"/>
  <c r="B408" i="4" s="1"/>
  <c r="C408" i="4" s="1"/>
  <c r="B400" i="4" a="1"/>
  <c r="B400" i="4" s="1"/>
  <c r="C400" i="4" s="1"/>
  <c r="B392" i="4" a="1"/>
  <c r="B392" i="4" s="1"/>
  <c r="C392" i="4" s="1"/>
  <c r="B384" i="4" a="1"/>
  <c r="B384" i="4" s="1"/>
  <c r="C384" i="4" s="1"/>
  <c r="B376" i="4" a="1"/>
  <c r="B376" i="4" s="1"/>
  <c r="C376" i="4" s="1"/>
  <c r="B368" i="4" a="1"/>
  <c r="B368" i="4" s="1"/>
  <c r="C368" i="4" s="1"/>
  <c r="B360" i="4" a="1"/>
  <c r="B360" i="4" s="1"/>
  <c r="C360" i="4" s="1"/>
  <c r="B352" i="4" a="1"/>
  <c r="B352" i="4" s="1"/>
  <c r="C352" i="4" s="1"/>
  <c r="B344" i="4" a="1"/>
  <c r="B344" i="4" s="1"/>
  <c r="C344" i="4" s="1"/>
  <c r="B336" i="4" a="1"/>
  <c r="B336" i="4" s="1"/>
  <c r="C336" i="4" s="1"/>
  <c r="B328" i="4" a="1"/>
  <c r="B328" i="4" s="1"/>
  <c r="C328" i="4" s="1"/>
  <c r="B320" i="4" a="1"/>
  <c r="B320" i="4" s="1"/>
  <c r="C320" i="4" s="1"/>
  <c r="B312" i="4" a="1"/>
  <c r="B312" i="4" s="1"/>
  <c r="C312" i="4" s="1"/>
  <c r="B304" i="4" a="1"/>
  <c r="B304" i="4" s="1"/>
  <c r="C304" i="4" s="1"/>
  <c r="B296" i="4" a="1"/>
  <c r="B296" i="4" s="1"/>
  <c r="C296" i="4" s="1"/>
  <c r="B288" i="4" a="1"/>
  <c r="B288" i="4" s="1"/>
  <c r="C288" i="4" s="1"/>
  <c r="B280" i="4" a="1"/>
  <c r="B280" i="4" s="1"/>
  <c r="C280" i="4" s="1"/>
  <c r="B272" i="4" a="1"/>
  <c r="B272" i="4" s="1"/>
  <c r="C272" i="4" s="1"/>
  <c r="B264" i="4" a="1"/>
  <c r="B264" i="4" s="1"/>
  <c r="C264" i="4" s="1"/>
  <c r="B256" i="4" a="1"/>
  <c r="B256" i="4" s="1"/>
  <c r="C256" i="4" s="1"/>
  <c r="B248" i="4" a="1"/>
  <c r="B248" i="4" s="1"/>
  <c r="C248" i="4" s="1"/>
  <c r="B240" i="4" a="1"/>
  <c r="B240" i="4" s="1"/>
  <c r="C240" i="4" s="1"/>
  <c r="B232" i="4" a="1"/>
  <c r="B232" i="4" s="1"/>
  <c r="C232" i="4" s="1"/>
  <c r="B224" i="4" a="1"/>
  <c r="B224" i="4" s="1"/>
  <c r="C224" i="4" s="1"/>
  <c r="B216" i="4" a="1"/>
  <c r="B216" i="4" s="1"/>
  <c r="C216" i="4" s="1"/>
  <c r="B208" i="4" a="1"/>
  <c r="B208" i="4" s="1"/>
  <c r="C208" i="4" s="1"/>
  <c r="B200" i="4" a="1"/>
  <c r="B200" i="4" s="1"/>
  <c r="C200" i="4" s="1"/>
  <c r="B192" i="4" a="1"/>
  <c r="B192" i="4" s="1"/>
  <c r="C192" i="4" s="1"/>
  <c r="B184" i="4" a="1"/>
  <c r="B184" i="4" s="1"/>
  <c r="C184" i="4" s="1"/>
  <c r="B176" i="4" a="1"/>
  <c r="B176" i="4" s="1"/>
  <c r="C176" i="4" s="1"/>
  <c r="B168" i="4" a="1"/>
  <c r="B168" i="4" s="1"/>
  <c r="C168" i="4" s="1"/>
  <c r="B160" i="4" a="1"/>
  <c r="B160" i="4" s="1"/>
  <c r="C160" i="4" s="1"/>
  <c r="B152" i="4" a="1"/>
  <c r="B152" i="4" s="1"/>
  <c r="C152" i="4" s="1"/>
  <c r="B144" i="4" a="1"/>
  <c r="B144" i="4" s="1"/>
  <c r="C144" i="4" s="1"/>
  <c r="B136" i="4" a="1"/>
  <c r="B136" i="4" s="1"/>
  <c r="C136" i="4" s="1"/>
  <c r="B128" i="4" a="1"/>
  <c r="B128" i="4" s="1"/>
  <c r="C128" i="4" s="1"/>
  <c r="B120" i="4" a="1"/>
  <c r="B120" i="4" s="1"/>
  <c r="C120" i="4" s="1"/>
  <c r="B112" i="4" a="1"/>
  <c r="B112" i="4" s="1"/>
  <c r="C112" i="4" s="1"/>
  <c r="B104" i="4" a="1"/>
  <c r="B104" i="4" s="1"/>
  <c r="C104" i="4" s="1"/>
  <c r="B96" i="4" a="1"/>
  <c r="B96" i="4" s="1"/>
  <c r="C96" i="4" s="1"/>
  <c r="B88" i="4" a="1"/>
  <c r="B88" i="4" s="1"/>
  <c r="C88" i="4" s="1"/>
  <c r="B80" i="4" a="1"/>
  <c r="B80" i="4" s="1"/>
  <c r="C80" i="4" s="1"/>
  <c r="B72" i="4" a="1"/>
  <c r="B72" i="4" s="1"/>
  <c r="C72" i="4" s="1"/>
  <c r="B64" i="4" a="1"/>
  <c r="B64" i="4" s="1"/>
  <c r="C64" i="4" s="1"/>
  <c r="B439" i="4" a="1"/>
  <c r="B439" i="4" s="1"/>
  <c r="C439" i="4" s="1"/>
  <c r="B431" i="4" a="1"/>
  <c r="B431" i="4" s="1"/>
  <c r="C431" i="4" s="1"/>
  <c r="B423" i="4" a="1"/>
  <c r="B423" i="4" s="1"/>
  <c r="C423" i="4" s="1"/>
  <c r="B415" i="4" a="1"/>
  <c r="B415" i="4" s="1"/>
  <c r="C415" i="4" s="1"/>
  <c r="B407" i="4" a="1"/>
  <c r="B407" i="4" s="1"/>
  <c r="C407" i="4" s="1"/>
  <c r="B399" i="4" a="1"/>
  <c r="B399" i="4" s="1"/>
  <c r="C399" i="4" s="1"/>
  <c r="B391" i="4" a="1"/>
  <c r="B391" i="4" s="1"/>
  <c r="C391" i="4" s="1"/>
  <c r="B383" i="4" a="1"/>
  <c r="B383" i="4" s="1"/>
  <c r="C383" i="4" s="1"/>
  <c r="B375" i="4" a="1"/>
  <c r="B375" i="4" s="1"/>
  <c r="C375" i="4" s="1"/>
  <c r="B367" i="4" a="1"/>
  <c r="B367" i="4" s="1"/>
  <c r="C367" i="4" s="1"/>
  <c r="B359" i="4" a="1"/>
  <c r="B359" i="4" s="1"/>
  <c r="C359" i="4" s="1"/>
  <c r="B351" i="4" a="1"/>
  <c r="B351" i="4" s="1"/>
  <c r="C351" i="4" s="1"/>
  <c r="B343" i="4" a="1"/>
  <c r="B343" i="4" s="1"/>
  <c r="C343" i="4" s="1"/>
  <c r="B335" i="4" a="1"/>
  <c r="B335" i="4" s="1"/>
  <c r="C335" i="4" s="1"/>
  <c r="B327" i="4" a="1"/>
  <c r="B327" i="4" s="1"/>
  <c r="C327" i="4" s="1"/>
  <c r="B319" i="4" a="1"/>
  <c r="B319" i="4" s="1"/>
  <c r="C319" i="4" s="1"/>
  <c r="B311" i="4" a="1"/>
  <c r="B311" i="4" s="1"/>
  <c r="C311" i="4" s="1"/>
  <c r="B303" i="4" a="1"/>
  <c r="B303" i="4" s="1"/>
  <c r="C303" i="4" s="1"/>
  <c r="B295" i="4" a="1"/>
  <c r="B295" i="4" s="1"/>
  <c r="C295" i="4" s="1"/>
  <c r="B287" i="4" a="1"/>
  <c r="B287" i="4" s="1"/>
  <c r="C287" i="4" s="1"/>
  <c r="B279" i="4" a="1"/>
  <c r="B279" i="4" s="1"/>
  <c r="C279" i="4" s="1"/>
  <c r="B271" i="4" a="1"/>
  <c r="B271" i="4" s="1"/>
  <c r="C271" i="4" s="1"/>
  <c r="B263" i="4" a="1"/>
  <c r="B263" i="4" s="1"/>
  <c r="C263" i="4" s="1"/>
  <c r="B255" i="4" a="1"/>
  <c r="B255" i="4" s="1"/>
  <c r="C255" i="4" s="1"/>
  <c r="B247" i="4" a="1"/>
  <c r="B247" i="4" s="1"/>
  <c r="C247" i="4" s="1"/>
  <c r="B239" i="4" a="1"/>
  <c r="B239" i="4" s="1"/>
  <c r="C239" i="4" s="1"/>
  <c r="B231" i="4" a="1"/>
  <c r="B231" i="4" s="1"/>
  <c r="C231" i="4" s="1"/>
  <c r="B223" i="4" a="1"/>
  <c r="B223" i="4" s="1"/>
  <c r="C223" i="4" s="1"/>
  <c r="B215" i="4" a="1"/>
  <c r="B215" i="4" s="1"/>
  <c r="C215" i="4" s="1"/>
  <c r="B207" i="4" a="1"/>
  <c r="B207" i="4" s="1"/>
  <c r="C207" i="4" s="1"/>
  <c r="B199" i="4" a="1"/>
  <c r="B199" i="4" s="1"/>
  <c r="C199" i="4" s="1"/>
  <c r="B191" i="4" a="1"/>
  <c r="B191" i="4" s="1"/>
  <c r="C191" i="4" s="1"/>
  <c r="B183" i="4" a="1"/>
  <c r="B183" i="4" s="1"/>
  <c r="C183" i="4" s="1"/>
  <c r="B175" i="4" a="1"/>
  <c r="B175" i="4" s="1"/>
  <c r="C175" i="4" s="1"/>
  <c r="B167" i="4" a="1"/>
  <c r="B167" i="4" s="1"/>
  <c r="C167" i="4" s="1"/>
  <c r="B159" i="4" a="1"/>
  <c r="B159" i="4" s="1"/>
  <c r="C159" i="4" s="1"/>
  <c r="B151" i="4" a="1"/>
  <c r="B151" i="4" s="1"/>
  <c r="C151" i="4" s="1"/>
  <c r="B143" i="4" a="1"/>
  <c r="B143" i="4" s="1"/>
  <c r="C143" i="4" s="1"/>
  <c r="B135" i="4" a="1"/>
  <c r="B135" i="4" s="1"/>
  <c r="C135" i="4" s="1"/>
  <c r="B127" i="4" a="1"/>
  <c r="B127" i="4" s="1"/>
  <c r="C127" i="4" s="1"/>
  <c r="B119" i="4" a="1"/>
  <c r="B119" i="4" s="1"/>
  <c r="C119" i="4" s="1"/>
  <c r="B111" i="4" a="1"/>
  <c r="B111" i="4" s="1"/>
  <c r="C111" i="4" s="1"/>
  <c r="B103" i="4" a="1"/>
  <c r="B103" i="4" s="1"/>
  <c r="C103" i="4" s="1"/>
  <c r="B95" i="4" a="1"/>
  <c r="B95" i="4" s="1"/>
  <c r="C95" i="4" s="1"/>
  <c r="B87" i="4" a="1"/>
  <c r="B87" i="4" s="1"/>
  <c r="C87" i="4" s="1"/>
  <c r="B79" i="4" a="1"/>
  <c r="B79" i="4" s="1"/>
  <c r="C79" i="4" s="1"/>
  <c r="B71" i="4" a="1"/>
  <c r="B71" i="4" s="1"/>
  <c r="C71" i="4" s="1"/>
  <c r="B63" i="4" a="1"/>
  <c r="B63" i="4" s="1"/>
  <c r="C63" i="4" s="1"/>
  <c r="B55" i="4" a="1"/>
  <c r="B55" i="4" s="1"/>
  <c r="C55" i="4" s="1"/>
  <c r="B47" i="4" a="1"/>
  <c r="B47" i="4" s="1"/>
  <c r="C47" i="4" s="1"/>
  <c r="B31" i="4" a="1"/>
  <c r="B31" i="4" s="1"/>
  <c r="C31" i="4" s="1"/>
  <c r="B23" i="4" a="1"/>
  <c r="B23" i="4" s="1"/>
  <c r="C23" i="4" s="1"/>
  <c r="B15" i="4" a="1"/>
  <c r="B15" i="4" s="1"/>
  <c r="C15" i="4" s="1"/>
  <c r="B7" i="4" a="1"/>
  <c r="B7" i="4" s="1"/>
  <c r="C7" i="4" s="1"/>
  <c r="B486" i="4" a="1"/>
  <c r="B486" i="4" s="1"/>
  <c r="C486" i="4" s="1"/>
  <c r="B478" i="4" a="1"/>
  <c r="B478" i="4" s="1"/>
  <c r="C478" i="4" s="1"/>
  <c r="B470" i="4" a="1"/>
  <c r="B470" i="4" s="1"/>
  <c r="C470" i="4" s="1"/>
  <c r="B462" i="4" a="1"/>
  <c r="B462" i="4" s="1"/>
  <c r="C462" i="4" s="1"/>
  <c r="B454" i="4" a="1"/>
  <c r="B454" i="4" s="1"/>
  <c r="C454" i="4" s="1"/>
  <c r="B446" i="4" a="1"/>
  <c r="B446" i="4" s="1"/>
  <c r="C446" i="4" s="1"/>
  <c r="B438" i="4" a="1"/>
  <c r="B438" i="4" s="1"/>
  <c r="C438" i="4" s="1"/>
  <c r="B430" i="4" a="1"/>
  <c r="B430" i="4" s="1"/>
  <c r="C430" i="4" s="1"/>
  <c r="B422" i="4" a="1"/>
  <c r="B422" i="4" s="1"/>
  <c r="C422" i="4" s="1"/>
  <c r="B414" i="4" a="1"/>
  <c r="B414" i="4" s="1"/>
  <c r="C414" i="4" s="1"/>
  <c r="B406" i="4" a="1"/>
  <c r="B406" i="4" s="1"/>
  <c r="C406" i="4" s="1"/>
  <c r="B398" i="4" a="1"/>
  <c r="B398" i="4" s="1"/>
  <c r="C398" i="4" s="1"/>
  <c r="B390" i="4" a="1"/>
  <c r="B390" i="4" s="1"/>
  <c r="C390" i="4" s="1"/>
  <c r="B382" i="4" a="1"/>
  <c r="B382" i="4" s="1"/>
  <c r="C382" i="4" s="1"/>
  <c r="B374" i="4" a="1"/>
  <c r="B374" i="4" s="1"/>
  <c r="C374" i="4" s="1"/>
  <c r="B366" i="4" a="1"/>
  <c r="B366" i="4" s="1"/>
  <c r="C366" i="4" s="1"/>
  <c r="B358" i="4" a="1"/>
  <c r="B358" i="4" s="1"/>
  <c r="C358" i="4" s="1"/>
  <c r="B350" i="4" a="1"/>
  <c r="B350" i="4" s="1"/>
  <c r="C350" i="4" s="1"/>
  <c r="B342" i="4" a="1"/>
  <c r="B342" i="4" s="1"/>
  <c r="C342" i="4" s="1"/>
  <c r="B334" i="4" a="1"/>
  <c r="B334" i="4" s="1"/>
  <c r="C334" i="4" s="1"/>
  <c r="B326" i="4" a="1"/>
  <c r="B326" i="4" s="1"/>
  <c r="C326" i="4" s="1"/>
  <c r="B318" i="4" a="1"/>
  <c r="B318" i="4" s="1"/>
  <c r="C318" i="4" s="1"/>
  <c r="B310" i="4" a="1"/>
  <c r="B310" i="4" s="1"/>
  <c r="C310" i="4" s="1"/>
  <c r="B302" i="4" a="1"/>
  <c r="B302" i="4" s="1"/>
  <c r="C302" i="4" s="1"/>
  <c r="B294" i="4" a="1"/>
  <c r="B294" i="4" s="1"/>
  <c r="C294" i="4" s="1"/>
  <c r="B286" i="4" a="1"/>
  <c r="B286" i="4" s="1"/>
  <c r="C286" i="4" s="1"/>
  <c r="B278" i="4" a="1"/>
  <c r="B278" i="4" s="1"/>
  <c r="C278" i="4" s="1"/>
  <c r="B270" i="4" a="1"/>
  <c r="B270" i="4" s="1"/>
  <c r="C270" i="4" s="1"/>
  <c r="B262" i="4" a="1"/>
  <c r="B262" i="4" s="1"/>
  <c r="C262" i="4" s="1"/>
  <c r="B254" i="4" a="1"/>
  <c r="B254" i="4" s="1"/>
  <c r="C254" i="4" s="1"/>
  <c r="B246" i="4" a="1"/>
  <c r="B246" i="4" s="1"/>
  <c r="C246" i="4" s="1"/>
  <c r="B238" i="4" a="1"/>
  <c r="B238" i="4" s="1"/>
  <c r="C238" i="4" s="1"/>
  <c r="B230" i="4" a="1"/>
  <c r="B230" i="4" s="1"/>
  <c r="C230" i="4" s="1"/>
  <c r="B222" i="4" a="1"/>
  <c r="B222" i="4" s="1"/>
  <c r="C222" i="4" s="1"/>
  <c r="B214" i="4" a="1"/>
  <c r="B214" i="4" s="1"/>
  <c r="C214" i="4" s="1"/>
  <c r="B206" i="4" a="1"/>
  <c r="B206" i="4" s="1"/>
  <c r="C206" i="4" s="1"/>
  <c r="B198" i="4" a="1"/>
  <c r="B198" i="4" s="1"/>
  <c r="C198" i="4" s="1"/>
  <c r="B190" i="4" a="1"/>
  <c r="B190" i="4" s="1"/>
  <c r="C190" i="4" s="1"/>
  <c r="B182" i="4" a="1"/>
  <c r="B182" i="4" s="1"/>
  <c r="C182" i="4" s="1"/>
  <c r="B174" i="4" a="1"/>
  <c r="B174" i="4" s="1"/>
  <c r="C174" i="4" s="1"/>
  <c r="B166" i="4" a="1"/>
  <c r="B166" i="4" s="1"/>
  <c r="C166" i="4" s="1"/>
  <c r="B158" i="4" a="1"/>
  <c r="B158" i="4" s="1"/>
  <c r="C158" i="4" s="1"/>
  <c r="B150" i="4" a="1"/>
  <c r="B150" i="4" s="1"/>
  <c r="C150" i="4" s="1"/>
  <c r="B142" i="4" a="1"/>
  <c r="B142" i="4" s="1"/>
  <c r="C142" i="4" s="1"/>
  <c r="B134" i="4" a="1"/>
  <c r="B134" i="4" s="1"/>
  <c r="C134" i="4" s="1"/>
  <c r="B126" i="4" a="1"/>
  <c r="B126" i="4" s="1"/>
  <c r="C126" i="4" s="1"/>
  <c r="B118" i="4" a="1"/>
  <c r="B118" i="4" s="1"/>
  <c r="C118" i="4" s="1"/>
  <c r="B110" i="4" a="1"/>
  <c r="B110" i="4" s="1"/>
  <c r="C110" i="4" s="1"/>
  <c r="B102" i="4" a="1"/>
  <c r="B102" i="4" s="1"/>
  <c r="C102" i="4" s="1"/>
  <c r="B94" i="4" a="1"/>
  <c r="B94" i="4" s="1"/>
  <c r="C94" i="4" s="1"/>
  <c r="B86" i="4" a="1"/>
  <c r="B86" i="4" s="1"/>
  <c r="C86" i="4" s="1"/>
  <c r="B78" i="4" a="1"/>
  <c r="B78" i="4" s="1"/>
  <c r="C78" i="4" s="1"/>
  <c r="B70" i="4" a="1"/>
  <c r="B70" i="4" s="1"/>
  <c r="C70" i="4" s="1"/>
  <c r="B62" i="4" a="1"/>
  <c r="B62" i="4" s="1"/>
  <c r="C62" i="4" s="1"/>
  <c r="B54" i="4" a="1"/>
  <c r="B54" i="4" s="1"/>
  <c r="C54" i="4" s="1"/>
  <c r="B469" i="4" a="1"/>
  <c r="B469" i="4" s="1"/>
  <c r="C469" i="4" s="1"/>
  <c r="B453" i="4" a="1"/>
  <c r="B453" i="4" s="1"/>
  <c r="C453" i="4" s="1"/>
  <c r="B437" i="4" a="1"/>
  <c r="B437" i="4" s="1"/>
  <c r="C437" i="4" s="1"/>
  <c r="B429" i="4" a="1"/>
  <c r="B429" i="4" s="1"/>
  <c r="C429" i="4" s="1"/>
  <c r="B421" i="4" a="1"/>
  <c r="B421" i="4" s="1"/>
  <c r="C421" i="4" s="1"/>
  <c r="B413" i="4" a="1"/>
  <c r="B413" i="4" s="1"/>
  <c r="C413" i="4" s="1"/>
  <c r="B405" i="4" a="1"/>
  <c r="B405" i="4" s="1"/>
  <c r="C405" i="4" s="1"/>
  <c r="B397" i="4" a="1"/>
  <c r="B397" i="4" s="1"/>
  <c r="C397" i="4" s="1"/>
  <c r="B389" i="4" a="1"/>
  <c r="B389" i="4" s="1"/>
  <c r="C389" i="4" s="1"/>
  <c r="B381" i="4" a="1"/>
  <c r="B381" i="4" s="1"/>
  <c r="C381" i="4" s="1"/>
  <c r="B373" i="4" a="1"/>
  <c r="B373" i="4" s="1"/>
  <c r="C373" i="4" s="1"/>
  <c r="B365" i="4" a="1"/>
  <c r="B365" i="4" s="1"/>
  <c r="C365" i="4" s="1"/>
  <c r="B357" i="4" a="1"/>
  <c r="B357" i="4" s="1"/>
  <c r="C357" i="4" s="1"/>
  <c r="B349" i="4" a="1"/>
  <c r="B349" i="4" s="1"/>
  <c r="C349" i="4" s="1"/>
  <c r="B341" i="4" a="1"/>
  <c r="B341" i="4" s="1"/>
  <c r="C341" i="4" s="1"/>
  <c r="B333" i="4" a="1"/>
  <c r="B333" i="4" s="1"/>
  <c r="C333" i="4" s="1"/>
  <c r="B325" i="4" a="1"/>
  <c r="B325" i="4" s="1"/>
  <c r="C325" i="4" s="1"/>
  <c r="B317" i="4" a="1"/>
  <c r="B317" i="4" s="1"/>
  <c r="C317" i="4" s="1"/>
  <c r="B309" i="4" a="1"/>
  <c r="B309" i="4" s="1"/>
  <c r="C309" i="4" s="1"/>
  <c r="B301" i="4" a="1"/>
  <c r="B301" i="4" s="1"/>
  <c r="C301" i="4" s="1"/>
  <c r="B293" i="4" a="1"/>
  <c r="B293" i="4" s="1"/>
  <c r="C293" i="4" s="1"/>
  <c r="B285" i="4" a="1"/>
  <c r="B285" i="4" s="1"/>
  <c r="C285" i="4" s="1"/>
  <c r="B277" i="4" a="1"/>
  <c r="B277" i="4" s="1"/>
  <c r="C277" i="4" s="1"/>
  <c r="B269" i="4" a="1"/>
  <c r="B269" i="4" s="1"/>
  <c r="C269" i="4" s="1"/>
  <c r="B261" i="4" a="1"/>
  <c r="B261" i="4" s="1"/>
  <c r="C261" i="4" s="1"/>
  <c r="B253" i="4" a="1"/>
  <c r="B253" i="4" s="1"/>
  <c r="C253" i="4" s="1"/>
  <c r="B245" i="4" a="1"/>
  <c r="B245" i="4" s="1"/>
  <c r="C245" i="4" s="1"/>
  <c r="B237" i="4" a="1"/>
  <c r="B237" i="4" s="1"/>
  <c r="C237" i="4" s="1"/>
  <c r="B229" i="4" a="1"/>
  <c r="B229" i="4" s="1"/>
  <c r="C229" i="4" s="1"/>
  <c r="B221" i="4" a="1"/>
  <c r="B221" i="4" s="1"/>
  <c r="C221" i="4" s="1"/>
  <c r="B213" i="4" a="1"/>
  <c r="B213" i="4" s="1"/>
  <c r="C213" i="4" s="1"/>
  <c r="B205" i="4" a="1"/>
  <c r="B205" i="4" s="1"/>
  <c r="C205" i="4" s="1"/>
  <c r="B197" i="4" a="1"/>
  <c r="B197" i="4" s="1"/>
  <c r="C197" i="4" s="1"/>
  <c r="B189" i="4" a="1"/>
  <c r="B189" i="4" s="1"/>
  <c r="C189" i="4" s="1"/>
  <c r="B181" i="4" a="1"/>
  <c r="B181" i="4" s="1"/>
  <c r="C181" i="4" s="1"/>
  <c r="B173" i="4" a="1"/>
  <c r="B173" i="4" s="1"/>
  <c r="C173" i="4" s="1"/>
  <c r="B165" i="4" a="1"/>
  <c r="B165" i="4" s="1"/>
  <c r="C165" i="4" s="1"/>
  <c r="B157" i="4" a="1"/>
  <c r="B157" i="4" s="1"/>
  <c r="C157" i="4" s="1"/>
  <c r="B149" i="4" a="1"/>
  <c r="B149" i="4" s="1"/>
  <c r="C149" i="4" s="1"/>
  <c r="B141" i="4" a="1"/>
  <c r="B141" i="4" s="1"/>
  <c r="C141" i="4" s="1"/>
  <c r="B133" i="4" a="1"/>
  <c r="B133" i="4" s="1"/>
  <c r="C133" i="4" s="1"/>
  <c r="B125" i="4" a="1"/>
  <c r="B125" i="4" s="1"/>
  <c r="C125" i="4" s="1"/>
  <c r="B117" i="4" a="1"/>
  <c r="B117" i="4" s="1"/>
  <c r="C117" i="4" s="1"/>
  <c r="B109" i="4" a="1"/>
  <c r="B109" i="4" s="1"/>
  <c r="C109" i="4" s="1"/>
  <c r="B101" i="4" a="1"/>
  <c r="B101" i="4" s="1"/>
  <c r="C101" i="4" s="1"/>
  <c r="B93" i="4" a="1"/>
  <c r="B93" i="4" s="1"/>
  <c r="C93" i="4" s="1"/>
  <c r="B85" i="4" a="1"/>
  <c r="B85" i="4" s="1"/>
  <c r="C85" i="4" s="1"/>
  <c r="B77" i="4" a="1"/>
  <c r="B77" i="4" s="1"/>
  <c r="C77" i="4" s="1"/>
  <c r="B69" i="4" a="1"/>
  <c r="B69" i="4" s="1"/>
  <c r="C69" i="4" s="1"/>
  <c r="B61" i="4" a="1"/>
  <c r="B61" i="4" s="1"/>
  <c r="C61" i="4" s="1"/>
  <c r="B53" i="4" a="1"/>
  <c r="B53" i="4" s="1"/>
  <c r="C53" i="4" s="1"/>
  <c r="B45" i="4" a="1"/>
  <c r="B45" i="4" s="1"/>
  <c r="C45" i="4" s="1"/>
  <c r="B37" i="4" a="1"/>
  <c r="B37" i="4" s="1"/>
  <c r="C37" i="4" s="1"/>
  <c r="B29" i="4" a="1"/>
  <c r="B29" i="4" s="1"/>
  <c r="C29" i="4" s="1"/>
  <c r="B21" i="4" a="1"/>
  <c r="B21" i="4" s="1"/>
  <c r="C21" i="4" s="1"/>
  <c r="B13" i="4" a="1"/>
  <c r="B13" i="4" s="1"/>
  <c r="C13" i="4" s="1"/>
  <c r="B5" i="4" a="1"/>
  <c r="B5" i="4" s="1"/>
  <c r="C5" i="4" s="1"/>
  <c r="B461" i="4" a="1"/>
  <c r="B461" i="4" s="1"/>
  <c r="C461" i="4" s="1"/>
  <c r="B445" i="4" a="1"/>
  <c r="B445" i="4" s="1"/>
  <c r="C445" i="4" s="1"/>
  <c r="B492" i="4" a="1"/>
  <c r="B492" i="4" s="1"/>
  <c r="C492" i="4" s="1"/>
  <c r="B484" i="4" a="1"/>
  <c r="B484" i="4" s="1"/>
  <c r="C484" i="4" s="1"/>
  <c r="B476" i="4" a="1"/>
  <c r="B476" i="4" s="1"/>
  <c r="C476" i="4" s="1"/>
  <c r="B468" i="4" a="1"/>
  <c r="B468" i="4" s="1"/>
  <c r="C468" i="4" s="1"/>
  <c r="B460" i="4" a="1"/>
  <c r="B460" i="4" s="1"/>
  <c r="C460" i="4" s="1"/>
  <c r="B452" i="4" a="1"/>
  <c r="B452" i="4" s="1"/>
  <c r="C452" i="4" s="1"/>
  <c r="B444" i="4" a="1"/>
  <c r="B444" i="4" s="1"/>
  <c r="C444" i="4" s="1"/>
  <c r="B436" i="4" a="1"/>
  <c r="B436" i="4" s="1"/>
  <c r="C436" i="4" s="1"/>
  <c r="B428" i="4" a="1"/>
  <c r="B428" i="4" s="1"/>
  <c r="C428" i="4" s="1"/>
  <c r="B420" i="4" a="1"/>
  <c r="B420" i="4" s="1"/>
  <c r="C420" i="4" s="1"/>
  <c r="B412" i="4" a="1"/>
  <c r="B412" i="4" s="1"/>
  <c r="C412" i="4" s="1"/>
  <c r="B404" i="4" a="1"/>
  <c r="B404" i="4" s="1"/>
  <c r="C404" i="4" s="1"/>
  <c r="B396" i="4" a="1"/>
  <c r="B396" i="4" s="1"/>
  <c r="C396" i="4" s="1"/>
  <c r="B388" i="4" a="1"/>
  <c r="B388" i="4" s="1"/>
  <c r="C388" i="4" s="1"/>
  <c r="B380" i="4" a="1"/>
  <c r="B380" i="4" s="1"/>
  <c r="C380" i="4" s="1"/>
  <c r="B372" i="4" a="1"/>
  <c r="B372" i="4" s="1"/>
  <c r="C372" i="4" s="1"/>
  <c r="B364" i="4" a="1"/>
  <c r="B364" i="4" s="1"/>
  <c r="C364" i="4" s="1"/>
  <c r="B356" i="4" a="1"/>
  <c r="B356" i="4" s="1"/>
  <c r="C356" i="4" s="1"/>
  <c r="B348" i="4" a="1"/>
  <c r="B348" i="4" s="1"/>
  <c r="C348" i="4" s="1"/>
  <c r="B340" i="4" a="1"/>
  <c r="B340" i="4" s="1"/>
  <c r="C340" i="4" s="1"/>
  <c r="B332" i="4" a="1"/>
  <c r="B332" i="4" s="1"/>
  <c r="C332" i="4" s="1"/>
  <c r="B324" i="4" a="1"/>
  <c r="B324" i="4" s="1"/>
  <c r="C324" i="4" s="1"/>
  <c r="B316" i="4" a="1"/>
  <c r="B316" i="4" s="1"/>
  <c r="C316" i="4" s="1"/>
  <c r="B308" i="4" a="1"/>
  <c r="B308" i="4" s="1"/>
  <c r="C308" i="4" s="1"/>
  <c r="B300" i="4" a="1"/>
  <c r="B300" i="4" s="1"/>
  <c r="C300" i="4" s="1"/>
  <c r="B292" i="4" a="1"/>
  <c r="B292" i="4" s="1"/>
  <c r="C292" i="4" s="1"/>
  <c r="B284" i="4" a="1"/>
  <c r="B284" i="4" s="1"/>
  <c r="C284" i="4" s="1"/>
  <c r="B276" i="4" a="1"/>
  <c r="B276" i="4" s="1"/>
  <c r="C276" i="4" s="1"/>
  <c r="B268" i="4" a="1"/>
  <c r="B268" i="4" s="1"/>
  <c r="C268" i="4" s="1"/>
  <c r="B260" i="4" a="1"/>
  <c r="B260" i="4" s="1"/>
  <c r="C260" i="4" s="1"/>
  <c r="B252" i="4" a="1"/>
  <c r="B252" i="4" s="1"/>
  <c r="C252" i="4" s="1"/>
  <c r="B244" i="4" a="1"/>
  <c r="B244" i="4" s="1"/>
  <c r="C244" i="4" s="1"/>
  <c r="B236" i="4" a="1"/>
  <c r="B236" i="4" s="1"/>
  <c r="C236" i="4" s="1"/>
  <c r="B228" i="4" a="1"/>
  <c r="B228" i="4" s="1"/>
  <c r="C228" i="4" s="1"/>
  <c r="B220" i="4" a="1"/>
  <c r="B220" i="4" s="1"/>
  <c r="C220" i="4" s="1"/>
  <c r="B212" i="4" a="1"/>
  <c r="B212" i="4" s="1"/>
  <c r="C212" i="4" s="1"/>
  <c r="B204" i="4" a="1"/>
  <c r="B204" i="4" s="1"/>
  <c r="C204" i="4" s="1"/>
  <c r="B196" i="4" a="1"/>
  <c r="B196" i="4" s="1"/>
  <c r="C196" i="4" s="1"/>
  <c r="B188" i="4" a="1"/>
  <c r="B188" i="4" s="1"/>
  <c r="C188" i="4" s="1"/>
  <c r="B180" i="4" a="1"/>
  <c r="B180" i="4" s="1"/>
  <c r="C180" i="4" s="1"/>
  <c r="B172" i="4" a="1"/>
  <c r="B172" i="4" s="1"/>
  <c r="C172" i="4" s="1"/>
  <c r="B164" i="4" a="1"/>
  <c r="B164" i="4" s="1"/>
  <c r="C164" i="4" s="1"/>
  <c r="B156" i="4" a="1"/>
  <c r="B156" i="4" s="1"/>
  <c r="C156" i="4" s="1"/>
  <c r="B148" i="4" a="1"/>
  <c r="B148" i="4" s="1"/>
  <c r="C148" i="4" s="1"/>
  <c r="B140" i="4" a="1"/>
  <c r="B140" i="4" s="1"/>
  <c r="C140" i="4" s="1"/>
  <c r="B132" i="4" a="1"/>
  <c r="B132" i="4" s="1"/>
  <c r="C132" i="4" s="1"/>
  <c r="B124" i="4" a="1"/>
  <c r="B124" i="4" s="1"/>
  <c r="C124" i="4" s="1"/>
  <c r="B116" i="4" a="1"/>
  <c r="B116" i="4" s="1"/>
  <c r="C116" i="4" s="1"/>
  <c r="B108" i="4" a="1"/>
  <c r="B108" i="4" s="1"/>
  <c r="C108" i="4" s="1"/>
  <c r="B100" i="4" a="1"/>
  <c r="B100" i="4" s="1"/>
  <c r="C100" i="4" s="1"/>
  <c r="B92" i="4" a="1"/>
  <c r="B92" i="4" s="1"/>
  <c r="C92" i="4" s="1"/>
  <c r="B84" i="4" a="1"/>
  <c r="B84" i="4" s="1"/>
  <c r="C84" i="4" s="1"/>
  <c r="B76" i="4" a="1"/>
  <c r="B76" i="4" s="1"/>
  <c r="C76" i="4" s="1"/>
  <c r="B68" i="4" a="1"/>
  <c r="B68" i="4" s="1"/>
  <c r="C68" i="4" s="1"/>
  <c r="B60" i="4" a="1"/>
  <c r="B60" i="4" s="1"/>
  <c r="C60" i="4" s="1"/>
  <c r="B42" i="4" a="1"/>
  <c r="B42" i="4" s="1"/>
  <c r="C42" i="4" s="1"/>
  <c r="B34" i="4" a="1"/>
  <c r="B34" i="4" s="1"/>
  <c r="C34" i="4" s="1"/>
  <c r="B26" i="4" a="1"/>
  <c r="B26" i="4" s="1"/>
  <c r="C26" i="4" s="1"/>
  <c r="B18" i="4" a="1"/>
  <c r="B18" i="4" s="1"/>
  <c r="C18" i="4" s="1"/>
  <c r="B10" i="4" a="1"/>
  <c r="B10" i="4" s="1"/>
  <c r="C10" i="4" s="1"/>
  <c r="B499" i="4" a="1"/>
  <c r="B499" i="4" s="1"/>
  <c r="C499" i="4" s="1"/>
  <c r="B56" i="4" a="1"/>
  <c r="B56" i="4" s="1"/>
  <c r="C56" i="4" s="1"/>
  <c r="B48" i="4" a="1"/>
  <c r="B48" i="4" s="1"/>
  <c r="C48" i="4" s="1"/>
  <c r="B40" i="4" a="1"/>
  <c r="B40" i="4" s="1"/>
  <c r="C40" i="4" s="1"/>
  <c r="B32" i="4" a="1"/>
  <c r="B32" i="4" s="1"/>
  <c r="C32" i="4" s="1"/>
  <c r="B24" i="4" a="1"/>
  <c r="B24" i="4" s="1"/>
  <c r="C24" i="4" s="1"/>
  <c r="B16" i="4" a="1"/>
  <c r="B16" i="4" s="1"/>
  <c r="C16" i="4" s="1"/>
  <c r="B8" i="4" a="1"/>
  <c r="B8" i="4" s="1"/>
  <c r="C8" i="4" s="1"/>
  <c r="B46" i="4" a="1"/>
  <c r="B46" i="4" s="1"/>
  <c r="C46" i="4" s="1"/>
  <c r="B38" i="4" a="1"/>
  <c r="B38" i="4" s="1"/>
  <c r="C38" i="4" s="1"/>
  <c r="B30" i="4" a="1"/>
  <c r="B30" i="4" s="1"/>
  <c r="C30" i="4" s="1"/>
  <c r="B22" i="4" a="1"/>
  <c r="B22" i="4" s="1"/>
  <c r="C22" i="4" s="1"/>
  <c r="B14" i="4" a="1"/>
  <c r="B14" i="4" s="1"/>
  <c r="C14" i="4" s="1"/>
  <c r="B6" i="4" a="1"/>
  <c r="B6" i="4" s="1"/>
  <c r="C6" i="4" s="1"/>
  <c r="B52" i="4" a="1"/>
  <c r="B52" i="4" s="1"/>
  <c r="C52" i="4" s="1"/>
  <c r="B44" i="4" a="1"/>
  <c r="B44" i="4" s="1"/>
  <c r="C44" i="4" s="1"/>
  <c r="B36" i="4" a="1"/>
  <c r="B36" i="4" s="1"/>
  <c r="C36" i="4" s="1"/>
  <c r="B28" i="4" a="1"/>
  <c r="B28" i="4" s="1"/>
  <c r="C28" i="4" s="1"/>
  <c r="B20" i="4" a="1"/>
  <c r="B20" i="4" s="1"/>
  <c r="C20" i="4" s="1"/>
  <c r="B12" i="4" a="1"/>
  <c r="B12" i="4" s="1"/>
  <c r="C12" i="4" s="1"/>
  <c r="B4" i="4" a="1"/>
  <c r="B4" i="4" s="1"/>
  <c r="C4" i="4" s="1"/>
  <c r="B39" i="4" a="1"/>
  <c r="B39" i="4" s="1"/>
  <c r="C39" i="4" s="1"/>
  <c r="AB305" i="4"/>
  <c r="AB161" i="4"/>
  <c r="AB81" i="4"/>
  <c r="Y417" i="4"/>
  <c r="AA417" i="4" s="1"/>
  <c r="AB433" i="4"/>
  <c r="AB105" i="4"/>
  <c r="Y369" i="4"/>
  <c r="AA369" i="4" s="1"/>
  <c r="Y248" i="4"/>
  <c r="AA248" i="4" s="1"/>
  <c r="Y160" i="4"/>
  <c r="AA160" i="4" s="1"/>
  <c r="AB473" i="4"/>
  <c r="AB345" i="4"/>
  <c r="AB307" i="4"/>
  <c r="AB203" i="4"/>
  <c r="AB89" i="4"/>
  <c r="Y376" i="4"/>
  <c r="AA376" i="4" s="1"/>
  <c r="Y275" i="4"/>
  <c r="AA275" i="4" s="1"/>
  <c r="Y103" i="4"/>
  <c r="AA103" i="4" s="1"/>
  <c r="AB435" i="4"/>
  <c r="AB405" i="4"/>
  <c r="AB372" i="4"/>
  <c r="AB341" i="4"/>
  <c r="AB306" i="4"/>
  <c r="AB269" i="4"/>
  <c r="AB201" i="4"/>
  <c r="AB165" i="4"/>
  <c r="AB50" i="4"/>
  <c r="Y465" i="4"/>
  <c r="AA465" i="4" s="1"/>
  <c r="Y421" i="4"/>
  <c r="AA421" i="4" s="1"/>
  <c r="Y326" i="4"/>
  <c r="AA326" i="4" s="1"/>
  <c r="AB49" i="4"/>
  <c r="AB486" i="4"/>
  <c r="AB457" i="4"/>
  <c r="AB390" i="4"/>
  <c r="AB349" i="4"/>
  <c r="AB291" i="4"/>
  <c r="AB245" i="4"/>
  <c r="AB217" i="4"/>
  <c r="AB179" i="4"/>
  <c r="AB141" i="4"/>
  <c r="AB101" i="4"/>
  <c r="AB70" i="4"/>
  <c r="AB29" i="4"/>
  <c r="Y441" i="4"/>
  <c r="AA441" i="4" s="1"/>
  <c r="Y350" i="4"/>
  <c r="AA350" i="4" s="1"/>
  <c r="Y228" i="4"/>
  <c r="AA228" i="4" s="1"/>
  <c r="Y134" i="4"/>
  <c r="AA134" i="4" s="1"/>
  <c r="AB393" i="4"/>
  <c r="AB329" i="4"/>
  <c r="Y351" i="4"/>
  <c r="AA351" i="4" s="1"/>
  <c r="Y304" i="4"/>
  <c r="AA304" i="4" s="1"/>
  <c r="Y153" i="4"/>
  <c r="AA153" i="4" s="1"/>
  <c r="AB485" i="4"/>
  <c r="AB454" i="4"/>
  <c r="AB389" i="4"/>
  <c r="AB348" i="4"/>
  <c r="AB289" i="4"/>
  <c r="AB244" i="4"/>
  <c r="AB213" i="4"/>
  <c r="AB178" i="4"/>
  <c r="AB137" i="4"/>
  <c r="AB93" i="4"/>
  <c r="AB67" i="4"/>
  <c r="AB21" i="4"/>
  <c r="Y439" i="4"/>
  <c r="AA439" i="4" s="1"/>
  <c r="Y297" i="4"/>
  <c r="AA297" i="4" s="1"/>
  <c r="Y222" i="4"/>
  <c r="AA222" i="4" s="1"/>
  <c r="Y124" i="4"/>
  <c r="AA124" i="4" s="1"/>
  <c r="AB401" i="4"/>
  <c r="AB265" i="4"/>
  <c r="AB193" i="4"/>
  <c r="AB489" i="4"/>
  <c r="AB219" i="4"/>
  <c r="AB73" i="4"/>
  <c r="Y403" i="4"/>
  <c r="AA403" i="4" s="1"/>
  <c r="Y15" i="4"/>
  <c r="AA15" i="4" s="1"/>
  <c r="AB477" i="4"/>
  <c r="AB449" i="4"/>
  <c r="AB377" i="4"/>
  <c r="AB347" i="4"/>
  <c r="AB315" i="4"/>
  <c r="AB285" i="4"/>
  <c r="AB243" i="4"/>
  <c r="AB205" i="4"/>
  <c r="AB177" i="4"/>
  <c r="AB92" i="4"/>
  <c r="AB65" i="4"/>
  <c r="AB13" i="4"/>
  <c r="Y471" i="4"/>
  <c r="AA471" i="4" s="1"/>
  <c r="Y437" i="4"/>
  <c r="AA437" i="4" s="1"/>
  <c r="Y381" i="4"/>
  <c r="AA381" i="4" s="1"/>
  <c r="Y500" i="4"/>
  <c r="AA500" i="4" s="1"/>
  <c r="AB500" i="4"/>
  <c r="Y484" i="4"/>
  <c r="AA484" i="4" s="1"/>
  <c r="AB484" i="4"/>
  <c r="Y476" i="4"/>
  <c r="AA476" i="4" s="1"/>
  <c r="AB476" i="4"/>
  <c r="Y460" i="4"/>
  <c r="AA460" i="4" s="1"/>
  <c r="AB460" i="4"/>
  <c r="Y452" i="4"/>
  <c r="AA452" i="4" s="1"/>
  <c r="AB452" i="4"/>
  <c r="Y444" i="4"/>
  <c r="AA444" i="4" s="1"/>
  <c r="AB444" i="4"/>
  <c r="Y436" i="4"/>
  <c r="AA436" i="4" s="1"/>
  <c r="AB436" i="4"/>
  <c r="Y428" i="4"/>
  <c r="AA428" i="4" s="1"/>
  <c r="AB428" i="4"/>
  <c r="Y420" i="4"/>
  <c r="AA420" i="4" s="1"/>
  <c r="AB420" i="4"/>
  <c r="Y404" i="4"/>
  <c r="AA404" i="4" s="1"/>
  <c r="AB404" i="4"/>
  <c r="Y396" i="4"/>
  <c r="AA396" i="4" s="1"/>
  <c r="AB396" i="4"/>
  <c r="Y388" i="4"/>
  <c r="AA388" i="4" s="1"/>
  <c r="AB388" i="4"/>
  <c r="Y380" i="4"/>
  <c r="AA380" i="4" s="1"/>
  <c r="AB380" i="4"/>
  <c r="Y364" i="4"/>
  <c r="AA364" i="4" s="1"/>
  <c r="AB364" i="4"/>
  <c r="Y356" i="4"/>
  <c r="AA356" i="4" s="1"/>
  <c r="AB356" i="4"/>
  <c r="Y340" i="4"/>
  <c r="AA340" i="4" s="1"/>
  <c r="AB340" i="4"/>
  <c r="Y324" i="4"/>
  <c r="AA324" i="4" s="1"/>
  <c r="AB324" i="4"/>
  <c r="Y316" i="4"/>
  <c r="AA316" i="4" s="1"/>
  <c r="AB316" i="4"/>
  <c r="AB308" i="4"/>
  <c r="Y308" i="4"/>
  <c r="AA308" i="4" s="1"/>
  <c r="Y300" i="4"/>
  <c r="AA300" i="4" s="1"/>
  <c r="AB300" i="4"/>
  <c r="Y292" i="4"/>
  <c r="AA292" i="4" s="1"/>
  <c r="AB292" i="4"/>
  <c r="AB284" i="4"/>
  <c r="Y284" i="4"/>
  <c r="AA284" i="4" s="1"/>
  <c r="Y276" i="4"/>
  <c r="AA276" i="4" s="1"/>
  <c r="AB276" i="4"/>
  <c r="Y268" i="4"/>
  <c r="AA268" i="4" s="1"/>
  <c r="AB268" i="4"/>
  <c r="Y252" i="4"/>
  <c r="AA252" i="4" s="1"/>
  <c r="AB252" i="4"/>
  <c r="AB212" i="4"/>
  <c r="Y212" i="4"/>
  <c r="AA212" i="4" s="1"/>
  <c r="AB204" i="4"/>
  <c r="Y204" i="4"/>
  <c r="AA204" i="4" s="1"/>
  <c r="Y196" i="4"/>
  <c r="AA196" i="4" s="1"/>
  <c r="AB196" i="4"/>
  <c r="Y188" i="4"/>
  <c r="AA188" i="4" s="1"/>
  <c r="AB188" i="4"/>
  <c r="Y164" i="4"/>
  <c r="AA164" i="4" s="1"/>
  <c r="AB164" i="4"/>
  <c r="Y156" i="4"/>
  <c r="AA156" i="4" s="1"/>
  <c r="AB156" i="4"/>
  <c r="Y148" i="4"/>
  <c r="AA148" i="4" s="1"/>
  <c r="AB148" i="4"/>
  <c r="Y140" i="4"/>
  <c r="AA140" i="4" s="1"/>
  <c r="AB140" i="4"/>
  <c r="Y132" i="4"/>
  <c r="AA132" i="4" s="1"/>
  <c r="AB132" i="4"/>
  <c r="Y100" i="4"/>
  <c r="AA100" i="4" s="1"/>
  <c r="AB100" i="4"/>
  <c r="Y84" i="4"/>
  <c r="AA84" i="4" s="1"/>
  <c r="AB84" i="4"/>
  <c r="AB60" i="4"/>
  <c r="Y60" i="4"/>
  <c r="AA60" i="4" s="1"/>
  <c r="Y52" i="4"/>
  <c r="AA52" i="4" s="1"/>
  <c r="AB52" i="4"/>
  <c r="Y44" i="4"/>
  <c r="AA44" i="4" s="1"/>
  <c r="AB44" i="4"/>
  <c r="Y36" i="4"/>
  <c r="AA36" i="4" s="1"/>
  <c r="AB36" i="4"/>
  <c r="AB28" i="4"/>
  <c r="Y28" i="4"/>
  <c r="AA28" i="4" s="1"/>
  <c r="Y12" i="4"/>
  <c r="AA12" i="4" s="1"/>
  <c r="AB12" i="4"/>
  <c r="AB331" i="4"/>
  <c r="AB116" i="4"/>
  <c r="AB91" i="4"/>
  <c r="AB20" i="4"/>
  <c r="Y227" i="4"/>
  <c r="AA227" i="4" s="1"/>
  <c r="Y499" i="4"/>
  <c r="AA499" i="4" s="1"/>
  <c r="AB499" i="4"/>
  <c r="Y483" i="4"/>
  <c r="AA483" i="4" s="1"/>
  <c r="AB483" i="4"/>
  <c r="Y467" i="4"/>
  <c r="AA467" i="4" s="1"/>
  <c r="AB467" i="4"/>
  <c r="Y459" i="4"/>
  <c r="AA459" i="4" s="1"/>
  <c r="AB459" i="4"/>
  <c r="Y443" i="4"/>
  <c r="AA443" i="4" s="1"/>
  <c r="AB443" i="4"/>
  <c r="Y427" i="4"/>
  <c r="AA427" i="4" s="1"/>
  <c r="AB427" i="4"/>
  <c r="Y411" i="4"/>
  <c r="AA411" i="4" s="1"/>
  <c r="AB411" i="4"/>
  <c r="AB395" i="4"/>
  <c r="Y395" i="4"/>
  <c r="AA395" i="4" s="1"/>
  <c r="Y387" i="4"/>
  <c r="AA387" i="4" s="1"/>
  <c r="AB387" i="4"/>
  <c r="Y379" i="4"/>
  <c r="AA379" i="4" s="1"/>
  <c r="AB379" i="4"/>
  <c r="Y363" i="4"/>
  <c r="AA363" i="4" s="1"/>
  <c r="AB363" i="4"/>
  <c r="Y355" i="4"/>
  <c r="AA355" i="4" s="1"/>
  <c r="AB355" i="4"/>
  <c r="Y339" i="4"/>
  <c r="AA339" i="4" s="1"/>
  <c r="AB339" i="4"/>
  <c r="AB323" i="4"/>
  <c r="Y323" i="4"/>
  <c r="AA323" i="4" s="1"/>
  <c r="Y299" i="4"/>
  <c r="AA299" i="4" s="1"/>
  <c r="AB299" i="4"/>
  <c r="AB283" i="4"/>
  <c r="Y283" i="4"/>
  <c r="AA283" i="4" s="1"/>
  <c r="Y267" i="4"/>
  <c r="AA267" i="4" s="1"/>
  <c r="AB267" i="4"/>
  <c r="Y251" i="4"/>
  <c r="AA251" i="4" s="1"/>
  <c r="AB251" i="4"/>
  <c r="Y235" i="4"/>
  <c r="AA235" i="4" s="1"/>
  <c r="AB235" i="4"/>
  <c r="AB211" i="4"/>
  <c r="Y211" i="4"/>
  <c r="AA211" i="4" s="1"/>
  <c r="Y195" i="4"/>
  <c r="AA195" i="4" s="1"/>
  <c r="AB195" i="4"/>
  <c r="Y187" i="4"/>
  <c r="AA187" i="4" s="1"/>
  <c r="AB187" i="4"/>
  <c r="Y171" i="4"/>
  <c r="AA171" i="4" s="1"/>
  <c r="AB171" i="4"/>
  <c r="Y163" i="4"/>
  <c r="AA163" i="4" s="1"/>
  <c r="AB163" i="4"/>
  <c r="Y155" i="4"/>
  <c r="AA155" i="4" s="1"/>
  <c r="AB155" i="4"/>
  <c r="Y147" i="4"/>
  <c r="AA147" i="4" s="1"/>
  <c r="AB147" i="4"/>
  <c r="AB139" i="4"/>
  <c r="Y139" i="4"/>
  <c r="AA139" i="4" s="1"/>
  <c r="Y123" i="4"/>
  <c r="AA123" i="4" s="1"/>
  <c r="AB123" i="4"/>
  <c r="Y107" i="4"/>
  <c r="AA107" i="4" s="1"/>
  <c r="AB107" i="4"/>
  <c r="Y99" i="4"/>
  <c r="AA99" i="4" s="1"/>
  <c r="AB99" i="4"/>
  <c r="Y83" i="4"/>
  <c r="AA83" i="4" s="1"/>
  <c r="AB83" i="4"/>
  <c r="Y75" i="4"/>
  <c r="AA75" i="4" s="1"/>
  <c r="AB75" i="4"/>
  <c r="Y59" i="4"/>
  <c r="AA59" i="4" s="1"/>
  <c r="AB59" i="4"/>
  <c r="Y51" i="4"/>
  <c r="AA51" i="4" s="1"/>
  <c r="AB51" i="4"/>
  <c r="Y43" i="4"/>
  <c r="AA43" i="4" s="1"/>
  <c r="AB43" i="4"/>
  <c r="AB35" i="4"/>
  <c r="Y35" i="4"/>
  <c r="AA35" i="4" s="1"/>
  <c r="Y27" i="4"/>
  <c r="AA27" i="4" s="1"/>
  <c r="AB27" i="4"/>
  <c r="Y19" i="4"/>
  <c r="AA19" i="4" s="1"/>
  <c r="AB19" i="4"/>
  <c r="Y11" i="4"/>
  <c r="AA11" i="4" s="1"/>
  <c r="AB11" i="4"/>
  <c r="Y3" i="4"/>
  <c r="AA3" i="4" s="1"/>
  <c r="AB3" i="4"/>
  <c r="AB475" i="4"/>
  <c r="AB451" i="4"/>
  <c r="AB419" i="4"/>
  <c r="AB220" i="4"/>
  <c r="AB115" i="4"/>
  <c r="Y131" i="4"/>
  <c r="AA131" i="4" s="1"/>
  <c r="AB386" i="4"/>
  <c r="Y386" i="4"/>
  <c r="AA386" i="4" s="1"/>
  <c r="Y338" i="4"/>
  <c r="AA338" i="4" s="1"/>
  <c r="AB338" i="4"/>
  <c r="Y210" i="4"/>
  <c r="AA210" i="4" s="1"/>
  <c r="AB210" i="4"/>
  <c r="Y114" i="4"/>
  <c r="AA114" i="4" s="1"/>
  <c r="AB114" i="4"/>
  <c r="Y82" i="4"/>
  <c r="AA82" i="4" s="1"/>
  <c r="AB82" i="4"/>
  <c r="AB18" i="4"/>
  <c r="Y497" i="4"/>
  <c r="AA497" i="4" s="1"/>
  <c r="AB497" i="4"/>
  <c r="AB481" i="4"/>
  <c r="Y481" i="4"/>
  <c r="AA481" i="4" s="1"/>
  <c r="AB409" i="4"/>
  <c r="Y409" i="4"/>
  <c r="AA409" i="4" s="1"/>
  <c r="Y385" i="4"/>
  <c r="AA385" i="4" s="1"/>
  <c r="AB385" i="4"/>
  <c r="Y353" i="4"/>
  <c r="AA353" i="4" s="1"/>
  <c r="AB353" i="4"/>
  <c r="Y313" i="4"/>
  <c r="AA313" i="4" s="1"/>
  <c r="AB313" i="4"/>
  <c r="Y257" i="4"/>
  <c r="AA257" i="4" s="1"/>
  <c r="AB257" i="4"/>
  <c r="Y225" i="4"/>
  <c r="AA225" i="4" s="1"/>
  <c r="AB225" i="4"/>
  <c r="Y185" i="4"/>
  <c r="AA185" i="4" s="1"/>
  <c r="AB185" i="4"/>
  <c r="Y169" i="4"/>
  <c r="AA169" i="4" s="1"/>
  <c r="AB169" i="4"/>
  <c r="Y129" i="4"/>
  <c r="AA129" i="4" s="1"/>
  <c r="AB129" i="4"/>
  <c r="Y113" i="4"/>
  <c r="AA113" i="4" s="1"/>
  <c r="AB113" i="4"/>
  <c r="Y57" i="4"/>
  <c r="AA57" i="4" s="1"/>
  <c r="AB57" i="4"/>
  <c r="Y41" i="4"/>
  <c r="AA41" i="4" s="1"/>
  <c r="AB41" i="4"/>
  <c r="Y25" i="4"/>
  <c r="AA25" i="4" s="1"/>
  <c r="AB25" i="4"/>
  <c r="AB321" i="4"/>
  <c r="AB233" i="4"/>
  <c r="AB209" i="4"/>
  <c r="AB146" i="4"/>
  <c r="AB17" i="4"/>
  <c r="Y425" i="4"/>
  <c r="AA425" i="4" s="1"/>
  <c r="Y394" i="4"/>
  <c r="AA394" i="4" s="1"/>
  <c r="Y241" i="4"/>
  <c r="AA241" i="4" s="1"/>
  <c r="Y98" i="4"/>
  <c r="AA98" i="4" s="1"/>
  <c r="AB408" i="4"/>
  <c r="Y408" i="4"/>
  <c r="AA408" i="4" s="1"/>
  <c r="AB336" i="4"/>
  <c r="Y336" i="4"/>
  <c r="AA336" i="4" s="1"/>
  <c r="AB240" i="4"/>
  <c r="Y240" i="4"/>
  <c r="AA240" i="4" s="1"/>
  <c r="AB152" i="4"/>
  <c r="Y152" i="4"/>
  <c r="AA152" i="4" s="1"/>
  <c r="AB361" i="4"/>
  <c r="AB337" i="4"/>
  <c r="AB274" i="4"/>
  <c r="AB145" i="4"/>
  <c r="AB121" i="4"/>
  <c r="Y281" i="4"/>
  <c r="AA281" i="4" s="1"/>
  <c r="Y97" i="4"/>
  <c r="AA97" i="4" s="1"/>
  <c r="Y26" i="4"/>
  <c r="AA26" i="4" s="1"/>
  <c r="Y466" i="4"/>
  <c r="AA466" i="4" s="1"/>
  <c r="AB466" i="4"/>
  <c r="Y370" i="4"/>
  <c r="AA370" i="4" s="1"/>
  <c r="AB370" i="4"/>
  <c r="AB314" i="4"/>
  <c r="Y314" i="4"/>
  <c r="AA314" i="4" s="1"/>
  <c r="Y242" i="4"/>
  <c r="AA242" i="4" s="1"/>
  <c r="AB242" i="4"/>
  <c r="AB218" i="4"/>
  <c r="Y218" i="4"/>
  <c r="AA218" i="4" s="1"/>
  <c r="AB202" i="4"/>
  <c r="Y202" i="4"/>
  <c r="AA202" i="4" s="1"/>
  <c r="AB10" i="4"/>
  <c r="Y10" i="4"/>
  <c r="AA10" i="4" s="1"/>
  <c r="AB495" i="4"/>
  <c r="Y495" i="4"/>
  <c r="AA495" i="4" s="1"/>
  <c r="AB455" i="4"/>
  <c r="Y455" i="4"/>
  <c r="AA455" i="4" s="1"/>
  <c r="AB335" i="4"/>
  <c r="Y335" i="4"/>
  <c r="AA335" i="4" s="1"/>
  <c r="AB111" i="4"/>
  <c r="Y111" i="4"/>
  <c r="AA111" i="4" s="1"/>
  <c r="AB498" i="4"/>
  <c r="AB402" i="4"/>
  <c r="AB273" i="4"/>
  <c r="AB249" i="4"/>
  <c r="AB33" i="4"/>
  <c r="AB9" i="4"/>
  <c r="Y487" i="4"/>
  <c r="AA487" i="4" s="1"/>
  <c r="Y79" i="4"/>
  <c r="AA79" i="4" s="1"/>
  <c r="AB453" i="4"/>
  <c r="AB309" i="4"/>
  <c r="AB253" i="4"/>
  <c r="AB197" i="4"/>
  <c r="AB181" i="4"/>
  <c r="AB125" i="4"/>
  <c r="AB69" i="4"/>
  <c r="AB53" i="4"/>
  <c r="Y238" i="4"/>
  <c r="AA238" i="4" s="1"/>
  <c r="Y150" i="4"/>
  <c r="AA150" i="4" s="1"/>
  <c r="AB365" i="4"/>
  <c r="AB294" i="4"/>
  <c r="AB237" i="4"/>
  <c r="AB109" i="4"/>
  <c r="AB38" i="4"/>
  <c r="D496" i="4"/>
  <c r="L496" i="4" s="1"/>
  <c r="D408" i="4"/>
  <c r="L408" i="4" s="1"/>
  <c r="D488" i="4"/>
  <c r="L488" i="4" s="1"/>
  <c r="D320" i="4"/>
  <c r="L320" i="4" s="1"/>
  <c r="D368" i="4"/>
  <c r="L368" i="4" s="1"/>
  <c r="D280" i="4"/>
  <c r="L280" i="4" s="1"/>
  <c r="D184" i="4"/>
  <c r="L184" i="4" s="1"/>
  <c r="D120" i="4"/>
  <c r="L120" i="4" s="1"/>
  <c r="D64" i="4"/>
  <c r="L64" i="4" s="1"/>
  <c r="D495" i="4"/>
  <c r="L495" i="4" s="1"/>
  <c r="D367" i="4"/>
  <c r="L367" i="4" s="1"/>
  <c r="D319" i="4"/>
  <c r="L319" i="4" s="1"/>
  <c r="D191" i="4"/>
  <c r="L191" i="4" s="1"/>
  <c r="D454" i="4"/>
  <c r="L454" i="4" s="1"/>
  <c r="D406" i="4"/>
  <c r="L406" i="4" s="1"/>
  <c r="D326" i="4"/>
  <c r="L326" i="4" s="1"/>
  <c r="D238" i="4"/>
  <c r="L238" i="4" s="1"/>
  <c r="D63" i="4"/>
  <c r="L63" i="4" s="1"/>
  <c r="D498" i="4"/>
  <c r="L498" i="4" s="1"/>
  <c r="D490" i="4"/>
  <c r="L490" i="4" s="1"/>
  <c r="D119" i="4"/>
  <c r="L119" i="4" s="1"/>
  <c r="D31" i="4"/>
  <c r="L31" i="4" s="1"/>
  <c r="D448" i="4"/>
  <c r="L448" i="4" s="1"/>
  <c r="D240" i="4"/>
  <c r="L240" i="4" s="1"/>
  <c r="D192" i="4"/>
  <c r="L192" i="4" s="1"/>
  <c r="D56" i="4"/>
  <c r="D455" i="4"/>
  <c r="L455" i="4" s="1"/>
  <c r="D407" i="4"/>
  <c r="L407" i="4" s="1"/>
  <c r="D327" i="4"/>
  <c r="L327" i="4" s="1"/>
  <c r="D239" i="4"/>
  <c r="L239" i="4" s="1"/>
  <c r="D494" i="4"/>
  <c r="L494" i="4" s="1"/>
  <c r="D414" i="4"/>
  <c r="L414" i="4" s="1"/>
  <c r="D286" i="4"/>
  <c r="L286" i="4" s="1"/>
  <c r="D127" i="4"/>
  <c r="L127" i="4" s="1"/>
  <c r="D128" i="4"/>
  <c r="L128" i="4" s="1"/>
  <c r="D447" i="4"/>
  <c r="L447" i="4" s="1"/>
  <c r="D360" i="4"/>
  <c r="L360" i="4" s="1"/>
  <c r="D278" i="4"/>
  <c r="L278" i="4" s="1"/>
  <c r="D279" i="4"/>
  <c r="L279" i="4" s="1"/>
  <c r="D366" i="4"/>
  <c r="L366" i="4" s="1"/>
  <c r="D232" i="4"/>
  <c r="L232" i="4" s="1"/>
  <c r="D55" i="4"/>
  <c r="L55" i="4" s="1"/>
  <c r="D478" i="4"/>
  <c r="L478" i="4" s="1"/>
  <c r="D432" i="4"/>
  <c r="L432" i="4" s="1"/>
  <c r="D391" i="4"/>
  <c r="L391" i="4" s="1"/>
  <c r="D350" i="4"/>
  <c r="L350" i="4" s="1"/>
  <c r="D304" i="4"/>
  <c r="L304" i="4" s="1"/>
  <c r="D263" i="4"/>
  <c r="L263" i="4" s="1"/>
  <c r="D222" i="4"/>
  <c r="L222" i="4" s="1"/>
  <c r="D160" i="4"/>
  <c r="L160" i="4" s="1"/>
  <c r="D96" i="4"/>
  <c r="L96" i="4" s="1"/>
  <c r="D32" i="4"/>
  <c r="D183" i="4"/>
  <c r="L183" i="4" s="1"/>
  <c r="D472" i="4"/>
  <c r="L472" i="4" s="1"/>
  <c r="D431" i="4"/>
  <c r="L431" i="4" s="1"/>
  <c r="D390" i="4"/>
  <c r="L390" i="4" s="1"/>
  <c r="D344" i="4"/>
  <c r="L344" i="4" s="1"/>
  <c r="D303" i="4"/>
  <c r="L303" i="4" s="1"/>
  <c r="D262" i="4"/>
  <c r="L262" i="4" s="1"/>
  <c r="D216" i="4"/>
  <c r="L216" i="4" s="1"/>
  <c r="D159" i="4"/>
  <c r="L159" i="4" s="1"/>
  <c r="D95" i="4"/>
  <c r="L95" i="4" s="1"/>
  <c r="D474" i="4"/>
  <c r="L474" i="4" s="1"/>
  <c r="D458" i="4"/>
  <c r="L458" i="4" s="1"/>
  <c r="D442" i="4"/>
  <c r="L442" i="4" s="1"/>
  <c r="D426" i="4"/>
  <c r="L426" i="4" s="1"/>
  <c r="D410" i="4"/>
  <c r="L410" i="4" s="1"/>
  <c r="D394" i="4"/>
  <c r="L394" i="4" s="1"/>
  <c r="D386" i="4"/>
  <c r="L386" i="4" s="1"/>
  <c r="D370" i="4"/>
  <c r="L370" i="4" s="1"/>
  <c r="D362" i="4"/>
  <c r="L362" i="4" s="1"/>
  <c r="D471" i="4"/>
  <c r="L471" i="4" s="1"/>
  <c r="D430" i="4"/>
  <c r="L430" i="4" s="1"/>
  <c r="D384" i="4"/>
  <c r="L384" i="4" s="1"/>
  <c r="D343" i="4"/>
  <c r="L343" i="4" s="1"/>
  <c r="D302" i="4"/>
  <c r="L302" i="4" s="1"/>
  <c r="D256" i="4"/>
  <c r="L256" i="4" s="1"/>
  <c r="D215" i="4"/>
  <c r="L215" i="4" s="1"/>
  <c r="D152" i="4"/>
  <c r="L152" i="4" s="1"/>
  <c r="D88" i="4"/>
  <c r="L88" i="4" s="1"/>
  <c r="D24" i="4"/>
  <c r="D482" i="4"/>
  <c r="L482" i="4" s="1"/>
  <c r="D466" i="4"/>
  <c r="L466" i="4" s="1"/>
  <c r="D450" i="4"/>
  <c r="L450" i="4" s="1"/>
  <c r="D434" i="4"/>
  <c r="L434" i="4" s="1"/>
  <c r="D418" i="4"/>
  <c r="L418" i="4" s="1"/>
  <c r="D402" i="4"/>
  <c r="L402" i="4" s="1"/>
  <c r="D378" i="4"/>
  <c r="L378" i="4" s="1"/>
  <c r="D470" i="4"/>
  <c r="L470" i="4" s="1"/>
  <c r="D424" i="4"/>
  <c r="L424" i="4" s="1"/>
  <c r="D383" i="4"/>
  <c r="L383" i="4" s="1"/>
  <c r="D342" i="4"/>
  <c r="L342" i="4" s="1"/>
  <c r="D296" i="4"/>
  <c r="L296" i="4" s="1"/>
  <c r="D255" i="4"/>
  <c r="L255" i="4" s="1"/>
  <c r="D214" i="4"/>
  <c r="L214" i="4" s="1"/>
  <c r="D151" i="4"/>
  <c r="L151" i="4" s="1"/>
  <c r="D87" i="4"/>
  <c r="L87" i="4" s="1"/>
  <c r="D23" i="4"/>
  <c r="L23" i="4" s="1"/>
  <c r="D29" i="4"/>
  <c r="L29" i="4" s="1"/>
  <c r="D45" i="4"/>
  <c r="L45" i="4" s="1"/>
  <c r="D69" i="4"/>
  <c r="L69" i="4" s="1"/>
  <c r="D101" i="4"/>
  <c r="L101" i="4" s="1"/>
  <c r="D133" i="4"/>
  <c r="L133" i="4" s="1"/>
  <c r="D165" i="4"/>
  <c r="L165" i="4" s="1"/>
  <c r="D197" i="4"/>
  <c r="L197" i="4" s="1"/>
  <c r="D229" i="4"/>
  <c r="L229" i="4" s="1"/>
  <c r="D261" i="4"/>
  <c r="L261" i="4" s="1"/>
  <c r="D293" i="4"/>
  <c r="L293" i="4" s="1"/>
  <c r="D325" i="4"/>
  <c r="L325" i="4" s="1"/>
  <c r="D365" i="4"/>
  <c r="L365" i="4" s="1"/>
  <c r="D397" i="4"/>
  <c r="L397" i="4" s="1"/>
  <c r="D421" i="4"/>
  <c r="L421" i="4" s="1"/>
  <c r="D453" i="4"/>
  <c r="L453" i="4" s="1"/>
  <c r="D485" i="4"/>
  <c r="L485" i="4" s="1"/>
  <c r="D30" i="4"/>
  <c r="D62" i="4"/>
  <c r="L62" i="4" s="1"/>
  <c r="D94" i="4"/>
  <c r="L94" i="4" s="1"/>
  <c r="D118" i="4"/>
  <c r="L118" i="4" s="1"/>
  <c r="D150" i="4"/>
  <c r="L150" i="4" s="1"/>
  <c r="D190" i="4"/>
  <c r="L190" i="4" s="1"/>
  <c r="D13" i="4"/>
  <c r="L13" i="4" s="1"/>
  <c r="D53" i="4"/>
  <c r="L53" i="4" s="1"/>
  <c r="D93" i="4"/>
  <c r="L93" i="4" s="1"/>
  <c r="D125" i="4"/>
  <c r="L125" i="4" s="1"/>
  <c r="D157" i="4"/>
  <c r="L157" i="4" s="1"/>
  <c r="D189" i="4"/>
  <c r="L189" i="4" s="1"/>
  <c r="D213" i="4"/>
  <c r="L213" i="4" s="1"/>
  <c r="D245" i="4"/>
  <c r="L245" i="4" s="1"/>
  <c r="D277" i="4"/>
  <c r="L277" i="4" s="1"/>
  <c r="D317" i="4"/>
  <c r="L317" i="4" s="1"/>
  <c r="D349" i="4"/>
  <c r="L349" i="4" s="1"/>
  <c r="D381" i="4"/>
  <c r="L381" i="4" s="1"/>
  <c r="D413" i="4"/>
  <c r="L413" i="4" s="1"/>
  <c r="D445" i="4"/>
  <c r="L445" i="4" s="1"/>
  <c r="D477" i="4"/>
  <c r="L477" i="4" s="1"/>
  <c r="D14" i="4"/>
  <c r="D38" i="4"/>
  <c r="D70" i="4"/>
  <c r="L70" i="4" s="1"/>
  <c r="D102" i="4"/>
  <c r="L102" i="4" s="1"/>
  <c r="D134" i="4"/>
  <c r="L134" i="4" s="1"/>
  <c r="D174" i="4"/>
  <c r="L174" i="4" s="1"/>
  <c r="D206" i="4"/>
  <c r="L206" i="4" s="1"/>
  <c r="D5" i="4"/>
  <c r="L5" i="4" s="1"/>
  <c r="D61" i="4"/>
  <c r="L61" i="4" s="1"/>
  <c r="D85" i="4"/>
  <c r="L85" i="4" s="1"/>
  <c r="D117" i="4"/>
  <c r="L117" i="4" s="1"/>
  <c r="D149" i="4"/>
  <c r="L149" i="4" s="1"/>
  <c r="D181" i="4"/>
  <c r="L181" i="4" s="1"/>
  <c r="D221" i="4"/>
  <c r="L221" i="4" s="1"/>
  <c r="D253" i="4"/>
  <c r="L253" i="4" s="1"/>
  <c r="D285" i="4"/>
  <c r="L285" i="4" s="1"/>
  <c r="D309" i="4"/>
  <c r="L309" i="4" s="1"/>
  <c r="D341" i="4"/>
  <c r="L341" i="4" s="1"/>
  <c r="D373" i="4"/>
  <c r="L373" i="4" s="1"/>
  <c r="D405" i="4"/>
  <c r="L405" i="4" s="1"/>
  <c r="D437" i="4"/>
  <c r="L437" i="4" s="1"/>
  <c r="D469" i="4"/>
  <c r="L469" i="4" s="1"/>
  <c r="D6" i="4"/>
  <c r="D46" i="4"/>
  <c r="D78" i="4"/>
  <c r="L78" i="4" s="1"/>
  <c r="D110" i="4"/>
  <c r="L110" i="4" s="1"/>
  <c r="D142" i="4"/>
  <c r="L142" i="4" s="1"/>
  <c r="D166" i="4"/>
  <c r="L166" i="4" s="1"/>
  <c r="D198" i="4"/>
  <c r="L198" i="4" s="1"/>
  <c r="D21" i="4"/>
  <c r="L21" i="4" s="1"/>
  <c r="D37" i="4"/>
  <c r="L37" i="4" s="1"/>
  <c r="D77" i="4"/>
  <c r="L77" i="4" s="1"/>
  <c r="D109" i="4"/>
  <c r="L109" i="4" s="1"/>
  <c r="D141" i="4"/>
  <c r="L141" i="4" s="1"/>
  <c r="D173" i="4"/>
  <c r="L173" i="4" s="1"/>
  <c r="D205" i="4"/>
  <c r="L205" i="4" s="1"/>
  <c r="D237" i="4"/>
  <c r="L237" i="4" s="1"/>
  <c r="D269" i="4"/>
  <c r="L269" i="4" s="1"/>
  <c r="D301" i="4"/>
  <c r="L301" i="4" s="1"/>
  <c r="D333" i="4"/>
  <c r="L333" i="4" s="1"/>
  <c r="D357" i="4"/>
  <c r="L357" i="4" s="1"/>
  <c r="D389" i="4"/>
  <c r="L389" i="4" s="1"/>
  <c r="D429" i="4"/>
  <c r="L429" i="4" s="1"/>
  <c r="D461" i="4"/>
  <c r="L461" i="4" s="1"/>
  <c r="D493" i="4"/>
  <c r="L493" i="4" s="1"/>
  <c r="D22" i="4"/>
  <c r="D54" i="4"/>
  <c r="L54" i="4" s="1"/>
  <c r="D86" i="4"/>
  <c r="L86" i="4" s="1"/>
  <c r="D126" i="4"/>
  <c r="L126" i="4" s="1"/>
  <c r="D158" i="4"/>
  <c r="L158" i="4" s="1"/>
  <c r="D182" i="4"/>
  <c r="L182" i="4" s="1"/>
  <c r="D492" i="4"/>
  <c r="L492" i="4" s="1"/>
  <c r="D484" i="4"/>
  <c r="L484" i="4" s="1"/>
  <c r="D476" i="4"/>
  <c r="L476" i="4" s="1"/>
  <c r="D468" i="4"/>
  <c r="L468" i="4" s="1"/>
  <c r="D460" i="4"/>
  <c r="L460" i="4" s="1"/>
  <c r="D452" i="4"/>
  <c r="L452" i="4" s="1"/>
  <c r="D444" i="4"/>
  <c r="L444" i="4" s="1"/>
  <c r="D436" i="4"/>
  <c r="L436" i="4" s="1"/>
  <c r="D428" i="4"/>
  <c r="L428" i="4" s="1"/>
  <c r="D420" i="4"/>
  <c r="L420" i="4" s="1"/>
  <c r="D412" i="4"/>
  <c r="L412" i="4" s="1"/>
  <c r="D404" i="4"/>
  <c r="L404" i="4" s="1"/>
  <c r="D396" i="4"/>
  <c r="L396" i="4" s="1"/>
  <c r="D388" i="4"/>
  <c r="L388" i="4" s="1"/>
  <c r="D380" i="4"/>
  <c r="L380" i="4" s="1"/>
  <c r="D372" i="4"/>
  <c r="L372" i="4" s="1"/>
  <c r="D364" i="4"/>
  <c r="L364" i="4" s="1"/>
  <c r="D356" i="4"/>
  <c r="L356" i="4" s="1"/>
  <c r="D348" i="4"/>
  <c r="L348" i="4" s="1"/>
  <c r="D340" i="4"/>
  <c r="L340" i="4" s="1"/>
  <c r="D332" i="4"/>
  <c r="L332" i="4" s="1"/>
  <c r="D324" i="4"/>
  <c r="L324" i="4" s="1"/>
  <c r="D316" i="4"/>
  <c r="L316" i="4" s="1"/>
  <c r="D308" i="4"/>
  <c r="L308" i="4" s="1"/>
  <c r="D300" i="4"/>
  <c r="L300" i="4" s="1"/>
  <c r="D292" i="4"/>
  <c r="L292" i="4" s="1"/>
  <c r="D284" i="4"/>
  <c r="L284" i="4" s="1"/>
  <c r="D276" i="4"/>
  <c r="L276" i="4" s="1"/>
  <c r="D268" i="4"/>
  <c r="L268" i="4" s="1"/>
  <c r="D260" i="4"/>
  <c r="L260" i="4" s="1"/>
  <c r="D252" i="4"/>
  <c r="L252" i="4" s="1"/>
  <c r="D244" i="4"/>
  <c r="L244" i="4" s="1"/>
  <c r="D236" i="4"/>
  <c r="L236" i="4" s="1"/>
  <c r="D228" i="4"/>
  <c r="L228" i="4" s="1"/>
  <c r="D220" i="4"/>
  <c r="L220" i="4" s="1"/>
  <c r="D212" i="4"/>
  <c r="L212" i="4" s="1"/>
  <c r="D204" i="4"/>
  <c r="L204" i="4" s="1"/>
  <c r="D196" i="4"/>
  <c r="L196" i="4" s="1"/>
  <c r="D188" i="4"/>
  <c r="L188" i="4" s="1"/>
  <c r="D180" i="4"/>
  <c r="D172" i="4"/>
  <c r="L172" i="4" s="1"/>
  <c r="D164" i="4"/>
  <c r="L164" i="4" s="1"/>
  <c r="D156" i="4"/>
  <c r="L156" i="4" s="1"/>
  <c r="D148" i="4"/>
  <c r="L148" i="4" s="1"/>
  <c r="D140" i="4"/>
  <c r="L140" i="4" s="1"/>
  <c r="D132" i="4"/>
  <c r="L132" i="4" s="1"/>
  <c r="D124" i="4"/>
  <c r="D116" i="4"/>
  <c r="D108" i="4"/>
  <c r="D100" i="4"/>
  <c r="D92" i="4"/>
  <c r="D84" i="4"/>
  <c r="D76" i="4"/>
  <c r="D68" i="4"/>
  <c r="L68" i="4" s="1"/>
  <c r="D60" i="4"/>
  <c r="D52" i="4"/>
  <c r="D44" i="4"/>
  <c r="D36" i="4"/>
  <c r="D28" i="4"/>
  <c r="D20" i="4"/>
  <c r="D12" i="4"/>
  <c r="D4" i="4"/>
  <c r="D487" i="4"/>
  <c r="L487" i="4" s="1"/>
  <c r="D464" i="4"/>
  <c r="L464" i="4" s="1"/>
  <c r="D446" i="4"/>
  <c r="L446" i="4" s="1"/>
  <c r="D423" i="4"/>
  <c r="L423" i="4" s="1"/>
  <c r="D400" i="4"/>
  <c r="L400" i="4" s="1"/>
  <c r="D382" i="4"/>
  <c r="L382" i="4" s="1"/>
  <c r="D359" i="4"/>
  <c r="L359" i="4" s="1"/>
  <c r="D336" i="4"/>
  <c r="L336" i="4" s="1"/>
  <c r="D318" i="4"/>
  <c r="L318" i="4" s="1"/>
  <c r="D295" i="4"/>
  <c r="L295" i="4" s="1"/>
  <c r="D272" i="4"/>
  <c r="L272" i="4" s="1"/>
  <c r="D254" i="4"/>
  <c r="L254" i="4" s="1"/>
  <c r="D231" i="4"/>
  <c r="L231" i="4" s="1"/>
  <c r="D208" i="4"/>
  <c r="L208" i="4" s="1"/>
  <c r="D176" i="4"/>
  <c r="L176" i="4" s="1"/>
  <c r="D144" i="4"/>
  <c r="L144" i="4" s="1"/>
  <c r="D112" i="4"/>
  <c r="L112" i="4" s="1"/>
  <c r="D80" i="4"/>
  <c r="L80" i="4" s="1"/>
  <c r="D48" i="4"/>
  <c r="D16" i="4"/>
  <c r="D2" i="4"/>
  <c r="L2" i="4" s="1"/>
  <c r="D491" i="4"/>
  <c r="L491" i="4" s="1"/>
  <c r="D483" i="4"/>
  <c r="L483" i="4" s="1"/>
  <c r="D475" i="4"/>
  <c r="L475" i="4" s="1"/>
  <c r="D467" i="4"/>
  <c r="L467" i="4" s="1"/>
  <c r="D459" i="4"/>
  <c r="L459" i="4" s="1"/>
  <c r="D451" i="4"/>
  <c r="L451" i="4" s="1"/>
  <c r="D443" i="4"/>
  <c r="L443" i="4" s="1"/>
  <c r="D435" i="4"/>
  <c r="L435" i="4" s="1"/>
  <c r="D427" i="4"/>
  <c r="L427" i="4" s="1"/>
  <c r="D419" i="4"/>
  <c r="L419" i="4" s="1"/>
  <c r="D411" i="4"/>
  <c r="L411" i="4" s="1"/>
  <c r="D403" i="4"/>
  <c r="L403" i="4" s="1"/>
  <c r="D395" i="4"/>
  <c r="L395" i="4" s="1"/>
  <c r="D387" i="4"/>
  <c r="L387" i="4" s="1"/>
  <c r="D379" i="4"/>
  <c r="L379" i="4" s="1"/>
  <c r="D371" i="4"/>
  <c r="L371" i="4" s="1"/>
  <c r="D363" i="4"/>
  <c r="L363" i="4" s="1"/>
  <c r="D355" i="4"/>
  <c r="L355" i="4" s="1"/>
  <c r="D347" i="4"/>
  <c r="L347" i="4" s="1"/>
  <c r="D339" i="4"/>
  <c r="L339" i="4" s="1"/>
  <c r="D331" i="4"/>
  <c r="L331" i="4" s="1"/>
  <c r="D323" i="4"/>
  <c r="L323" i="4" s="1"/>
  <c r="D315" i="4"/>
  <c r="L315" i="4" s="1"/>
  <c r="D307" i="4"/>
  <c r="L307" i="4" s="1"/>
  <c r="D299" i="4"/>
  <c r="L299" i="4" s="1"/>
  <c r="D291" i="4"/>
  <c r="L291" i="4" s="1"/>
  <c r="D283" i="4"/>
  <c r="L283" i="4" s="1"/>
  <c r="D275" i="4"/>
  <c r="L275" i="4" s="1"/>
  <c r="D267" i="4"/>
  <c r="L267" i="4" s="1"/>
  <c r="D259" i="4"/>
  <c r="L259" i="4" s="1"/>
  <c r="D251" i="4"/>
  <c r="L251" i="4" s="1"/>
  <c r="D243" i="4"/>
  <c r="L243" i="4" s="1"/>
  <c r="D235" i="4"/>
  <c r="L235" i="4" s="1"/>
  <c r="D227" i="4"/>
  <c r="L227" i="4" s="1"/>
  <c r="D219" i="4"/>
  <c r="L219" i="4" s="1"/>
  <c r="D211" i="4"/>
  <c r="L211" i="4" s="1"/>
  <c r="D203" i="4"/>
  <c r="L203" i="4" s="1"/>
  <c r="D195" i="4"/>
  <c r="L195" i="4" s="1"/>
  <c r="D187" i="4"/>
  <c r="L187" i="4" s="1"/>
  <c r="D179" i="4"/>
  <c r="L179" i="4" s="1"/>
  <c r="D171" i="4"/>
  <c r="L171" i="4" s="1"/>
  <c r="D163" i="4"/>
  <c r="L163" i="4" s="1"/>
  <c r="D155" i="4"/>
  <c r="L155" i="4" s="1"/>
  <c r="D147" i="4"/>
  <c r="L147" i="4" s="1"/>
  <c r="D139" i="4"/>
  <c r="L139" i="4" s="1"/>
  <c r="D131" i="4"/>
  <c r="L131" i="4" s="1"/>
  <c r="D123" i="4"/>
  <c r="L123" i="4" s="1"/>
  <c r="D115" i="4"/>
  <c r="L115" i="4" s="1"/>
  <c r="D107" i="4"/>
  <c r="L107" i="4" s="1"/>
  <c r="D99" i="4"/>
  <c r="L99" i="4" s="1"/>
  <c r="D91" i="4"/>
  <c r="L91" i="4" s="1"/>
  <c r="D83" i="4"/>
  <c r="L83" i="4" s="1"/>
  <c r="D75" i="4"/>
  <c r="L75" i="4" s="1"/>
  <c r="D67" i="4"/>
  <c r="L67" i="4" s="1"/>
  <c r="D59" i="4"/>
  <c r="L59" i="4" s="1"/>
  <c r="D51" i="4"/>
  <c r="L51" i="4" s="1"/>
  <c r="D43" i="4"/>
  <c r="L43" i="4" s="1"/>
  <c r="D35" i="4"/>
  <c r="L35" i="4" s="1"/>
  <c r="D27" i="4"/>
  <c r="L27" i="4" s="1"/>
  <c r="D19" i="4"/>
  <c r="L19" i="4" s="1"/>
  <c r="D11" i="4"/>
  <c r="L11" i="4" s="1"/>
  <c r="D3" i="4"/>
  <c r="L3" i="4" s="1"/>
  <c r="D486" i="4"/>
  <c r="L486" i="4" s="1"/>
  <c r="D463" i="4"/>
  <c r="L463" i="4" s="1"/>
  <c r="D440" i="4"/>
  <c r="L440" i="4" s="1"/>
  <c r="D422" i="4"/>
  <c r="L422" i="4" s="1"/>
  <c r="D399" i="4"/>
  <c r="L399" i="4" s="1"/>
  <c r="D376" i="4"/>
  <c r="L376" i="4" s="1"/>
  <c r="D358" i="4"/>
  <c r="L358" i="4" s="1"/>
  <c r="D335" i="4"/>
  <c r="L335" i="4" s="1"/>
  <c r="D312" i="4"/>
  <c r="L312" i="4" s="1"/>
  <c r="D294" i="4"/>
  <c r="L294" i="4" s="1"/>
  <c r="D271" i="4"/>
  <c r="L271" i="4" s="1"/>
  <c r="D248" i="4"/>
  <c r="L248" i="4" s="1"/>
  <c r="D230" i="4"/>
  <c r="L230" i="4" s="1"/>
  <c r="D207" i="4"/>
  <c r="L207" i="4" s="1"/>
  <c r="D175" i="4"/>
  <c r="L175" i="4" s="1"/>
  <c r="D143" i="4"/>
  <c r="L143" i="4" s="1"/>
  <c r="D111" i="4"/>
  <c r="L111" i="4" s="1"/>
  <c r="D79" i="4"/>
  <c r="L79" i="4" s="1"/>
  <c r="D47" i="4"/>
  <c r="L47" i="4" s="1"/>
  <c r="D15" i="4"/>
  <c r="L15" i="4" s="1"/>
  <c r="D354" i="4"/>
  <c r="L354" i="4" s="1"/>
  <c r="D338" i="4"/>
  <c r="L338" i="4" s="1"/>
  <c r="D330" i="4"/>
  <c r="L330" i="4" s="1"/>
  <c r="D322" i="4"/>
  <c r="L322" i="4" s="1"/>
  <c r="D314" i="4"/>
  <c r="L314" i="4" s="1"/>
  <c r="D306" i="4"/>
  <c r="L306" i="4" s="1"/>
  <c r="D290" i="4"/>
  <c r="L290" i="4" s="1"/>
  <c r="D282" i="4"/>
  <c r="L282" i="4" s="1"/>
  <c r="D274" i="4"/>
  <c r="L274" i="4" s="1"/>
  <c r="D266" i="4"/>
  <c r="L266" i="4" s="1"/>
  <c r="D258" i="4"/>
  <c r="L258" i="4" s="1"/>
  <c r="D250" i="4"/>
  <c r="L250" i="4" s="1"/>
  <c r="D242" i="4"/>
  <c r="L242" i="4" s="1"/>
  <c r="D234" i="4"/>
  <c r="L234" i="4" s="1"/>
  <c r="D226" i="4"/>
  <c r="L226" i="4" s="1"/>
  <c r="D218" i="4"/>
  <c r="L218" i="4" s="1"/>
  <c r="D210" i="4"/>
  <c r="L210" i="4" s="1"/>
  <c r="D202" i="4"/>
  <c r="L202" i="4" s="1"/>
  <c r="D194" i="4"/>
  <c r="L194" i="4" s="1"/>
  <c r="D186" i="4"/>
  <c r="L186" i="4" s="1"/>
  <c r="D178" i="4"/>
  <c r="L178" i="4" s="1"/>
  <c r="D170" i="4"/>
  <c r="L170" i="4" s="1"/>
  <c r="D162" i="4"/>
  <c r="L162" i="4" s="1"/>
  <c r="D154" i="4"/>
  <c r="L154" i="4" s="1"/>
  <c r="D146" i="4"/>
  <c r="L146" i="4" s="1"/>
  <c r="D138" i="4"/>
  <c r="L138" i="4" s="1"/>
  <c r="D130" i="4"/>
  <c r="L130" i="4" s="1"/>
  <c r="D122" i="4"/>
  <c r="L122" i="4" s="1"/>
  <c r="D114" i="4"/>
  <c r="L114" i="4" s="1"/>
  <c r="D106" i="4"/>
  <c r="L106" i="4" s="1"/>
  <c r="D98" i="4"/>
  <c r="L98" i="4" s="1"/>
  <c r="D90" i="4"/>
  <c r="L90" i="4" s="1"/>
  <c r="D82" i="4"/>
  <c r="L82" i="4" s="1"/>
  <c r="D74" i="4"/>
  <c r="L74" i="4" s="1"/>
  <c r="D66" i="4"/>
  <c r="L66" i="4" s="1"/>
  <c r="D58" i="4"/>
  <c r="L58" i="4" s="1"/>
  <c r="D50" i="4"/>
  <c r="L50" i="4" s="1"/>
  <c r="D42" i="4"/>
  <c r="D34" i="4"/>
  <c r="D26" i="4"/>
  <c r="D18" i="4"/>
  <c r="D10" i="4"/>
  <c r="D499" i="4"/>
  <c r="D480" i="4"/>
  <c r="L480" i="4" s="1"/>
  <c r="D462" i="4"/>
  <c r="L462" i="4" s="1"/>
  <c r="D439" i="4"/>
  <c r="L439" i="4" s="1"/>
  <c r="D416" i="4"/>
  <c r="L416" i="4" s="1"/>
  <c r="D398" i="4"/>
  <c r="L398" i="4" s="1"/>
  <c r="D375" i="4"/>
  <c r="L375" i="4" s="1"/>
  <c r="D352" i="4"/>
  <c r="L352" i="4" s="1"/>
  <c r="D334" i="4"/>
  <c r="L334" i="4" s="1"/>
  <c r="D311" i="4"/>
  <c r="L311" i="4" s="1"/>
  <c r="D288" i="4"/>
  <c r="L288" i="4" s="1"/>
  <c r="D270" i="4"/>
  <c r="L270" i="4" s="1"/>
  <c r="D247" i="4"/>
  <c r="L247" i="4" s="1"/>
  <c r="D224" i="4"/>
  <c r="L224" i="4" s="1"/>
  <c r="D200" i="4"/>
  <c r="L200" i="4" s="1"/>
  <c r="D168" i="4"/>
  <c r="L168" i="4" s="1"/>
  <c r="D136" i="4"/>
  <c r="L136" i="4" s="1"/>
  <c r="D104" i="4"/>
  <c r="L104" i="4" s="1"/>
  <c r="D72" i="4"/>
  <c r="L72" i="4" s="1"/>
  <c r="D40" i="4"/>
  <c r="D8" i="4"/>
  <c r="D346" i="4"/>
  <c r="L346" i="4" s="1"/>
  <c r="D298" i="4"/>
  <c r="L298" i="4" s="1"/>
  <c r="D497" i="4"/>
  <c r="L497" i="4" s="1"/>
  <c r="D489" i="4"/>
  <c r="L489" i="4" s="1"/>
  <c r="D481" i="4"/>
  <c r="L481" i="4" s="1"/>
  <c r="D473" i="4"/>
  <c r="L473" i="4" s="1"/>
  <c r="D465" i="4"/>
  <c r="L465" i="4" s="1"/>
  <c r="D457" i="4"/>
  <c r="L457" i="4" s="1"/>
  <c r="D449" i="4"/>
  <c r="L449" i="4" s="1"/>
  <c r="D441" i="4"/>
  <c r="L441" i="4" s="1"/>
  <c r="D433" i="4"/>
  <c r="L433" i="4" s="1"/>
  <c r="D425" i="4"/>
  <c r="L425" i="4" s="1"/>
  <c r="D417" i="4"/>
  <c r="L417" i="4" s="1"/>
  <c r="D409" i="4"/>
  <c r="L409" i="4" s="1"/>
  <c r="D401" i="4"/>
  <c r="L401" i="4" s="1"/>
  <c r="D393" i="4"/>
  <c r="L393" i="4" s="1"/>
  <c r="D385" i="4"/>
  <c r="L385" i="4" s="1"/>
  <c r="D377" i="4"/>
  <c r="L377" i="4" s="1"/>
  <c r="D369" i="4"/>
  <c r="L369" i="4" s="1"/>
  <c r="D361" i="4"/>
  <c r="L361" i="4" s="1"/>
  <c r="D353" i="4"/>
  <c r="L353" i="4" s="1"/>
  <c r="D345" i="4"/>
  <c r="L345" i="4" s="1"/>
  <c r="D337" i="4"/>
  <c r="L337" i="4" s="1"/>
  <c r="D329" i="4"/>
  <c r="L329" i="4" s="1"/>
  <c r="D321" i="4"/>
  <c r="L321" i="4" s="1"/>
  <c r="D313" i="4"/>
  <c r="L313" i="4" s="1"/>
  <c r="D305" i="4"/>
  <c r="L305" i="4" s="1"/>
  <c r="D297" i="4"/>
  <c r="L297" i="4" s="1"/>
  <c r="D289" i="4"/>
  <c r="L289" i="4" s="1"/>
  <c r="D281" i="4"/>
  <c r="L281" i="4" s="1"/>
  <c r="D273" i="4"/>
  <c r="L273" i="4" s="1"/>
  <c r="D265" i="4"/>
  <c r="L265" i="4" s="1"/>
  <c r="D257" i="4"/>
  <c r="L257" i="4" s="1"/>
  <c r="D249" i="4"/>
  <c r="L249" i="4" s="1"/>
  <c r="D241" i="4"/>
  <c r="L241" i="4" s="1"/>
  <c r="D233" i="4"/>
  <c r="L233" i="4" s="1"/>
  <c r="D225" i="4"/>
  <c r="L225" i="4" s="1"/>
  <c r="D217" i="4"/>
  <c r="L217" i="4" s="1"/>
  <c r="D209" i="4"/>
  <c r="L209" i="4" s="1"/>
  <c r="D201" i="4"/>
  <c r="L201" i="4" s="1"/>
  <c r="D193" i="4"/>
  <c r="L193" i="4" s="1"/>
  <c r="D185" i="4"/>
  <c r="L185" i="4" s="1"/>
  <c r="D177" i="4"/>
  <c r="L177" i="4" s="1"/>
  <c r="D169" i="4"/>
  <c r="L169" i="4" s="1"/>
  <c r="D161" i="4"/>
  <c r="L161" i="4" s="1"/>
  <c r="D153" i="4"/>
  <c r="L153" i="4" s="1"/>
  <c r="D145" i="4"/>
  <c r="L145" i="4" s="1"/>
  <c r="D137" i="4"/>
  <c r="L137" i="4" s="1"/>
  <c r="D129" i="4"/>
  <c r="L129" i="4" s="1"/>
  <c r="D121" i="4"/>
  <c r="L121" i="4" s="1"/>
  <c r="D113" i="4"/>
  <c r="L113" i="4" s="1"/>
  <c r="D105" i="4"/>
  <c r="L105" i="4" s="1"/>
  <c r="D97" i="4"/>
  <c r="L97" i="4" s="1"/>
  <c r="D89" i="4"/>
  <c r="L89" i="4" s="1"/>
  <c r="D81" i="4"/>
  <c r="L81" i="4" s="1"/>
  <c r="D73" i="4"/>
  <c r="L73" i="4" s="1"/>
  <c r="D65" i="4"/>
  <c r="L65" i="4" s="1"/>
  <c r="D57" i="4"/>
  <c r="L57" i="4" s="1"/>
  <c r="D49" i="4"/>
  <c r="L49" i="4" s="1"/>
  <c r="D41" i="4"/>
  <c r="L41" i="4" s="1"/>
  <c r="D33" i="4"/>
  <c r="L33" i="4" s="1"/>
  <c r="D25" i="4"/>
  <c r="L25" i="4" s="1"/>
  <c r="D17" i="4"/>
  <c r="L17" i="4" s="1"/>
  <c r="D9" i="4"/>
  <c r="L9" i="4" s="1"/>
  <c r="D500" i="4"/>
  <c r="L500" i="4" s="1"/>
  <c r="D479" i="4"/>
  <c r="L479" i="4" s="1"/>
  <c r="D456" i="4"/>
  <c r="L456" i="4" s="1"/>
  <c r="D438" i="4"/>
  <c r="L438" i="4" s="1"/>
  <c r="D415" i="4"/>
  <c r="L415" i="4" s="1"/>
  <c r="D392" i="4"/>
  <c r="L392" i="4" s="1"/>
  <c r="D374" i="4"/>
  <c r="L374" i="4" s="1"/>
  <c r="D351" i="4"/>
  <c r="L351" i="4" s="1"/>
  <c r="D328" i="4"/>
  <c r="L328" i="4" s="1"/>
  <c r="D310" i="4"/>
  <c r="L310" i="4" s="1"/>
  <c r="D287" i="4"/>
  <c r="L287" i="4" s="1"/>
  <c r="D264" i="4"/>
  <c r="L264" i="4" s="1"/>
  <c r="D246" i="4"/>
  <c r="L246" i="4" s="1"/>
  <c r="D223" i="4"/>
  <c r="L223" i="4" s="1"/>
  <c r="D199" i="4"/>
  <c r="L199" i="4" s="1"/>
  <c r="D167" i="4"/>
  <c r="L167" i="4" s="1"/>
  <c r="D135" i="4"/>
  <c r="L135" i="4" s="1"/>
  <c r="D103" i="4"/>
  <c r="L103" i="4" s="1"/>
  <c r="D71" i="4"/>
  <c r="L71" i="4" s="1"/>
  <c r="D39" i="4"/>
  <c r="D7" i="4"/>
  <c r="L7" i="4" s="1"/>
  <c r="AB488" i="4"/>
  <c r="Y488" i="4"/>
  <c r="AA488" i="4" s="1"/>
  <c r="AB480" i="4"/>
  <c r="Y480" i="4"/>
  <c r="AA480" i="4" s="1"/>
  <c r="AB472" i="4"/>
  <c r="Y472" i="4"/>
  <c r="AA472" i="4" s="1"/>
  <c r="AB456" i="4"/>
  <c r="Y456" i="4"/>
  <c r="AA456" i="4" s="1"/>
  <c r="AB448" i="4"/>
  <c r="Y448" i="4"/>
  <c r="AA448" i="4" s="1"/>
  <c r="AB440" i="4"/>
  <c r="Y440" i="4"/>
  <c r="AA440" i="4" s="1"/>
  <c r="AB424" i="4"/>
  <c r="Y424" i="4"/>
  <c r="AA424" i="4" s="1"/>
  <c r="AB416" i="4"/>
  <c r="Y416" i="4"/>
  <c r="AA416" i="4" s="1"/>
  <c r="AB400" i="4"/>
  <c r="Y400" i="4"/>
  <c r="AA400" i="4" s="1"/>
  <c r="Y392" i="4"/>
  <c r="AA392" i="4" s="1"/>
  <c r="AB392" i="4"/>
  <c r="Y384" i="4"/>
  <c r="AA384" i="4" s="1"/>
  <c r="AB384" i="4"/>
  <c r="AB368" i="4"/>
  <c r="Y368" i="4"/>
  <c r="AA368" i="4" s="1"/>
  <c r="AB352" i="4"/>
  <c r="Y352" i="4"/>
  <c r="AA352" i="4" s="1"/>
  <c r="Y328" i="4"/>
  <c r="AA328" i="4" s="1"/>
  <c r="AB328" i="4"/>
  <c r="Y320" i="4"/>
  <c r="AA320" i="4" s="1"/>
  <c r="AB320" i="4"/>
  <c r="Y288" i="4"/>
  <c r="AA288" i="4" s="1"/>
  <c r="AB288" i="4"/>
  <c r="Y280" i="4"/>
  <c r="AA280" i="4" s="1"/>
  <c r="AB280" i="4"/>
  <c r="AB264" i="4"/>
  <c r="Y264" i="4"/>
  <c r="AA264" i="4" s="1"/>
  <c r="Y232" i="4"/>
  <c r="AA232" i="4" s="1"/>
  <c r="AB232" i="4"/>
  <c r="Y216" i="4"/>
  <c r="AA216" i="4" s="1"/>
  <c r="AB216" i="4"/>
  <c r="Y208" i="4"/>
  <c r="AA208" i="4" s="1"/>
  <c r="AB208" i="4"/>
  <c r="Y184" i="4"/>
  <c r="AA184" i="4" s="1"/>
  <c r="AB184" i="4"/>
  <c r="Y168" i="4"/>
  <c r="AA168" i="4" s="1"/>
  <c r="AB168" i="4"/>
  <c r="Y136" i="4"/>
  <c r="AA136" i="4" s="1"/>
  <c r="AB136" i="4"/>
  <c r="Y128" i="4"/>
  <c r="AA128" i="4" s="1"/>
  <c r="AB128" i="4"/>
  <c r="AB112" i="4"/>
  <c r="Y112" i="4"/>
  <c r="AA112" i="4" s="1"/>
  <c r="AB104" i="4"/>
  <c r="Y104" i="4"/>
  <c r="AA104" i="4" s="1"/>
  <c r="Y96" i="4"/>
  <c r="AA96" i="4" s="1"/>
  <c r="AB96" i="4"/>
  <c r="Y88" i="4"/>
  <c r="AA88" i="4" s="1"/>
  <c r="AB88" i="4"/>
  <c r="Y72" i="4"/>
  <c r="AA72" i="4" s="1"/>
  <c r="AB72" i="4"/>
  <c r="Y64" i="4"/>
  <c r="AA64" i="4" s="1"/>
  <c r="AB64" i="4"/>
  <c r="AB48" i="4"/>
  <c r="Y48" i="4"/>
  <c r="AA48" i="4" s="1"/>
  <c r="Y32" i="4"/>
  <c r="AA32" i="4" s="1"/>
  <c r="AB32" i="4"/>
  <c r="Y16" i="4"/>
  <c r="AA16" i="4" s="1"/>
  <c r="AB16" i="4"/>
  <c r="AB8" i="4"/>
  <c r="Y8" i="4"/>
  <c r="AA8" i="4" s="1"/>
  <c r="Y296" i="4"/>
  <c r="AA296" i="4" s="1"/>
  <c r="Y176" i="4"/>
  <c r="AA176" i="4" s="1"/>
  <c r="AB407" i="4"/>
  <c r="Y407" i="4"/>
  <c r="AA407" i="4" s="1"/>
  <c r="AB391" i="4"/>
  <c r="Y391" i="4"/>
  <c r="AA391" i="4" s="1"/>
  <c r="Y383" i="4"/>
  <c r="AA383" i="4" s="1"/>
  <c r="AB383" i="4"/>
  <c r="AB375" i="4"/>
  <c r="Y375" i="4"/>
  <c r="AA375" i="4" s="1"/>
  <c r="AB343" i="4"/>
  <c r="Y343" i="4"/>
  <c r="AA343" i="4" s="1"/>
  <c r="AB327" i="4"/>
  <c r="Y327" i="4"/>
  <c r="AA327" i="4" s="1"/>
  <c r="Y311" i="4"/>
  <c r="AA311" i="4" s="1"/>
  <c r="AB311" i="4"/>
  <c r="Y295" i="4"/>
  <c r="AA295" i="4" s="1"/>
  <c r="AB295" i="4"/>
  <c r="Y287" i="4"/>
  <c r="AA287" i="4" s="1"/>
  <c r="AB287" i="4"/>
  <c r="Y271" i="4"/>
  <c r="AA271" i="4" s="1"/>
  <c r="AB271" i="4"/>
  <c r="Y263" i="4"/>
  <c r="AA263" i="4" s="1"/>
  <c r="AB263" i="4"/>
  <c r="Y247" i="4"/>
  <c r="AA247" i="4" s="1"/>
  <c r="AB247" i="4"/>
  <c r="Y239" i="4"/>
  <c r="AA239" i="4" s="1"/>
  <c r="AB239" i="4"/>
  <c r="Y223" i="4"/>
  <c r="AA223" i="4" s="1"/>
  <c r="AB223" i="4"/>
  <c r="Y207" i="4"/>
  <c r="AA207" i="4" s="1"/>
  <c r="AB207" i="4"/>
  <c r="Y191" i="4"/>
  <c r="AA191" i="4" s="1"/>
  <c r="AB191" i="4"/>
  <c r="Y183" i="4"/>
  <c r="AA183" i="4" s="1"/>
  <c r="AB183" i="4"/>
  <c r="AB167" i="4"/>
  <c r="Y167" i="4"/>
  <c r="AA167" i="4" s="1"/>
  <c r="AB151" i="4"/>
  <c r="Y151" i="4"/>
  <c r="AA151" i="4" s="1"/>
  <c r="AB143" i="4"/>
  <c r="Y143" i="4"/>
  <c r="AA143" i="4" s="1"/>
  <c r="Y127" i="4"/>
  <c r="AA127" i="4" s="1"/>
  <c r="AB127" i="4"/>
  <c r="Y95" i="4"/>
  <c r="AA95" i="4" s="1"/>
  <c r="AB95" i="4"/>
  <c r="Y63" i="4"/>
  <c r="AA63" i="4" s="1"/>
  <c r="AB63" i="4"/>
  <c r="AB47" i="4"/>
  <c r="Y47" i="4"/>
  <c r="AA47" i="4" s="1"/>
  <c r="Y23" i="4"/>
  <c r="AA23" i="4" s="1"/>
  <c r="AB23" i="4"/>
  <c r="Y399" i="4"/>
  <c r="AA399" i="4" s="1"/>
  <c r="Y367" i="4"/>
  <c r="AA367" i="4" s="1"/>
  <c r="Y175" i="4"/>
  <c r="AA175" i="4" s="1"/>
  <c r="Y40" i="4"/>
  <c r="AA40" i="4" s="1"/>
  <c r="Y494" i="4"/>
  <c r="AA494" i="4" s="1"/>
  <c r="AB494" i="4"/>
  <c r="Y478" i="4"/>
  <c r="AA478" i="4" s="1"/>
  <c r="AB478" i="4"/>
  <c r="Y470" i="4"/>
  <c r="AA470" i="4" s="1"/>
  <c r="AB470" i="4"/>
  <c r="Y462" i="4"/>
  <c r="AA462" i="4" s="1"/>
  <c r="AB462" i="4"/>
  <c r="Y446" i="4"/>
  <c r="AA446" i="4" s="1"/>
  <c r="AB446" i="4"/>
  <c r="Y438" i="4"/>
  <c r="AA438" i="4" s="1"/>
  <c r="AB438" i="4"/>
  <c r="Y430" i="4"/>
  <c r="AA430" i="4" s="1"/>
  <c r="AB430" i="4"/>
  <c r="Y414" i="4"/>
  <c r="AA414" i="4" s="1"/>
  <c r="AB414" i="4"/>
  <c r="AB382" i="4"/>
  <c r="Y382" i="4"/>
  <c r="AA382" i="4" s="1"/>
  <c r="Y374" i="4"/>
  <c r="AA374" i="4" s="1"/>
  <c r="AB374" i="4"/>
  <c r="Y366" i="4"/>
  <c r="AA366" i="4" s="1"/>
  <c r="AB366" i="4"/>
  <c r="Y334" i="4"/>
  <c r="AA334" i="4" s="1"/>
  <c r="AB334" i="4"/>
  <c r="AB318" i="4"/>
  <c r="Y318" i="4"/>
  <c r="AA318" i="4" s="1"/>
  <c r="Y310" i="4"/>
  <c r="AA310" i="4" s="1"/>
  <c r="AB310" i="4"/>
  <c r="Y302" i="4"/>
  <c r="AA302" i="4" s="1"/>
  <c r="AB302" i="4"/>
  <c r="Y286" i="4"/>
  <c r="AA286" i="4" s="1"/>
  <c r="AB286" i="4"/>
  <c r="Y278" i="4"/>
  <c r="AA278" i="4" s="1"/>
  <c r="AB278" i="4"/>
  <c r="Y270" i="4"/>
  <c r="AA270" i="4" s="1"/>
  <c r="AB270" i="4"/>
  <c r="Y246" i="4"/>
  <c r="AA246" i="4" s="1"/>
  <c r="AB246" i="4"/>
  <c r="Y214" i="4"/>
  <c r="AA214" i="4" s="1"/>
  <c r="AB214" i="4"/>
  <c r="Y206" i="4"/>
  <c r="AA206" i="4" s="1"/>
  <c r="AB206" i="4"/>
  <c r="Y182" i="4"/>
  <c r="AA182" i="4" s="1"/>
  <c r="AB182" i="4"/>
  <c r="Y174" i="4"/>
  <c r="AA174" i="4" s="1"/>
  <c r="AB174" i="4"/>
  <c r="Y158" i="4"/>
  <c r="AA158" i="4" s="1"/>
  <c r="AB158" i="4"/>
  <c r="Y142" i="4"/>
  <c r="AA142" i="4" s="1"/>
  <c r="AB142" i="4"/>
  <c r="Y126" i="4"/>
  <c r="AA126" i="4" s="1"/>
  <c r="AB126" i="4"/>
  <c r="Y110" i="4"/>
  <c r="AA110" i="4" s="1"/>
  <c r="AB110" i="4"/>
  <c r="AB94" i="4"/>
  <c r="Y94" i="4"/>
  <c r="AA94" i="4" s="1"/>
  <c r="Y86" i="4"/>
  <c r="AA86" i="4" s="1"/>
  <c r="AB86" i="4"/>
  <c r="Y78" i="4"/>
  <c r="AA78" i="4" s="1"/>
  <c r="AB78" i="4"/>
  <c r="Y54" i="4"/>
  <c r="AA54" i="4" s="1"/>
  <c r="AB54" i="4"/>
  <c r="Y46" i="4"/>
  <c r="AA46" i="4" s="1"/>
  <c r="AB46" i="4"/>
  <c r="Y30" i="4"/>
  <c r="AA30" i="4" s="1"/>
  <c r="AB30" i="4"/>
  <c r="Y22" i="4"/>
  <c r="AA22" i="4" s="1"/>
  <c r="AB22" i="4"/>
  <c r="Y14" i="4"/>
  <c r="AA14" i="4" s="1"/>
  <c r="AB14" i="4"/>
  <c r="Y432" i="4"/>
  <c r="AA432" i="4" s="1"/>
  <c r="Y415" i="4"/>
  <c r="AA415" i="4" s="1"/>
  <c r="Y398" i="4"/>
  <c r="AA398" i="4" s="1"/>
  <c r="Y362" i="4"/>
  <c r="AA362" i="4" s="1"/>
  <c r="Y330" i="4"/>
  <c r="AA330" i="4" s="1"/>
  <c r="Y312" i="4"/>
  <c r="AA312" i="4" s="1"/>
  <c r="Y254" i="4"/>
  <c r="AA254" i="4" s="1"/>
  <c r="Y66" i="4"/>
  <c r="AA66" i="4" s="1"/>
  <c r="Y39" i="4"/>
  <c r="AA39" i="4" s="1"/>
  <c r="Y7" i="4"/>
  <c r="AA7" i="4" s="1"/>
  <c r="AB359" i="4"/>
  <c r="Y359" i="4"/>
  <c r="AA359" i="4" s="1"/>
  <c r="Y319" i="4"/>
  <c r="AA319" i="4" s="1"/>
  <c r="AB319" i="4"/>
  <c r="Y303" i="4"/>
  <c r="AA303" i="4" s="1"/>
  <c r="AB303" i="4"/>
  <c r="Y279" i="4"/>
  <c r="AA279" i="4" s="1"/>
  <c r="AB279" i="4"/>
  <c r="Y255" i="4"/>
  <c r="AA255" i="4" s="1"/>
  <c r="AB255" i="4"/>
  <c r="Y231" i="4"/>
  <c r="AA231" i="4" s="1"/>
  <c r="AB231" i="4"/>
  <c r="Y215" i="4"/>
  <c r="AA215" i="4" s="1"/>
  <c r="AB215" i="4"/>
  <c r="Y199" i="4"/>
  <c r="AA199" i="4" s="1"/>
  <c r="AB199" i="4"/>
  <c r="Y159" i="4"/>
  <c r="AA159" i="4" s="1"/>
  <c r="AB159" i="4"/>
  <c r="Y119" i="4"/>
  <c r="AA119" i="4" s="1"/>
  <c r="AB119" i="4"/>
  <c r="Y87" i="4"/>
  <c r="AA87" i="4" s="1"/>
  <c r="AB87" i="4"/>
  <c r="Y71" i="4"/>
  <c r="AA71" i="4" s="1"/>
  <c r="AB71" i="4"/>
  <c r="Y55" i="4"/>
  <c r="AA55" i="4" s="1"/>
  <c r="AB55" i="4"/>
  <c r="AB31" i="4"/>
  <c r="Y31" i="4"/>
  <c r="AA31" i="4" s="1"/>
  <c r="Y256" i="4"/>
  <c r="AA256" i="4" s="1"/>
  <c r="Y200" i="4"/>
  <c r="AA200" i="4" s="1"/>
  <c r="Y144" i="4"/>
  <c r="AA144" i="4" s="1"/>
  <c r="Y464" i="4"/>
  <c r="AA464" i="4" s="1"/>
  <c r="Y447" i="4"/>
  <c r="AA447" i="4" s="1"/>
  <c r="Y431" i="4"/>
  <c r="AA431" i="4" s="1"/>
  <c r="Y344" i="4"/>
  <c r="AA344" i="4" s="1"/>
  <c r="Y272" i="4"/>
  <c r="AA272" i="4" s="1"/>
  <c r="Y192" i="4"/>
  <c r="AA192" i="4" s="1"/>
  <c r="Y120" i="4"/>
  <c r="AA120" i="4" s="1"/>
  <c r="Y496" i="4"/>
  <c r="AA496" i="4" s="1"/>
  <c r="Y479" i="4"/>
  <c r="AA479" i="4" s="1"/>
  <c r="Y463" i="4"/>
  <c r="AA463" i="4" s="1"/>
  <c r="Y378" i="4"/>
  <c r="AA378" i="4" s="1"/>
  <c r="Y360" i="4"/>
  <c r="AA360" i="4" s="1"/>
  <c r="Y342" i="4"/>
  <c r="AA342" i="4" s="1"/>
  <c r="Y250" i="4"/>
  <c r="AA250" i="4" s="1"/>
  <c r="Y190" i="4"/>
  <c r="AA190" i="4" s="1"/>
  <c r="Y162" i="4"/>
  <c r="AA162" i="4" s="1"/>
  <c r="Y135" i="4"/>
  <c r="AA135" i="4" s="1"/>
  <c r="Y118" i="4"/>
  <c r="AA118" i="4" s="1"/>
  <c r="AB490" i="4"/>
  <c r="Y490" i="4"/>
  <c r="AA490" i="4" s="1"/>
  <c r="AB482" i="4"/>
  <c r="Y482" i="4"/>
  <c r="AA482" i="4" s="1"/>
  <c r="AB458" i="4"/>
  <c r="Y458" i="4"/>
  <c r="AA458" i="4" s="1"/>
  <c r="AB450" i="4"/>
  <c r="Y450" i="4"/>
  <c r="AA450" i="4" s="1"/>
  <c r="AB426" i="4"/>
  <c r="Y426" i="4"/>
  <c r="AA426" i="4" s="1"/>
  <c r="AB418" i="4"/>
  <c r="Y418" i="4"/>
  <c r="AA418" i="4" s="1"/>
  <c r="Y410" i="4"/>
  <c r="AA410" i="4" s="1"/>
  <c r="AB410" i="4"/>
  <c r="Y354" i="4"/>
  <c r="AA354" i="4" s="1"/>
  <c r="AB354" i="4"/>
  <c r="Y346" i="4"/>
  <c r="AA346" i="4" s="1"/>
  <c r="AB346" i="4"/>
  <c r="AB322" i="4"/>
  <c r="Y322" i="4"/>
  <c r="AA322" i="4" s="1"/>
  <c r="Y298" i="4"/>
  <c r="AA298" i="4" s="1"/>
  <c r="AB298" i="4"/>
  <c r="Y290" i="4"/>
  <c r="AA290" i="4" s="1"/>
  <c r="AB290" i="4"/>
  <c r="Y282" i="4"/>
  <c r="AA282" i="4" s="1"/>
  <c r="AB282" i="4"/>
  <c r="AB266" i="4"/>
  <c r="Y266" i="4"/>
  <c r="AA266" i="4" s="1"/>
  <c r="Y258" i="4"/>
  <c r="AA258" i="4" s="1"/>
  <c r="AB258" i="4"/>
  <c r="Y234" i="4"/>
  <c r="AA234" i="4" s="1"/>
  <c r="AB234" i="4"/>
  <c r="Y226" i="4"/>
  <c r="AA226" i="4" s="1"/>
  <c r="AB226" i="4"/>
  <c r="Y194" i="4"/>
  <c r="AA194" i="4" s="1"/>
  <c r="AB194" i="4"/>
  <c r="Y170" i="4"/>
  <c r="AA170" i="4" s="1"/>
  <c r="AB170" i="4"/>
  <c r="Y154" i="4"/>
  <c r="AA154" i="4" s="1"/>
  <c r="AB154" i="4"/>
  <c r="Y138" i="4"/>
  <c r="AA138" i="4" s="1"/>
  <c r="AB138" i="4"/>
  <c r="Y130" i="4"/>
  <c r="AA130" i="4" s="1"/>
  <c r="AB130" i="4"/>
  <c r="Y122" i="4"/>
  <c r="AA122" i="4" s="1"/>
  <c r="AB122" i="4"/>
  <c r="Y106" i="4"/>
  <c r="AA106" i="4" s="1"/>
  <c r="AB106" i="4"/>
  <c r="Y90" i="4"/>
  <c r="AA90" i="4" s="1"/>
  <c r="AB90" i="4"/>
  <c r="Y74" i="4"/>
  <c r="AA74" i="4" s="1"/>
  <c r="AB74" i="4"/>
  <c r="Y58" i="4"/>
  <c r="AA58" i="4" s="1"/>
  <c r="AB58" i="4"/>
  <c r="Y42" i="4"/>
  <c r="AA42" i="4" s="1"/>
  <c r="AB42" i="4"/>
  <c r="Y34" i="4"/>
  <c r="AA34" i="4" s="1"/>
  <c r="AB34" i="4"/>
  <c r="Y474" i="4"/>
  <c r="AA474" i="4" s="1"/>
  <c r="Y423" i="4"/>
  <c r="AA423" i="4" s="1"/>
  <c r="Y406" i="4"/>
  <c r="AA406" i="4" s="1"/>
  <c r="Y224" i="4"/>
  <c r="AA224" i="4" s="1"/>
  <c r="Y186" i="4"/>
  <c r="AA186" i="4" s="1"/>
  <c r="Y80" i="4"/>
  <c r="AA80" i="4" s="1"/>
  <c r="Y56" i="4"/>
  <c r="AA56" i="4" s="1"/>
  <c r="Y24" i="4"/>
  <c r="AA24" i="4" s="1"/>
  <c r="K42" i="4" l="1"/>
  <c r="K79" i="4"/>
  <c r="K241" i="4"/>
  <c r="J244" i="4"/>
  <c r="J429" i="4"/>
  <c r="J408" i="4"/>
  <c r="K354" i="4"/>
  <c r="K259" i="4"/>
  <c r="K348" i="4"/>
  <c r="K45" i="4"/>
  <c r="K408" i="4"/>
  <c r="K446" i="4"/>
  <c r="K424" i="4"/>
  <c r="J19" i="4"/>
  <c r="J185" i="4"/>
  <c r="K44" i="4"/>
  <c r="K236" i="4"/>
  <c r="K126" i="4"/>
  <c r="K265" i="4"/>
  <c r="J278" i="4"/>
  <c r="K218" i="4"/>
  <c r="K244" i="4"/>
  <c r="J70" i="4"/>
  <c r="K358" i="4"/>
  <c r="K312" i="4"/>
  <c r="J348" i="4"/>
  <c r="J69" i="4"/>
  <c r="K371" i="4"/>
  <c r="K468" i="4"/>
  <c r="J358" i="4"/>
  <c r="J88" i="4"/>
  <c r="K476" i="4"/>
  <c r="J15" i="4"/>
  <c r="K155" i="4"/>
  <c r="K366" i="4"/>
  <c r="J276" i="4"/>
  <c r="K60" i="4"/>
  <c r="K356" i="4"/>
  <c r="K235" i="4"/>
  <c r="J172" i="4"/>
  <c r="J229" i="4"/>
  <c r="J406" i="4"/>
  <c r="J383" i="4"/>
  <c r="J440" i="4"/>
  <c r="K276" i="4"/>
  <c r="K94" i="4"/>
  <c r="J242" i="4"/>
  <c r="J442" i="4"/>
  <c r="J226" i="4"/>
  <c r="K172" i="4"/>
  <c r="K454" i="4"/>
  <c r="J379" i="4"/>
  <c r="J60" i="4"/>
  <c r="J356" i="4"/>
  <c r="K11" i="4"/>
  <c r="J46" i="4"/>
  <c r="K98" i="4"/>
  <c r="K5" i="4"/>
  <c r="J136" i="4"/>
  <c r="J350" i="4"/>
  <c r="K46" i="4"/>
  <c r="K336" i="4"/>
  <c r="J421" i="4"/>
  <c r="K418" i="4"/>
  <c r="K182" i="4"/>
  <c r="K487" i="4"/>
  <c r="J36" i="4"/>
  <c r="J450" i="4"/>
  <c r="J5" i="4"/>
  <c r="K78" i="4"/>
  <c r="J203" i="4"/>
  <c r="J21" i="4"/>
  <c r="J479" i="4"/>
  <c r="J222" i="4"/>
  <c r="K357" i="4"/>
  <c r="J452" i="4"/>
  <c r="J87" i="4"/>
  <c r="K370" i="4"/>
  <c r="K171" i="4"/>
  <c r="K180" i="4"/>
  <c r="K452" i="4"/>
  <c r="K101" i="4"/>
  <c r="K390" i="4"/>
  <c r="K55" i="4"/>
  <c r="J347" i="4"/>
  <c r="J180" i="4"/>
  <c r="J101" i="4"/>
  <c r="J313" i="4"/>
  <c r="J370" i="4"/>
  <c r="J248" i="4"/>
  <c r="K215" i="4"/>
  <c r="J327" i="4"/>
  <c r="K347" i="4"/>
  <c r="K117" i="4"/>
  <c r="K318" i="4"/>
  <c r="K431" i="4"/>
  <c r="K81" i="4"/>
  <c r="J149" i="4"/>
  <c r="J277" i="4"/>
  <c r="J318" i="4"/>
  <c r="K149" i="4"/>
  <c r="K493" i="4"/>
  <c r="K87" i="4"/>
  <c r="K248" i="4"/>
  <c r="J267" i="4"/>
  <c r="J493" i="4"/>
  <c r="K267" i="4"/>
  <c r="K327" i="4"/>
  <c r="K313" i="4"/>
  <c r="J29" i="4"/>
  <c r="J197" i="4"/>
  <c r="J357" i="4"/>
  <c r="J55" i="4"/>
  <c r="J89" i="4"/>
  <c r="J273" i="4"/>
  <c r="K314" i="4"/>
  <c r="K450" i="4"/>
  <c r="K21" i="4"/>
  <c r="K421" i="4"/>
  <c r="K222" i="4"/>
  <c r="K351" i="4"/>
  <c r="K224" i="4"/>
  <c r="K344" i="4"/>
  <c r="K488" i="4"/>
  <c r="K337" i="4"/>
  <c r="K49" i="4"/>
  <c r="J78" i="4"/>
  <c r="J167" i="4"/>
  <c r="J304" i="4"/>
  <c r="K330" i="4"/>
  <c r="K231" i="4"/>
  <c r="K64" i="4"/>
  <c r="J31" i="4"/>
  <c r="J303" i="4"/>
  <c r="J337" i="4"/>
  <c r="J330" i="4"/>
  <c r="J336" i="4"/>
  <c r="J98" i="4"/>
  <c r="J392" i="4"/>
  <c r="K18" i="4"/>
  <c r="K210" i="4"/>
  <c r="K195" i="4"/>
  <c r="K451" i="4"/>
  <c r="K100" i="4"/>
  <c r="K228" i="4"/>
  <c r="K340" i="4"/>
  <c r="K460" i="4"/>
  <c r="K257" i="4"/>
  <c r="J195" i="4"/>
  <c r="J460" i="4"/>
  <c r="J61" i="4"/>
  <c r="J317" i="4"/>
  <c r="J270" i="4"/>
  <c r="J463" i="4"/>
  <c r="J64" i="4"/>
  <c r="K34" i="4"/>
  <c r="K227" i="4"/>
  <c r="K61" i="4"/>
  <c r="K270" i="4"/>
  <c r="K31" i="4"/>
  <c r="K135" i="4"/>
  <c r="K392" i="4"/>
  <c r="K153" i="4"/>
  <c r="J451" i="4"/>
  <c r="J100" i="4"/>
  <c r="J228" i="4"/>
  <c r="J340" i="4"/>
  <c r="J150" i="4"/>
  <c r="J335" i="4"/>
  <c r="J121" i="4"/>
  <c r="K234" i="4"/>
  <c r="K131" i="4"/>
  <c r="K36" i="4"/>
  <c r="K140" i="4"/>
  <c r="K85" i="4"/>
  <c r="K317" i="4"/>
  <c r="K30" i="4"/>
  <c r="K150" i="4"/>
  <c r="K167" i="4"/>
  <c r="K136" i="4"/>
  <c r="K304" i="4"/>
  <c r="K409" i="4"/>
  <c r="K121" i="4"/>
  <c r="J85" i="4"/>
  <c r="J30" i="4"/>
  <c r="J231" i="4"/>
  <c r="J351" i="4"/>
  <c r="J487" i="4"/>
  <c r="J153" i="4"/>
  <c r="J257" i="4"/>
  <c r="J409" i="4"/>
  <c r="J18" i="4"/>
  <c r="J224" i="4"/>
  <c r="J322" i="4"/>
  <c r="J344" i="4"/>
  <c r="K3" i="4"/>
  <c r="K363" i="4"/>
  <c r="K237" i="4"/>
  <c r="K303" i="4"/>
  <c r="K463" i="4"/>
  <c r="J3" i="4"/>
  <c r="J131" i="4"/>
  <c r="J227" i="4"/>
  <c r="J363" i="4"/>
  <c r="J140" i="4"/>
  <c r="J237" i="4"/>
  <c r="J182" i="4"/>
  <c r="J438" i="4"/>
  <c r="J210" i="4"/>
  <c r="J314" i="4"/>
  <c r="J418" i="4"/>
  <c r="J164" i="4"/>
  <c r="J343" i="4"/>
  <c r="J65" i="4"/>
  <c r="J417" i="4"/>
  <c r="J354" i="4"/>
  <c r="K250" i="4"/>
  <c r="K164" i="4"/>
  <c r="K69" i="4"/>
  <c r="K70" i="4"/>
  <c r="J35" i="4"/>
  <c r="J147" i="4"/>
  <c r="J459" i="4"/>
  <c r="J500" i="4"/>
  <c r="J77" i="4"/>
  <c r="J143" i="4"/>
  <c r="J255" i="4"/>
  <c r="J367" i="4"/>
  <c r="J424" i="4"/>
  <c r="K114" i="4"/>
  <c r="K77" i="4"/>
  <c r="K429" i="4"/>
  <c r="K278" i="4"/>
  <c r="K88" i="4"/>
  <c r="K232" i="4"/>
  <c r="J259" i="4"/>
  <c r="J371" i="4"/>
  <c r="J84" i="4"/>
  <c r="J213" i="4"/>
  <c r="J86" i="4"/>
  <c r="J190" i="4"/>
  <c r="J302" i="4"/>
  <c r="J47" i="4"/>
  <c r="J495" i="4"/>
  <c r="J241" i="4"/>
  <c r="J489" i="4"/>
  <c r="K130" i="4"/>
  <c r="K203" i="4"/>
  <c r="K500" i="4"/>
  <c r="K86" i="4"/>
  <c r="K343" i="4"/>
  <c r="K479" i="4"/>
  <c r="K353" i="4"/>
  <c r="K185" i="4"/>
  <c r="J325" i="4"/>
  <c r="J118" i="4"/>
  <c r="J353" i="4"/>
  <c r="J42" i="4"/>
  <c r="J144" i="4"/>
  <c r="J114" i="4"/>
  <c r="J218" i="4"/>
  <c r="J130" i="4"/>
  <c r="J312" i="4"/>
  <c r="J232" i="4"/>
  <c r="K459" i="4"/>
  <c r="K84" i="4"/>
  <c r="K213" i="4"/>
  <c r="K190" i="4"/>
  <c r="K302" i="4"/>
  <c r="K2" i="4"/>
  <c r="K417" i="4"/>
  <c r="K489" i="4"/>
  <c r="J126" i="4"/>
  <c r="J446" i="4"/>
  <c r="J250" i="4"/>
  <c r="K426" i="4"/>
  <c r="K19" i="4"/>
  <c r="K147" i="4"/>
  <c r="K325" i="4"/>
  <c r="K118" i="4"/>
  <c r="K47" i="4"/>
  <c r="K143" i="4"/>
  <c r="K255" i="4"/>
  <c r="K367" i="4"/>
  <c r="K495" i="4"/>
  <c r="K144" i="4"/>
  <c r="K65" i="4"/>
  <c r="J2" i="4"/>
  <c r="J44" i="4"/>
  <c r="J236" i="4"/>
  <c r="J468" i="4"/>
  <c r="J45" i="4"/>
  <c r="J245" i="4"/>
  <c r="J79" i="4"/>
  <c r="J265" i="4"/>
  <c r="J437" i="4"/>
  <c r="J233" i="4"/>
  <c r="K436" i="4"/>
  <c r="K258" i="4"/>
  <c r="K442" i="4"/>
  <c r="K379" i="4"/>
  <c r="K12" i="4"/>
  <c r="K229" i="4"/>
  <c r="K445" i="4"/>
  <c r="K383" i="4"/>
  <c r="K112" i="4"/>
  <c r="K97" i="4"/>
  <c r="J67" i="4"/>
  <c r="J355" i="4"/>
  <c r="J93" i="4"/>
  <c r="J94" i="4"/>
  <c r="J366" i="4"/>
  <c r="J63" i="4"/>
  <c r="J50" i="4"/>
  <c r="K50" i="4"/>
  <c r="K219" i="4"/>
  <c r="K108" i="4"/>
  <c r="K157" i="4"/>
  <c r="K461" i="4"/>
  <c r="K254" i="4"/>
  <c r="K16" i="4"/>
  <c r="K240" i="4"/>
  <c r="K416" i="4"/>
  <c r="J198" i="4"/>
  <c r="J286" i="4"/>
  <c r="J175" i="4"/>
  <c r="J263" i="4"/>
  <c r="J359" i="4"/>
  <c r="J441" i="4"/>
  <c r="J240" i="4"/>
  <c r="K274" i="4"/>
  <c r="K43" i="4"/>
  <c r="K165" i="4"/>
  <c r="K333" i="4"/>
  <c r="K193" i="4"/>
  <c r="K361" i="4"/>
  <c r="J475" i="4"/>
  <c r="J252" i="4"/>
  <c r="J7" i="4"/>
  <c r="J122" i="4"/>
  <c r="J320" i="4"/>
  <c r="K226" i="4"/>
  <c r="K13" i="4"/>
  <c r="K93" i="4"/>
  <c r="K198" i="4"/>
  <c r="K286" i="4"/>
  <c r="K63" i="4"/>
  <c r="K159" i="4"/>
  <c r="K160" i="4"/>
  <c r="K440" i="4"/>
  <c r="J12" i="4"/>
  <c r="J157" i="4"/>
  <c r="J445" i="4"/>
  <c r="J9" i="4"/>
  <c r="J193" i="4"/>
  <c r="J361" i="4"/>
  <c r="J274" i="4"/>
  <c r="J416" i="4"/>
  <c r="J258" i="4"/>
  <c r="J376" i="4"/>
  <c r="I112" i="4"/>
  <c r="K67" i="4"/>
  <c r="K355" i="4"/>
  <c r="K252" i="4"/>
  <c r="K376" i="4"/>
  <c r="K281" i="4"/>
  <c r="J43" i="4"/>
  <c r="J165" i="4"/>
  <c r="J333" i="4"/>
  <c r="J461" i="4"/>
  <c r="J97" i="4"/>
  <c r="J16" i="4"/>
  <c r="J338" i="4"/>
  <c r="J480" i="4"/>
  <c r="K122" i="4"/>
  <c r="K242" i="4"/>
  <c r="K475" i="4"/>
  <c r="K260" i="4"/>
  <c r="K7" i="4"/>
  <c r="K175" i="4"/>
  <c r="K263" i="4"/>
  <c r="K359" i="4"/>
  <c r="K384" i="4"/>
  <c r="K441" i="4"/>
  <c r="J108" i="4"/>
  <c r="J253" i="4"/>
  <c r="J254" i="4"/>
  <c r="J281" i="4"/>
  <c r="J160" i="4"/>
  <c r="K338" i="4"/>
  <c r="K434" i="4"/>
  <c r="K275" i="4"/>
  <c r="K406" i="4"/>
  <c r="K15" i="4"/>
  <c r="K320" i="4"/>
  <c r="K33" i="4"/>
  <c r="K9" i="4"/>
  <c r="J155" i="4"/>
  <c r="J235" i="4"/>
  <c r="J13" i="4"/>
  <c r="J454" i="4"/>
  <c r="J159" i="4"/>
  <c r="J33" i="4"/>
  <c r="J145" i="4"/>
  <c r="J434" i="4"/>
  <c r="K146" i="4"/>
  <c r="K483" i="4"/>
  <c r="K497" i="4"/>
  <c r="K233" i="4"/>
  <c r="J28" i="4"/>
  <c r="K329" i="4"/>
  <c r="J396" i="4"/>
  <c r="J319" i="4"/>
  <c r="K28" i="4"/>
  <c r="J174" i="4"/>
  <c r="K437" i="4"/>
  <c r="J415" i="4"/>
  <c r="K396" i="4"/>
  <c r="K23" i="4"/>
  <c r="K473" i="4"/>
  <c r="J138" i="4"/>
  <c r="J306" i="4"/>
  <c r="K138" i="4"/>
  <c r="K498" i="4"/>
  <c r="K307" i="4"/>
  <c r="K324" i="4"/>
  <c r="K110" i="4"/>
  <c r="K174" i="4"/>
  <c r="K415" i="4"/>
  <c r="K448" i="4"/>
  <c r="J435" i="4"/>
  <c r="J37" i="4"/>
  <c r="J22" i="4"/>
  <c r="J23" i="4"/>
  <c r="J410" i="4"/>
  <c r="J104" i="4"/>
  <c r="J73" i="4"/>
  <c r="J465" i="4"/>
  <c r="K306" i="4"/>
  <c r="K83" i="4"/>
  <c r="K124" i="4"/>
  <c r="K444" i="4"/>
  <c r="K221" i="4"/>
  <c r="K54" i="4"/>
  <c r="K262" i="4"/>
  <c r="K334" i="4"/>
  <c r="K32" i="4"/>
  <c r="K104" i="4"/>
  <c r="K472" i="4"/>
  <c r="K321" i="4"/>
  <c r="K401" i="4"/>
  <c r="J219" i="4"/>
  <c r="J324" i="4"/>
  <c r="J412" i="4"/>
  <c r="J117" i="4"/>
  <c r="J349" i="4"/>
  <c r="J102" i="4"/>
  <c r="J111" i="4"/>
  <c r="J207" i="4"/>
  <c r="J393" i="4"/>
  <c r="J473" i="4"/>
  <c r="J298" i="4"/>
  <c r="J48" i="4"/>
  <c r="J146" i="4"/>
  <c r="K90" i="4"/>
  <c r="K339" i="4"/>
  <c r="K499" i="4"/>
  <c r="K132" i="4"/>
  <c r="K212" i="4"/>
  <c r="K301" i="4"/>
  <c r="K397" i="4"/>
  <c r="K62" i="4"/>
  <c r="K342" i="4"/>
  <c r="K414" i="4"/>
  <c r="K478" i="4"/>
  <c r="K223" i="4"/>
  <c r="K295" i="4"/>
  <c r="K455" i="4"/>
  <c r="K192" i="4"/>
  <c r="K480" i="4"/>
  <c r="K465" i="4"/>
  <c r="K113" i="4"/>
  <c r="K137" i="4"/>
  <c r="J307" i="4"/>
  <c r="J260" i="4"/>
  <c r="J436" i="4"/>
  <c r="J221" i="4"/>
  <c r="J262" i="4"/>
  <c r="J326" i="4"/>
  <c r="J390" i="4"/>
  <c r="J177" i="4"/>
  <c r="J321" i="4"/>
  <c r="J401" i="4"/>
  <c r="J481" i="4"/>
  <c r="J368" i="4"/>
  <c r="J178" i="4"/>
  <c r="J296" i="4"/>
  <c r="K178" i="4"/>
  <c r="K322" i="4"/>
  <c r="K386" i="4"/>
  <c r="K107" i="4"/>
  <c r="K427" i="4"/>
  <c r="K4" i="4"/>
  <c r="K220" i="4"/>
  <c r="K173" i="4"/>
  <c r="K309" i="4"/>
  <c r="K413" i="4"/>
  <c r="K422" i="4"/>
  <c r="K486" i="4"/>
  <c r="K48" i="4"/>
  <c r="K128" i="4"/>
  <c r="K200" i="4"/>
  <c r="K177" i="4"/>
  <c r="K393" i="4"/>
  <c r="J323" i="4"/>
  <c r="J483" i="4"/>
  <c r="J124" i="4"/>
  <c r="J444" i="4"/>
  <c r="J301" i="4"/>
  <c r="J54" i="4"/>
  <c r="J334" i="4"/>
  <c r="J223" i="4"/>
  <c r="J295" i="4"/>
  <c r="J455" i="4"/>
  <c r="J329" i="4"/>
  <c r="J400" i="4"/>
  <c r="J498" i="4"/>
  <c r="J96" i="4"/>
  <c r="J384" i="4"/>
  <c r="I113" i="4"/>
  <c r="K186" i="4"/>
  <c r="K394" i="4"/>
  <c r="K435" i="4"/>
  <c r="K29" i="4"/>
  <c r="K14" i="4"/>
  <c r="K214" i="4"/>
  <c r="K311" i="4"/>
  <c r="K471" i="4"/>
  <c r="K208" i="4"/>
  <c r="K288" i="4"/>
  <c r="K225" i="4"/>
  <c r="J83" i="4"/>
  <c r="J132" i="4"/>
  <c r="J212" i="4"/>
  <c r="J309" i="4"/>
  <c r="J397" i="4"/>
  <c r="J62" i="4"/>
  <c r="J342" i="4"/>
  <c r="J414" i="4"/>
  <c r="J486" i="4"/>
  <c r="J497" i="4"/>
  <c r="J394" i="4"/>
  <c r="J128" i="4"/>
  <c r="J194" i="4"/>
  <c r="J216" i="4"/>
  <c r="K194" i="4"/>
  <c r="K410" i="4"/>
  <c r="K211" i="4"/>
  <c r="K20" i="4"/>
  <c r="K308" i="4"/>
  <c r="K37" i="4"/>
  <c r="K22" i="4"/>
  <c r="K158" i="4"/>
  <c r="K247" i="4"/>
  <c r="K319" i="4"/>
  <c r="K216" i="4"/>
  <c r="K296" i="4"/>
  <c r="K360" i="4"/>
  <c r="K145" i="4"/>
  <c r="J339" i="4"/>
  <c r="J499" i="4"/>
  <c r="J220" i="4"/>
  <c r="J413" i="4"/>
  <c r="J214" i="4"/>
  <c r="J422" i="4"/>
  <c r="J311" i="4"/>
  <c r="J471" i="4"/>
  <c r="J137" i="4"/>
  <c r="J208" i="4"/>
  <c r="J90" i="4"/>
  <c r="J448" i="4"/>
  <c r="J184" i="4"/>
  <c r="K99" i="4"/>
  <c r="K315" i="4"/>
  <c r="K204" i="4"/>
  <c r="K332" i="4"/>
  <c r="K404" i="4"/>
  <c r="K381" i="4"/>
  <c r="K127" i="4"/>
  <c r="K199" i="4"/>
  <c r="J4" i="4"/>
  <c r="J293" i="4"/>
  <c r="J398" i="4"/>
  <c r="J439" i="4"/>
  <c r="J170" i="4"/>
  <c r="J464" i="4"/>
  <c r="J386" i="4"/>
  <c r="J280" i="4"/>
  <c r="K402" i="4"/>
  <c r="K187" i="4"/>
  <c r="K251" i="4"/>
  <c r="K148" i="4"/>
  <c r="K389" i="4"/>
  <c r="K238" i="4"/>
  <c r="K494" i="4"/>
  <c r="K184" i="4"/>
  <c r="K73" i="4"/>
  <c r="J99" i="4"/>
  <c r="J315" i="4"/>
  <c r="J204" i="4"/>
  <c r="J332" i="4"/>
  <c r="J404" i="4"/>
  <c r="J173" i="4"/>
  <c r="J103" i="4"/>
  <c r="J375" i="4"/>
  <c r="J447" i="4"/>
  <c r="J217" i="4"/>
  <c r="J345" i="4"/>
  <c r="K74" i="4"/>
  <c r="K467" i="4"/>
  <c r="K92" i="4"/>
  <c r="K420" i="4"/>
  <c r="K256" i="4"/>
  <c r="K129" i="4"/>
  <c r="J187" i="4"/>
  <c r="J251" i="4"/>
  <c r="J148" i="4"/>
  <c r="J381" i="4"/>
  <c r="J158" i="4"/>
  <c r="J478" i="4"/>
  <c r="K290" i="4"/>
  <c r="K133" i="4"/>
  <c r="K405" i="4"/>
  <c r="K287" i="4"/>
  <c r="K464" i="4"/>
  <c r="K217" i="4"/>
  <c r="K105" i="4"/>
  <c r="J467" i="4"/>
  <c r="J92" i="4"/>
  <c r="J420" i="4"/>
  <c r="J389" i="4"/>
  <c r="J127" i="4"/>
  <c r="J199" i="4"/>
  <c r="J105" i="4"/>
  <c r="J433" i="4"/>
  <c r="J8" i="4"/>
  <c r="J200" i="4"/>
  <c r="K411" i="4"/>
  <c r="K300" i="4"/>
  <c r="K485" i="4"/>
  <c r="K326" i="4"/>
  <c r="K305" i="4"/>
  <c r="J125" i="4"/>
  <c r="J110" i="4"/>
  <c r="J238" i="4"/>
  <c r="J494" i="4"/>
  <c r="J305" i="4"/>
  <c r="J80" i="4"/>
  <c r="J360" i="4"/>
  <c r="I129" i="4"/>
  <c r="K106" i="4"/>
  <c r="K170" i="4"/>
  <c r="K419" i="4"/>
  <c r="K349" i="4"/>
  <c r="K398" i="4"/>
  <c r="K439" i="4"/>
  <c r="K8" i="4"/>
  <c r="K80" i="4"/>
  <c r="K280" i="4"/>
  <c r="K345" i="4"/>
  <c r="J411" i="4"/>
  <c r="J300" i="4"/>
  <c r="J133" i="4"/>
  <c r="J405" i="4"/>
  <c r="J74" i="4"/>
  <c r="J402" i="4"/>
  <c r="J256" i="4"/>
  <c r="J290" i="4"/>
  <c r="K293" i="4"/>
  <c r="K103" i="4"/>
  <c r="K375" i="4"/>
  <c r="K447" i="4"/>
  <c r="K385" i="4"/>
  <c r="K433" i="4"/>
  <c r="J419" i="4"/>
  <c r="J485" i="4"/>
  <c r="J287" i="4"/>
  <c r="J385" i="4"/>
  <c r="J106" i="4"/>
  <c r="K365" i="4"/>
  <c r="K151" i="4"/>
  <c r="K407" i="4"/>
  <c r="I115" i="4"/>
  <c r="K6" i="4"/>
  <c r="K425" i="4"/>
  <c r="J425" i="4"/>
  <c r="J202" i="4"/>
  <c r="J32" i="4"/>
  <c r="K202" i="4"/>
  <c r="K27" i="4"/>
  <c r="K428" i="4"/>
  <c r="J365" i="4"/>
  <c r="J151" i="4"/>
  <c r="J407" i="4"/>
  <c r="J26" i="4"/>
  <c r="J24" i="4"/>
  <c r="K10" i="4"/>
  <c r="K299" i="4"/>
  <c r="K453" i="4"/>
  <c r="J27" i="4"/>
  <c r="J428" i="4"/>
  <c r="J6" i="4"/>
  <c r="J10" i="4"/>
  <c r="K380" i="4"/>
  <c r="K141" i="4"/>
  <c r="K400" i="4"/>
  <c r="J299" i="4"/>
  <c r="L180" i="4"/>
  <c r="K26" i="4"/>
  <c r="K115" i="4"/>
  <c r="K443" i="4"/>
  <c r="K102" i="4"/>
  <c r="J380" i="4"/>
  <c r="J453" i="4"/>
  <c r="L60" i="4"/>
  <c r="K24" i="4"/>
  <c r="J443" i="4"/>
  <c r="J141" i="4"/>
  <c r="J120" i="4"/>
  <c r="I125" i="4"/>
  <c r="I120" i="4"/>
  <c r="J82" i="4"/>
  <c r="K82" i="4"/>
  <c r="J482" i="4"/>
  <c r="K482" i="4"/>
  <c r="J41" i="4"/>
  <c r="K249" i="4"/>
  <c r="J123" i="4"/>
  <c r="J119" i="4"/>
  <c r="K123" i="4"/>
  <c r="K119" i="4"/>
  <c r="L100" i="4"/>
  <c r="L108" i="4"/>
  <c r="L56" i="4"/>
  <c r="L116" i="4"/>
  <c r="L124" i="4"/>
  <c r="L40" i="4"/>
  <c r="L42" i="4"/>
  <c r="L34" i="4"/>
  <c r="L32" i="4"/>
  <c r="L76" i="4"/>
  <c r="L84" i="4"/>
  <c r="L22" i="4"/>
  <c r="L38" i="4"/>
  <c r="L26" i="4"/>
  <c r="L92" i="4"/>
  <c r="L48" i="4"/>
  <c r="L10" i="4"/>
  <c r="L8" i="4"/>
  <c r="L30" i="4"/>
  <c r="L46" i="4"/>
  <c r="L499" i="4"/>
  <c r="L18" i="4"/>
  <c r="L24" i="4"/>
  <c r="L16" i="4"/>
  <c r="L6" i="4"/>
  <c r="L14" i="4"/>
  <c r="L36" i="4"/>
  <c r="L4" i="4"/>
  <c r="L12" i="4"/>
  <c r="L20" i="4"/>
  <c r="L28" i="4"/>
  <c r="L44" i="4"/>
  <c r="L39" i="4"/>
  <c r="L5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175F37-2B0E-4A35-BA16-6277048B644B}" keepAlive="1" name="Query - Customers" description="Connection to the 'Customers' query in the workbook." type="5" refreshedVersion="7" background="1" saveData="1">
    <dbPr connection="Provider=Microsoft.Mashup.OleDb.1;Data Source=$Workbook$;Location=Customers;Extended Properties=&quot;&quot;" command="SELECT * FROM [Customers]"/>
  </connection>
  <connection id="2" xr16:uid="{24324CCA-98D0-4846-9688-049A6AEACC5E}" keepAlive="1" name="Query - Products" description="Connection to the 'Products' query in the workbook." type="5" refreshedVersion="7" background="1" saveData="1">
    <dbPr connection="Provider=Microsoft.Mashup.OleDb.1;Data Source=$Workbook$;Location=Products;Extended Properties=&quot;&quot;" command="SELECT * FROM [Products]"/>
  </connection>
  <connection id="3" xr16:uid="{32A2016D-1B0F-4320-8DA8-DB6DDB6A621F}" keepAlive="1" name="Query - Sales" description="Connection to the 'Sales' query in the workbook." type="5" refreshedVersion="7" background="1" saveData="1">
    <dbPr connection="Provider=Microsoft.Mashup.OleDb.1;Data Source=$Workbook$;Location=Sales;Extended Properties=&quot;&quot;" command="SELECT * FROM [Sales]"/>
  </connection>
  <connection id="4" xr16:uid="{2F87984E-9868-4F3E-BCC2-847C14558422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5" xr16:uid="{66C2E42F-A15A-421D-8F14-052ADC9A6EBB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6" xr16:uid="{B16334CE-B37A-4337-87E8-6E343384BC12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0DE95312-B6F4-436E-810C-A7FD423B5E09}" name="WorksheetConnection_combined_tbl!$I$1:$AB$50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ombined_tblI1AB5011"/>
        </x15:connection>
      </ext>
    </extLst>
  </connection>
  <connection id="8" xr16:uid="{E1E89F5E-53C9-4BDD-A111-23F19FE3F804}" name="WorksheetConnection_Retail Sales Performance &amp; Customer Insights Systems.xlsx!Sales" type="102" refreshedVersion="7" minRefreshableVersion="5">
    <extLst>
      <ext xmlns:x15="http://schemas.microsoft.com/office/spreadsheetml/2010/11/main" uri="{DE250136-89BD-433C-8126-D09CA5730AF9}">
        <x15:connection id="Sales">
          <x15:rangePr sourceName="_xlcn.WorksheetConnection_RetailSalesPerformanceCustomerInsightsSystems.xlsxSales1"/>
        </x15:connection>
      </ext>
    </extLst>
  </connection>
  <connection id="9" xr16:uid="{BD9FDE82-1830-4B2E-8447-017173BF5D88}" name="WorksheetConnection_Retail Sales Performance &amp; Customer Insights Systems.xlsx!Table7" type="102" refreshedVersion="7" minRefreshableVersion="5">
    <extLst>
      <ext xmlns:x15="http://schemas.microsoft.com/office/spreadsheetml/2010/11/main" uri="{DE250136-89BD-433C-8126-D09CA5730AF9}">
        <x15:connection id="Table7">
          <x15:rangePr sourceName="_xlcn.WorksheetConnection_RetailSalesPerformanceCustomerInsightsSystems.xlsxTable7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<sst xmlns="http://schemas.openxmlformats.org/spreadsheetml/2006/main" count="3287" uniqueCount="1414">
  <si>
    <t>sale_id</t>
  </si>
  <si>
    <t>date</t>
  </si>
  <si>
    <t>branch_id</t>
  </si>
  <si>
    <t>customer_id</t>
  </si>
  <si>
    <t>product_id</t>
  </si>
  <si>
    <t>quantity</t>
  </si>
  <si>
    <t>price</t>
  </si>
  <si>
    <t>discount</t>
  </si>
  <si>
    <t>total_amount</t>
  </si>
  <si>
    <t>2023-02-12</t>
  </si>
  <si>
    <t>2023-03-24</t>
  </si>
  <si>
    <t>2025-08-21</t>
  </si>
  <si>
    <t>2024-07-23</t>
  </si>
  <si>
    <t>2025-06-11</t>
  </si>
  <si>
    <t>2023-07-06</t>
  </si>
  <si>
    <t>2024-12-13</t>
  </si>
  <si>
    <t>2024-11-13</t>
  </si>
  <si>
    <t>2023-08-03</t>
  </si>
  <si>
    <t>2024-11-06</t>
  </si>
  <si>
    <t>2025-10-11</t>
  </si>
  <si>
    <t>2025-03-31</t>
  </si>
  <si>
    <t>2025-07-20</t>
  </si>
  <si>
    <t>2024-10-06</t>
  </si>
  <si>
    <t>2024-10-24</t>
  </si>
  <si>
    <t>2025-04-07</t>
  </si>
  <si>
    <t>2025-08-04</t>
  </si>
  <si>
    <t>2023-04-22</t>
  </si>
  <si>
    <t>2025-01-10</t>
  </si>
  <si>
    <t>2025-06-24</t>
  </si>
  <si>
    <t>2024-02-21</t>
  </si>
  <si>
    <t>2023-09-26</t>
  </si>
  <si>
    <t>2025-06-16</t>
  </si>
  <si>
    <t>2023-09-06</t>
  </si>
  <si>
    <t>2024-05-05</t>
  </si>
  <si>
    <t>2024-09-28</t>
  </si>
  <si>
    <t>2025-04-15</t>
  </si>
  <si>
    <t>2024-04-05</t>
  </si>
  <si>
    <t>2025-08-03</t>
  </si>
  <si>
    <t>2023-11-12</t>
  </si>
  <si>
    <t>2024-08-20</t>
  </si>
  <si>
    <t>2025-04-30</t>
  </si>
  <si>
    <t>2025-08-25</t>
  </si>
  <si>
    <t>2025-07-24</t>
  </si>
  <si>
    <t>2025-02-24</t>
  </si>
  <si>
    <t>2025-11-06</t>
  </si>
  <si>
    <t>2023-05-23</t>
  </si>
  <si>
    <t>2025-04-29</t>
  </si>
  <si>
    <t>2025-11-05</t>
  </si>
  <si>
    <t>2023-01-06</t>
  </si>
  <si>
    <t>2024-09-03</t>
  </si>
  <si>
    <t>2023-11-01</t>
  </si>
  <si>
    <t>2025-09-18</t>
  </si>
  <si>
    <t>2024-11-11</t>
  </si>
  <si>
    <t>2025-07-21</t>
  </si>
  <si>
    <t>2024-01-22</t>
  </si>
  <si>
    <t>2025-02-23</t>
  </si>
  <si>
    <t>2025-04-21</t>
  </si>
  <si>
    <t>2024-10-13</t>
  </si>
  <si>
    <t>2025-02-19</t>
  </si>
  <si>
    <t>2023-11-08</t>
  </si>
  <si>
    <t>2023-03-17</t>
  </si>
  <si>
    <t>2025-10-25</t>
  </si>
  <si>
    <t>2023-07-25</t>
  </si>
  <si>
    <t>2023-07-24</t>
  </si>
  <si>
    <t>2023-02-01</t>
  </si>
  <si>
    <t>2025-04-19</t>
  </si>
  <si>
    <t>2023-06-03</t>
  </si>
  <si>
    <t>2024-06-26</t>
  </si>
  <si>
    <t>2025-03-25</t>
  </si>
  <si>
    <t>2024-11-03</t>
  </si>
  <si>
    <t>2024-10-10</t>
  </si>
  <si>
    <t>2023-03-15</t>
  </si>
  <si>
    <t>2024-04-25</t>
  </si>
  <si>
    <t>2024-04-10</t>
  </si>
  <si>
    <t>2025-06-07</t>
  </si>
  <si>
    <t>2023-12-07</t>
  </si>
  <si>
    <t>2023-03-01</t>
  </si>
  <si>
    <t>2024-10-26</t>
  </si>
  <si>
    <t>2024-08-23</t>
  </si>
  <si>
    <t>2025-02-06</t>
  </si>
  <si>
    <t>2023-10-26</t>
  </si>
  <si>
    <t>2025-04-23</t>
  </si>
  <si>
    <t>2023-12-15</t>
  </si>
  <si>
    <t>2023-06-11</t>
  </si>
  <si>
    <t>2024-05-08</t>
  </si>
  <si>
    <t>2023-10-21</t>
  </si>
  <si>
    <t>2025-08-02</t>
  </si>
  <si>
    <t>2025-07-30</t>
  </si>
  <si>
    <t>2023-01-20</t>
  </si>
  <si>
    <t>2024-08-12</t>
  </si>
  <si>
    <t>2023-06-01</t>
  </si>
  <si>
    <t>2024-12-08</t>
  </si>
  <si>
    <t>2025-05-18</t>
  </si>
  <si>
    <t>2024-02-12</t>
  </si>
  <si>
    <t>2025-09-16</t>
  </si>
  <si>
    <t>2024-04-30</t>
  </si>
  <si>
    <t>2025-01-05</t>
  </si>
  <si>
    <t>2024-08-27</t>
  </si>
  <si>
    <t>2025-03-21</t>
  </si>
  <si>
    <t>2023-01-17</t>
  </si>
  <si>
    <t>2025-10-14</t>
  </si>
  <si>
    <t>2024-04-16</t>
  </si>
  <si>
    <t>2024-03-24</t>
  </si>
  <si>
    <t>2024-05-28</t>
  </si>
  <si>
    <t>2023-07-18</t>
  </si>
  <si>
    <t>2024-09-24</t>
  </si>
  <si>
    <t>2023-03-10</t>
  </si>
  <si>
    <t>2023-09-27</t>
  </si>
  <si>
    <t>2024-02-16</t>
  </si>
  <si>
    <t>2025-01-19</t>
  </si>
  <si>
    <t>2023-12-03</t>
  </si>
  <si>
    <t>2025-09-13</t>
  </si>
  <si>
    <t>2024-11-24</t>
  </si>
  <si>
    <t>2025-08-17</t>
  </si>
  <si>
    <t>2023-10-16</t>
  </si>
  <si>
    <t>2025-03-24</t>
  </si>
  <si>
    <t>2023-07-04</t>
  </si>
  <si>
    <t>2023-01-29</t>
  </si>
  <si>
    <t>2023-09-11</t>
  </si>
  <si>
    <t>2025-01-24</t>
  </si>
  <si>
    <t>2023-08-10</t>
  </si>
  <si>
    <t>2025-08-23</t>
  </si>
  <si>
    <t>2024-11-02</t>
  </si>
  <si>
    <t>2023-05-10</t>
  </si>
  <si>
    <t>2024-09-10</t>
  </si>
  <si>
    <t>2023-08-27</t>
  </si>
  <si>
    <t>2023-04-03</t>
  </si>
  <si>
    <t>2024-09-15</t>
  </si>
  <si>
    <t>2023-08-26</t>
  </si>
  <si>
    <t>2025-03-06</t>
  </si>
  <si>
    <t>2025-01-29</t>
  </si>
  <si>
    <t>2023-11-13</t>
  </si>
  <si>
    <t>2023-07-22</t>
  </si>
  <si>
    <t>2023-03-09</t>
  </si>
  <si>
    <t>2024-03-20</t>
  </si>
  <si>
    <t>2025-06-29</t>
  </si>
  <si>
    <t>2025-01-12</t>
  </si>
  <si>
    <t>2025-01-22</t>
  </si>
  <si>
    <t>2023-05-05</t>
  </si>
  <si>
    <t>2024-07-19</t>
  </si>
  <si>
    <t>2023-09-08</t>
  </si>
  <si>
    <t>2023-07-07</t>
  </si>
  <si>
    <t>2023-02-13</t>
  </si>
  <si>
    <t>2024-11-14</t>
  </si>
  <si>
    <t>2023-09-15</t>
  </si>
  <si>
    <t>2023-05-21</t>
  </si>
  <si>
    <t>2024-03-18</t>
  </si>
  <si>
    <t>2023-10-24</t>
  </si>
  <si>
    <t>2023-08-14</t>
  </si>
  <si>
    <t>2025-01-03</t>
  </si>
  <si>
    <t>2024-10-25</t>
  </si>
  <si>
    <t>2023-12-23</t>
  </si>
  <si>
    <t>2023-04-18</t>
  </si>
  <si>
    <t>2025-05-12</t>
  </si>
  <si>
    <t>2023-05-11</t>
  </si>
  <si>
    <t>2025-07-07</t>
  </si>
  <si>
    <t>2023-08-12</t>
  </si>
  <si>
    <t>2025-10-28</t>
  </si>
  <si>
    <t>2023-03-30</t>
  </si>
  <si>
    <t>2025-07-27</t>
  </si>
  <si>
    <t>2025-04-02</t>
  </si>
  <si>
    <t>2025-06-27</t>
  </si>
  <si>
    <t>2023-06-15</t>
  </si>
  <si>
    <t>2023-10-31</t>
  </si>
  <si>
    <t>2023-09-16</t>
  </si>
  <si>
    <t>2024-10-27</t>
  </si>
  <si>
    <t>2024-08-26</t>
  </si>
  <si>
    <t>2025-11-01</t>
  </si>
  <si>
    <t>2023-07-23</t>
  </si>
  <si>
    <t>2024-03-16</t>
  </si>
  <si>
    <t>2025-07-13</t>
  </si>
  <si>
    <t>2025-04-27</t>
  </si>
  <si>
    <t>2025-07-17</t>
  </si>
  <si>
    <t>2025-05-01</t>
  </si>
  <si>
    <t>2024-10-02</t>
  </si>
  <si>
    <t>2025-02-05</t>
  </si>
  <si>
    <t>2025-08-29</t>
  </si>
  <si>
    <t>2023-07-10</t>
  </si>
  <si>
    <t>2023-07-17</t>
  </si>
  <si>
    <t>2023-09-24</t>
  </si>
  <si>
    <t>2025-05-16</t>
  </si>
  <si>
    <t>2024-12-21</t>
  </si>
  <si>
    <t>2024-04-04</t>
  </si>
  <si>
    <t>2024-12-18</t>
  </si>
  <si>
    <t>2023-08-24</t>
  </si>
  <si>
    <t>2024-04-08</t>
  </si>
  <si>
    <t>2023-02-23</t>
  </si>
  <si>
    <t>2024-07-13</t>
  </si>
  <si>
    <t>2024-11-26</t>
  </si>
  <si>
    <t>2023-01-13</t>
  </si>
  <si>
    <t>2023-03-04</t>
  </si>
  <si>
    <t>2025-05-09</t>
  </si>
  <si>
    <t>2024-11-29</t>
  </si>
  <si>
    <t>2025-01-27</t>
  </si>
  <si>
    <t>2023-11-19</t>
  </si>
  <si>
    <t>2023-06-17</t>
  </si>
  <si>
    <t>2025-06-26</t>
  </si>
  <si>
    <t>2025-09-21</t>
  </si>
  <si>
    <t>2025-04-28</t>
  </si>
  <si>
    <t>2024-03-17</t>
  </si>
  <si>
    <t>2024-12-07</t>
  </si>
  <si>
    <t>2023-08-16</t>
  </si>
  <si>
    <t>2025-09-23</t>
  </si>
  <si>
    <t>2023-04-04</t>
  </si>
  <si>
    <t>2025-03-20</t>
  </si>
  <si>
    <t>2023-01-16</t>
  </si>
  <si>
    <t>2024-09-09</t>
  </si>
  <si>
    <t>2023-10-09</t>
  </si>
  <si>
    <t>2024-08-15</t>
  </si>
  <si>
    <t>2023-09-03</t>
  </si>
  <si>
    <t>2025-10-15</t>
  </si>
  <si>
    <t>2023-12-26</t>
  </si>
  <si>
    <t>2025-02-17</t>
  </si>
  <si>
    <t>2025-10-21</t>
  </si>
  <si>
    <t>2023-05-28</t>
  </si>
  <si>
    <t>2023-03-28</t>
  </si>
  <si>
    <t>2023-02-08</t>
  </si>
  <si>
    <t>2023-06-09</t>
  </si>
  <si>
    <t>2025-05-29</t>
  </si>
  <si>
    <t>2025-05-05</t>
  </si>
  <si>
    <t>2023-12-18</t>
  </si>
  <si>
    <t>2025-01-11</t>
  </si>
  <si>
    <t>2025-06-13</t>
  </si>
  <si>
    <t>2024-05-13</t>
  </si>
  <si>
    <t>2023-06-06</t>
  </si>
  <si>
    <t>2025-11-10</t>
  </si>
  <si>
    <t>2024-12-16</t>
  </si>
  <si>
    <t>2023-10-30</t>
  </si>
  <si>
    <t>2023-07-30</t>
  </si>
  <si>
    <t>2024-06-08</t>
  </si>
  <si>
    <t>2023-12-22</t>
  </si>
  <si>
    <t>2023-06-04</t>
  </si>
  <si>
    <t>2025-10-08</t>
  </si>
  <si>
    <t>2025-07-08</t>
  </si>
  <si>
    <t>2024-10-09</t>
  </si>
  <si>
    <t>2025-06-19</t>
  </si>
  <si>
    <t>2025-08-18</t>
  </si>
  <si>
    <t>2024-09-12</t>
  </si>
  <si>
    <t>2023-04-26</t>
  </si>
  <si>
    <t>2024-09-27</t>
  </si>
  <si>
    <t>2025-07-14</t>
  </si>
  <si>
    <t>2023-04-27</t>
  </si>
  <si>
    <t>2024-08-10</t>
  </si>
  <si>
    <t>2025-08-05</t>
  </si>
  <si>
    <t>2025-07-10</t>
  </si>
  <si>
    <t>2024-10-20</t>
  </si>
  <si>
    <t>2025-10-23</t>
  </si>
  <si>
    <t>2023-05-07</t>
  </si>
  <si>
    <t>2023-07-31</t>
  </si>
  <si>
    <t>2023-06-22</t>
  </si>
  <si>
    <t>2023-03-22</t>
  </si>
  <si>
    <t>2025-06-15</t>
  </si>
  <si>
    <t>2023-11-22</t>
  </si>
  <si>
    <t>2025-02-02</t>
  </si>
  <si>
    <t>2025-03-04</t>
  </si>
  <si>
    <t>2024-11-23</t>
  </si>
  <si>
    <t>2024-11-16</t>
  </si>
  <si>
    <t>2025-03-02</t>
  </si>
  <si>
    <t>2024-05-31</t>
  </si>
  <si>
    <t>2023-10-17</t>
  </si>
  <si>
    <t>2023-09-22</t>
  </si>
  <si>
    <t>2024-09-26</t>
  </si>
  <si>
    <t>2023-07-11</t>
  </si>
  <si>
    <t>2025-11-07</t>
  </si>
  <si>
    <t>2023-02-07</t>
  </si>
  <si>
    <t>2024-03-14</t>
  </si>
  <si>
    <t>2025-09-22</t>
  </si>
  <si>
    <t>2023-11-14</t>
  </si>
  <si>
    <t>2024-08-28</t>
  </si>
  <si>
    <t>2024-11-20</t>
  </si>
  <si>
    <t>2025-02-10</t>
  </si>
  <si>
    <t>2023-11-29</t>
  </si>
  <si>
    <t>2023-12-06</t>
  </si>
  <si>
    <t>2023-03-31</t>
  </si>
  <si>
    <t>2025-01-16</t>
  </si>
  <si>
    <t>2025-06-28</t>
  </si>
  <si>
    <t>2024-05-04</t>
  </si>
  <si>
    <t>2025-01-23</t>
  </si>
  <si>
    <t>2025-02-21</t>
  </si>
  <si>
    <t>2023-11-28</t>
  </si>
  <si>
    <t>2023-10-11</t>
  </si>
  <si>
    <t>2023-04-17</t>
  </si>
  <si>
    <t>2025-01-30</t>
  </si>
  <si>
    <t>2023-09-13</t>
  </si>
  <si>
    <t>2023-06-21</t>
  </si>
  <si>
    <t>2024-07-12</t>
  </si>
  <si>
    <t>2023-10-29</t>
  </si>
  <si>
    <t>2025-07-12</t>
  </si>
  <si>
    <t>2023-02-24</t>
  </si>
  <si>
    <t>2023-04-20</t>
  </si>
  <si>
    <t>2024-04-27</t>
  </si>
  <si>
    <t>2024-10-14</t>
  </si>
  <si>
    <t>2024-11-17</t>
  </si>
  <si>
    <t>2023-10-12</t>
  </si>
  <si>
    <t>2023-06-12</t>
  </si>
  <si>
    <t>2023-11-03</t>
  </si>
  <si>
    <t>2024-05-01</t>
  </si>
  <si>
    <t>2023-09-07</t>
  </si>
  <si>
    <t>2024-05-03</t>
  </si>
  <si>
    <t>2025-07-25</t>
  </si>
  <si>
    <t>2023-02-03</t>
  </si>
  <si>
    <t>2023-10-22</t>
  </si>
  <si>
    <t>2024-12-23</t>
  </si>
  <si>
    <t>2025-05-03</t>
  </si>
  <si>
    <t>2023-06-25</t>
  </si>
  <si>
    <t>2023-05-19</t>
  </si>
  <si>
    <t>2025-03-10</t>
  </si>
  <si>
    <t>2025-02-03</t>
  </si>
  <si>
    <t>2023-04-01</t>
  </si>
  <si>
    <t>2025-08-09</t>
  </si>
  <si>
    <t>2024-01-09</t>
  </si>
  <si>
    <t>2024-02-17</t>
  </si>
  <si>
    <t>2024-02-13</t>
  </si>
  <si>
    <t>2024-10-08</t>
  </si>
  <si>
    <t>2025-03-26</t>
  </si>
  <si>
    <t>2024-06-02</t>
  </si>
  <si>
    <t>2024-01-27</t>
  </si>
  <si>
    <t>2025-01-01</t>
  </si>
  <si>
    <t>2024-11-10</t>
  </si>
  <si>
    <t>2023-09-12</t>
  </si>
  <si>
    <t>2024-11-25</t>
  </si>
  <si>
    <t>2025-10-13</t>
  </si>
  <si>
    <t>2023-06-19</t>
  </si>
  <si>
    <t>2024-01-05</t>
  </si>
  <si>
    <t>2024-10-19</t>
  </si>
  <si>
    <t>2023-06-13</t>
  </si>
  <si>
    <t>2025-07-02</t>
  </si>
  <si>
    <t>2023-12-08</t>
  </si>
  <si>
    <t>2024-12-20</t>
  </si>
  <si>
    <t>2025-06-09</t>
  </si>
  <si>
    <t>2023-04-28</t>
  </si>
  <si>
    <t>2025-04-11</t>
  </si>
  <si>
    <t>2023-11-24</t>
  </si>
  <si>
    <t>2023-10-20</t>
  </si>
  <si>
    <t>2023-03-13</t>
  </si>
  <si>
    <t>2023-05-18</t>
  </si>
  <si>
    <t>2025-01-20</t>
  </si>
  <si>
    <t>2023-11-11</t>
  </si>
  <si>
    <t>2024-07-24</t>
  </si>
  <si>
    <t>2023-08-21</t>
  </si>
  <si>
    <t>2024-01-17</t>
  </si>
  <si>
    <t>2025-03-03</t>
  </si>
  <si>
    <t>2024-06-20</t>
  </si>
  <si>
    <t>2024-08-07</t>
  </si>
  <si>
    <t>2024-02-14</t>
  </si>
  <si>
    <t>2023-10-05</t>
  </si>
  <si>
    <t>2025-06-30</t>
  </si>
  <si>
    <t>2024-10-16</t>
  </si>
  <si>
    <t>2023-05-13</t>
  </si>
  <si>
    <t>2024-09-06</t>
  </si>
  <si>
    <t>2025-01-09</t>
  </si>
  <si>
    <t>2025-08-15</t>
  </si>
  <si>
    <t>2023-06-26</t>
  </si>
  <si>
    <t>2024-09-25</t>
  </si>
  <si>
    <t>2025-09-07</t>
  </si>
  <si>
    <t>2025-04-18</t>
  </si>
  <si>
    <t>2023-09-14</t>
  </si>
  <si>
    <t>2025-08-12</t>
  </si>
  <si>
    <t>2023-09-20</t>
  </si>
  <si>
    <t>2025-10-26</t>
  </si>
  <si>
    <t>2024-09-14</t>
  </si>
  <si>
    <t>2024-04-06</t>
  </si>
  <si>
    <t>2024-08-04</t>
  </si>
  <si>
    <t>2024-07-16</t>
  </si>
  <si>
    <t>2024-11-22</t>
  </si>
  <si>
    <t>2023-02-28</t>
  </si>
  <si>
    <t>2024-03-07</t>
  </si>
  <si>
    <t>2024-08-16</t>
  </si>
  <si>
    <t>2023-05-03</t>
  </si>
  <si>
    <t>2024-02-22</t>
  </si>
  <si>
    <t>2024-10-15</t>
  </si>
  <si>
    <t>2025-03-27</t>
  </si>
  <si>
    <t>2025-01-28</t>
  </si>
  <si>
    <t>2025-08-13</t>
  </si>
  <si>
    <t>2024-07-01</t>
  </si>
  <si>
    <t>2024-05-22</t>
  </si>
  <si>
    <t>2024-08-17</t>
  </si>
  <si>
    <t>2025-05-06</t>
  </si>
  <si>
    <t>2023-11-23</t>
  </si>
  <si>
    <t>2025-08-14</t>
  </si>
  <si>
    <t>2024-09-23</t>
  </si>
  <si>
    <t>2023-02-17</t>
  </si>
  <si>
    <t>2025-03-16</t>
  </si>
  <si>
    <t>2023-04-14</t>
  </si>
  <si>
    <t>2025-10-10</t>
  </si>
  <si>
    <t>2024-08-08</t>
  </si>
  <si>
    <t>2023-08-09</t>
  </si>
  <si>
    <t>2023-10-02</t>
  </si>
  <si>
    <t>2024-02-03</t>
  </si>
  <si>
    <t>2024-08-14</t>
  </si>
  <si>
    <t>2024-07-26</t>
  </si>
  <si>
    <t>2023-09-21</t>
  </si>
  <si>
    <t>2025-03-17</t>
  </si>
  <si>
    <t>2023-10-23</t>
  </si>
  <si>
    <t>2025-11-08</t>
  </si>
  <si>
    <t>2023-10-08</t>
  </si>
  <si>
    <t>2025-08-28</t>
  </si>
  <si>
    <t>2023-11-02</t>
  </si>
  <si>
    <t>2024-09-05</t>
  </si>
  <si>
    <t>2024-08-11</t>
  </si>
  <si>
    <t>2023-08-19</t>
  </si>
  <si>
    <t>2024-06-10</t>
  </si>
  <si>
    <t>2024-03-23</t>
  </si>
  <si>
    <t>2023-05-04</t>
  </si>
  <si>
    <t>2024-01-04</t>
  </si>
  <si>
    <t>2023-03-07</t>
  </si>
  <si>
    <t>2024-09-07</t>
  </si>
  <si>
    <t>2024-03-09</t>
  </si>
  <si>
    <t>2023-12-17</t>
  </si>
  <si>
    <t>2023-10-14</t>
  </si>
  <si>
    <t>2024-07-06</t>
  </si>
  <si>
    <t>2024-02-05</t>
  </si>
  <si>
    <t>2024-06-01</t>
  </si>
  <si>
    <t>name</t>
  </si>
  <si>
    <t>gender</t>
  </si>
  <si>
    <t>region</t>
  </si>
  <si>
    <t>signup_date</t>
  </si>
  <si>
    <t>loyalty_status</t>
  </si>
  <si>
    <t>Customer 0001</t>
  </si>
  <si>
    <t>Other</t>
  </si>
  <si>
    <t>North</t>
  </si>
  <si>
    <t>Silver</t>
  </si>
  <si>
    <t>Customer 0002</t>
  </si>
  <si>
    <t>South</t>
  </si>
  <si>
    <t>2020-12-16</t>
  </si>
  <si>
    <t>Bronze</t>
  </si>
  <si>
    <t>Customer 0003</t>
  </si>
  <si>
    <t>Female</t>
  </si>
  <si>
    <t>Central</t>
  </si>
  <si>
    <t>2022-02-16</t>
  </si>
  <si>
    <t>Customer 0004</t>
  </si>
  <si>
    <t>Male</t>
  </si>
  <si>
    <t>2021-10-26</t>
  </si>
  <si>
    <t>Gold</t>
  </si>
  <si>
    <t>Customer 0005</t>
  </si>
  <si>
    <t>West</t>
  </si>
  <si>
    <t>Customer 0006</t>
  </si>
  <si>
    <t>East</t>
  </si>
  <si>
    <t>2021-03-08</t>
  </si>
  <si>
    <t>Customer 0007</t>
  </si>
  <si>
    <t>2022-10-19</t>
  </si>
  <si>
    <t>Customer 0008</t>
  </si>
  <si>
    <t>2020-10-12</t>
  </si>
  <si>
    <t>Customer 0009</t>
  </si>
  <si>
    <t>Customer 0010</t>
  </si>
  <si>
    <t>2022-03-28</t>
  </si>
  <si>
    <t>Platinum</t>
  </si>
  <si>
    <t>Customer 0011</t>
  </si>
  <si>
    <t>2020-10-10</t>
  </si>
  <si>
    <t>Customer 0012</t>
  </si>
  <si>
    <t>2020-04-06</t>
  </si>
  <si>
    <t>Customer 0013</t>
  </si>
  <si>
    <t>Customer 0014</t>
  </si>
  <si>
    <t>2022-02-27</t>
  </si>
  <si>
    <t>Customer 0015</t>
  </si>
  <si>
    <t>2022-12-19</t>
  </si>
  <si>
    <t>Customer 0016</t>
  </si>
  <si>
    <t>2020-01-24</t>
  </si>
  <si>
    <t>Customer 0017</t>
  </si>
  <si>
    <t>2023-01-04</t>
  </si>
  <si>
    <t>Customer 0018</t>
  </si>
  <si>
    <t>2022-06-09</t>
  </si>
  <si>
    <t>Customer 0019</t>
  </si>
  <si>
    <t>2024-01-18</t>
  </si>
  <si>
    <t>Customer 0020</t>
  </si>
  <si>
    <t>2024-04-09</t>
  </si>
  <si>
    <t>Customer 0021</t>
  </si>
  <si>
    <t>Customer 0022</t>
  </si>
  <si>
    <t>2020-11-09</t>
  </si>
  <si>
    <t>Customer 0023</t>
  </si>
  <si>
    <t>Customer 0024</t>
  </si>
  <si>
    <t>2022-09-27</t>
  </si>
  <si>
    <t>Customer 0025</t>
  </si>
  <si>
    <t>2024-08-30</t>
  </si>
  <si>
    <t>Customer 0026</t>
  </si>
  <si>
    <t>Customer 0027</t>
  </si>
  <si>
    <t>2024-07-29</t>
  </si>
  <si>
    <t>Customer 0028</t>
  </si>
  <si>
    <t>2020-09-19</t>
  </si>
  <si>
    <t>Customer 0029</t>
  </si>
  <si>
    <t>2020-12-04</t>
  </si>
  <si>
    <t>Customer 0030</t>
  </si>
  <si>
    <t>2022-05-16</t>
  </si>
  <si>
    <t>Customer 0031</t>
  </si>
  <si>
    <t>Customer 0032</t>
  </si>
  <si>
    <t>2023-10-07</t>
  </si>
  <si>
    <t>Customer 0033</t>
  </si>
  <si>
    <t>2022-11-25</t>
  </si>
  <si>
    <t>Customer 0034</t>
  </si>
  <si>
    <t>2020-05-11</t>
  </si>
  <si>
    <t>Customer 0035</t>
  </si>
  <si>
    <t>2021-04-16</t>
  </si>
  <si>
    <t>Customer 0036</t>
  </si>
  <si>
    <t>2023-12-20</t>
  </si>
  <si>
    <t>Customer 0037</t>
  </si>
  <si>
    <t>2020-03-05</t>
  </si>
  <si>
    <t>Customer 0038</t>
  </si>
  <si>
    <t>2021-07-24</t>
  </si>
  <si>
    <t>Customer 0039</t>
  </si>
  <si>
    <t>2020-09-27</t>
  </si>
  <si>
    <t>Customer 0040</t>
  </si>
  <si>
    <t>2021-05-12</t>
  </si>
  <si>
    <t>Customer 0041</t>
  </si>
  <si>
    <t>2020-07-17</t>
  </si>
  <si>
    <t>Customer 0042</t>
  </si>
  <si>
    <t>2022-04-21</t>
  </si>
  <si>
    <t>Customer 0043</t>
  </si>
  <si>
    <t>Customer 0044</t>
  </si>
  <si>
    <t>2021-11-25</t>
  </si>
  <si>
    <t>Customer 0045</t>
  </si>
  <si>
    <t>2023-01-03</t>
  </si>
  <si>
    <t>Customer 0046</t>
  </si>
  <si>
    <t>Customer 0047</t>
  </si>
  <si>
    <t>2020-06-03</t>
  </si>
  <si>
    <t>Customer 0048</t>
  </si>
  <si>
    <t>2023-08-28</t>
  </si>
  <si>
    <t>Customer 0049</t>
  </si>
  <si>
    <t>Customer 0050</t>
  </si>
  <si>
    <t>2022-09-12</t>
  </si>
  <si>
    <t>Customer 0051</t>
  </si>
  <si>
    <t>2020-12-03</t>
  </si>
  <si>
    <t>Customer 0052</t>
  </si>
  <si>
    <t>2021-06-27</t>
  </si>
  <si>
    <t>Customer 0053</t>
  </si>
  <si>
    <t>Customer 0054</t>
  </si>
  <si>
    <t>2021-08-30</t>
  </si>
  <si>
    <t>Customer 0055</t>
  </si>
  <si>
    <t>2023-01-15</t>
  </si>
  <si>
    <t>Customer 0056</t>
  </si>
  <si>
    <t>2023-04-11</t>
  </si>
  <si>
    <t>Customer 0057</t>
  </si>
  <si>
    <t>2022-12-23</t>
  </si>
  <si>
    <t>Customer 0058</t>
  </si>
  <si>
    <t>2020-06-13</t>
  </si>
  <si>
    <t>Customer 0059</t>
  </si>
  <si>
    <t>Customer 0060</t>
  </si>
  <si>
    <t>2023-03-12</t>
  </si>
  <si>
    <t>Customer 0061</t>
  </si>
  <si>
    <t>Customer 0062</t>
  </si>
  <si>
    <t>2023-03-03</t>
  </si>
  <si>
    <t>Customer 0063</t>
  </si>
  <si>
    <t>2021-02-22</t>
  </si>
  <si>
    <t>Customer 0064</t>
  </si>
  <si>
    <t>2022-03-21</t>
  </si>
  <si>
    <t>Customer 0065</t>
  </si>
  <si>
    <t>2024-03-19</t>
  </si>
  <si>
    <t>Customer 0066</t>
  </si>
  <si>
    <t>2023-02-27</t>
  </si>
  <si>
    <t>Customer 0067</t>
  </si>
  <si>
    <t>2022-11-02</t>
  </si>
  <si>
    <t>Customer 0068</t>
  </si>
  <si>
    <t>2020-05-20</t>
  </si>
  <si>
    <t>Customer 0069</t>
  </si>
  <si>
    <t>2022-06-16</t>
  </si>
  <si>
    <t>Customer 0070</t>
  </si>
  <si>
    <t>2024-07-10</t>
  </si>
  <si>
    <t>Customer 0071</t>
  </si>
  <si>
    <t>2024-07-31</t>
  </si>
  <si>
    <t>Customer 0072</t>
  </si>
  <si>
    <t>2020-07-31</t>
  </si>
  <si>
    <t>Customer 0073</t>
  </si>
  <si>
    <t>2020-08-07</t>
  </si>
  <si>
    <t>Customer 0074</t>
  </si>
  <si>
    <t>2021-07-31</t>
  </si>
  <si>
    <t>Customer 0075</t>
  </si>
  <si>
    <t>2021-02-20</t>
  </si>
  <si>
    <t>Customer 0076</t>
  </si>
  <si>
    <t>2021-05-29</t>
  </si>
  <si>
    <t>Customer 0077</t>
  </si>
  <si>
    <t>2024-08-25</t>
  </si>
  <si>
    <t>Customer 0078</t>
  </si>
  <si>
    <t>2024-04-28</t>
  </si>
  <si>
    <t>Customer 0079</t>
  </si>
  <si>
    <t>2022-06-23</t>
  </si>
  <si>
    <t>Customer 0080</t>
  </si>
  <si>
    <t>2020-08-17</t>
  </si>
  <si>
    <t>Customer 0081</t>
  </si>
  <si>
    <t>Customer 0082</t>
  </si>
  <si>
    <t>2022-05-30</t>
  </si>
  <si>
    <t>Customer 0083</t>
  </si>
  <si>
    <t>2024-06-18</t>
  </si>
  <si>
    <t>Customer 0084</t>
  </si>
  <si>
    <t>2021-05-26</t>
  </si>
  <si>
    <t>Customer 0085</t>
  </si>
  <si>
    <t>2023-02-20</t>
  </si>
  <si>
    <t>Customer 0086</t>
  </si>
  <si>
    <t>2021-04-29</t>
  </si>
  <si>
    <t>Customer 0087</t>
  </si>
  <si>
    <t>2020-02-20</t>
  </si>
  <si>
    <t>Customer 0088</t>
  </si>
  <si>
    <t>2022-04-23</t>
  </si>
  <si>
    <t>Customer 0089</t>
  </si>
  <si>
    <t>Customer 0090</t>
  </si>
  <si>
    <t>2020-03-20</t>
  </si>
  <si>
    <t>Customer 0091</t>
  </si>
  <si>
    <t>2022-07-31</t>
  </si>
  <si>
    <t>Customer 0092</t>
  </si>
  <si>
    <t>2021-04-11</t>
  </si>
  <si>
    <t>Customer 0093</t>
  </si>
  <si>
    <t>2022-03-27</t>
  </si>
  <si>
    <t>Customer 0094</t>
  </si>
  <si>
    <t>2024-05-02</t>
  </si>
  <si>
    <t>Customer 0095</t>
  </si>
  <si>
    <t>2022-03-29</t>
  </si>
  <si>
    <t>Customer 0096</t>
  </si>
  <si>
    <t>2020-02-26</t>
  </si>
  <si>
    <t>Customer 0097</t>
  </si>
  <si>
    <t>Customer 0098</t>
  </si>
  <si>
    <t>2021-12-08</t>
  </si>
  <si>
    <t>Customer 0099</t>
  </si>
  <si>
    <t>2022-11-13</t>
  </si>
  <si>
    <t>Customer 0100</t>
  </si>
  <si>
    <t>2021-01-24</t>
  </si>
  <si>
    <t>Customer 0101</t>
  </si>
  <si>
    <t>2020-01-04</t>
  </si>
  <si>
    <t>Customer 0102</t>
  </si>
  <si>
    <t>2024-02-28</t>
  </si>
  <si>
    <t>Customer 0103</t>
  </si>
  <si>
    <t>2020-05-23</t>
  </si>
  <si>
    <t>Customer 0104</t>
  </si>
  <si>
    <t>Customer 0105</t>
  </si>
  <si>
    <t>Customer 0106</t>
  </si>
  <si>
    <t>2021-08-28</t>
  </si>
  <si>
    <t>Customer 0107</t>
  </si>
  <si>
    <t>2023-09-23</t>
  </si>
  <si>
    <t>Customer 0108</t>
  </si>
  <si>
    <t>2021-09-08</t>
  </si>
  <si>
    <t>Customer 0109</t>
  </si>
  <si>
    <t>2021-09-14</t>
  </si>
  <si>
    <t>Customer 0110</t>
  </si>
  <si>
    <t>2023-04-02</t>
  </si>
  <si>
    <t>Customer 0111</t>
  </si>
  <si>
    <t>2022-06-24</t>
  </si>
  <si>
    <t>Customer 0112</t>
  </si>
  <si>
    <t>2024-06-13</t>
  </si>
  <si>
    <t>Customer 0113</t>
  </si>
  <si>
    <t>2021-08-04</t>
  </si>
  <si>
    <t>Customer 0114</t>
  </si>
  <si>
    <t>2024-08-03</t>
  </si>
  <si>
    <t>Customer 0115</t>
  </si>
  <si>
    <t>2021-02-11</t>
  </si>
  <si>
    <t>Customer 0116</t>
  </si>
  <si>
    <t>2022-08-31</t>
  </si>
  <si>
    <t>Customer 0117</t>
  </si>
  <si>
    <t>2023-07-13</t>
  </si>
  <si>
    <t>Customer 0118</t>
  </si>
  <si>
    <t>2022-02-25</t>
  </si>
  <si>
    <t>Customer 0119</t>
  </si>
  <si>
    <t>2023-09-05</t>
  </si>
  <si>
    <t>Customer 0120</t>
  </si>
  <si>
    <t>2024-10-28</t>
  </si>
  <si>
    <t>Customer 0121</t>
  </si>
  <si>
    <t>2024-07-04</t>
  </si>
  <si>
    <t>Customer 0122</t>
  </si>
  <si>
    <t>2023-02-15</t>
  </si>
  <si>
    <t>Customer 0123</t>
  </si>
  <si>
    <t>2024-06-29</t>
  </si>
  <si>
    <t>Customer 0124</t>
  </si>
  <si>
    <t>Customer 0125</t>
  </si>
  <si>
    <t>2024-01-13</t>
  </si>
  <si>
    <t>Customer 0126</t>
  </si>
  <si>
    <t>2023-01-27</t>
  </si>
  <si>
    <t>Customer 0127</t>
  </si>
  <si>
    <t>2022-08-30</t>
  </si>
  <si>
    <t>Customer 0128</t>
  </si>
  <si>
    <t>2024-09-16</t>
  </si>
  <si>
    <t>Customer 0129</t>
  </si>
  <si>
    <t>2022-12-03</t>
  </si>
  <si>
    <t>Customer 0130</t>
  </si>
  <si>
    <t>2020-06-07</t>
  </si>
  <si>
    <t>Customer 0131</t>
  </si>
  <si>
    <t>2021-11-18</t>
  </si>
  <si>
    <t>Customer 0132</t>
  </si>
  <si>
    <t>2020-11-04</t>
  </si>
  <si>
    <t>Customer 0133</t>
  </si>
  <si>
    <t>Customer 0134</t>
  </si>
  <si>
    <t>2021-11-08</t>
  </si>
  <si>
    <t>Customer 0135</t>
  </si>
  <si>
    <t>2021-02-27</t>
  </si>
  <si>
    <t>Customer 0136</t>
  </si>
  <si>
    <t>Customer 0137</t>
  </si>
  <si>
    <t>Customer 0138</t>
  </si>
  <si>
    <t>2021-12-21</t>
  </si>
  <si>
    <t>Customer 0139</t>
  </si>
  <si>
    <t>Customer 0140</t>
  </si>
  <si>
    <t>2023-01-23</t>
  </si>
  <si>
    <t>Customer 0141</t>
  </si>
  <si>
    <t>2021-07-12</t>
  </si>
  <si>
    <t>Customer 0142</t>
  </si>
  <si>
    <t>2021-11-19</t>
  </si>
  <si>
    <t>Customer 0143</t>
  </si>
  <si>
    <t>2024-09-17</t>
  </si>
  <si>
    <t>Customer 0144</t>
  </si>
  <si>
    <t>2022-12-29</t>
  </si>
  <si>
    <t>Customer 0145</t>
  </si>
  <si>
    <t>2023-09-19</t>
  </si>
  <si>
    <t>Customer 0146</t>
  </si>
  <si>
    <t>2020-10-04</t>
  </si>
  <si>
    <t>Customer 0147</t>
  </si>
  <si>
    <t>2022-02-15</t>
  </si>
  <si>
    <t>Customer 0148</t>
  </si>
  <si>
    <t>2021-11-22</t>
  </si>
  <si>
    <t>Customer 0149</t>
  </si>
  <si>
    <t>Customer 0150</t>
  </si>
  <si>
    <t>2022-08-21</t>
  </si>
  <si>
    <t>Customer 0151</t>
  </si>
  <si>
    <t>2021-12-17</t>
  </si>
  <si>
    <t>Customer 0152</t>
  </si>
  <si>
    <t>Customer 0153</t>
  </si>
  <si>
    <t>2021-02-12</t>
  </si>
  <si>
    <t>Customer 0154</t>
  </si>
  <si>
    <t>2020-09-15</t>
  </si>
  <si>
    <t>Customer 0155</t>
  </si>
  <si>
    <t>2021-03-22</t>
  </si>
  <si>
    <t>Customer 0156</t>
  </si>
  <si>
    <t>2020-12-09</t>
  </si>
  <si>
    <t>Customer 0157</t>
  </si>
  <si>
    <t>2024-01-11</t>
  </si>
  <si>
    <t>Customer 0158</t>
  </si>
  <si>
    <t>2020-08-09</t>
  </si>
  <si>
    <t>Customer 0159</t>
  </si>
  <si>
    <t>2023-03-25</t>
  </si>
  <si>
    <t>Customer 0160</t>
  </si>
  <si>
    <t>Customer 0161</t>
  </si>
  <si>
    <t>Customer 0162</t>
  </si>
  <si>
    <t>Customer 0163</t>
  </si>
  <si>
    <t>Customer 0164</t>
  </si>
  <si>
    <t>2022-05-27</t>
  </si>
  <si>
    <t>Customer 0165</t>
  </si>
  <si>
    <t>Customer 0166</t>
  </si>
  <si>
    <t>Customer 0167</t>
  </si>
  <si>
    <t>2022-01-11</t>
  </si>
  <si>
    <t>Customer 0168</t>
  </si>
  <si>
    <t>2022-06-10</t>
  </si>
  <si>
    <t>Customer 0169</t>
  </si>
  <si>
    <t>2021-07-07</t>
  </si>
  <si>
    <t>Customer 0170</t>
  </si>
  <si>
    <t>2022-08-10</t>
  </si>
  <si>
    <t>Customer 0171</t>
  </si>
  <si>
    <t>Customer 0172</t>
  </si>
  <si>
    <t>2022-07-12</t>
  </si>
  <si>
    <t>Customer 0173</t>
  </si>
  <si>
    <t>2023-09-30</t>
  </si>
  <si>
    <t>Customer 0174</t>
  </si>
  <si>
    <t>Customer 0175</t>
  </si>
  <si>
    <t>2021-12-27</t>
  </si>
  <si>
    <t>Customer 0176</t>
  </si>
  <si>
    <t>Customer 0177</t>
  </si>
  <si>
    <t>2022-11-24</t>
  </si>
  <si>
    <t>Customer 0178</t>
  </si>
  <si>
    <t>2022-04-12</t>
  </si>
  <si>
    <t>Customer 0179</t>
  </si>
  <si>
    <t>2023-11-15</t>
  </si>
  <si>
    <t>Customer 0180</t>
  </si>
  <si>
    <t>2020-02-05</t>
  </si>
  <si>
    <t>Customer 0181</t>
  </si>
  <si>
    <t>2023-11-17</t>
  </si>
  <si>
    <t>Customer 0182</t>
  </si>
  <si>
    <t>2022-01-25</t>
  </si>
  <si>
    <t>Customer 0183</t>
  </si>
  <si>
    <t>2022-05-21</t>
  </si>
  <si>
    <t>Customer 0184</t>
  </si>
  <si>
    <t>2023-12-10</t>
  </si>
  <si>
    <t>Customer 0185</t>
  </si>
  <si>
    <t>2021-04-17</t>
  </si>
  <si>
    <t>Customer 0186</t>
  </si>
  <si>
    <t>2024-03-01</t>
  </si>
  <si>
    <t>Customer 0187</t>
  </si>
  <si>
    <t>Customer 0188</t>
  </si>
  <si>
    <t>Customer 0189</t>
  </si>
  <si>
    <t>2020-07-24</t>
  </si>
  <si>
    <t>Customer 0190</t>
  </si>
  <si>
    <t>2021-01-02</t>
  </si>
  <si>
    <t>Customer 0191</t>
  </si>
  <si>
    <t>2020-09-16</t>
  </si>
  <si>
    <t>Customer 0192</t>
  </si>
  <si>
    <t>Customer 0193</t>
  </si>
  <si>
    <t>2024-03-21</t>
  </si>
  <si>
    <t>Customer 0194</t>
  </si>
  <si>
    <t>2023-03-21</t>
  </si>
  <si>
    <t>Customer 0195</t>
  </si>
  <si>
    <t>2021-11-28</t>
  </si>
  <si>
    <t>Customer 0196</t>
  </si>
  <si>
    <t>2024-10-30</t>
  </si>
  <si>
    <t>Customer 0197</t>
  </si>
  <si>
    <t>2022-03-31</t>
  </si>
  <si>
    <t>Customer 0198</t>
  </si>
  <si>
    <t>2023-11-06</t>
  </si>
  <si>
    <t>Customer 0199</t>
  </si>
  <si>
    <t>2023-02-26</t>
  </si>
  <si>
    <t>Customer 0200</t>
  </si>
  <si>
    <t>2020-08-30</t>
  </si>
  <si>
    <t>Customer 0201</t>
  </si>
  <si>
    <t>2024-06-07</t>
  </si>
  <si>
    <t>Customer 0202</t>
  </si>
  <si>
    <t>2022-02-18</t>
  </si>
  <si>
    <t>Customer 0203</t>
  </si>
  <si>
    <t>Customer 0204</t>
  </si>
  <si>
    <t>2020-05-03</t>
  </si>
  <si>
    <t>Customer 0205</t>
  </si>
  <si>
    <t>2021-03-01</t>
  </si>
  <si>
    <t>Customer 0206</t>
  </si>
  <si>
    <t>2020-06-15</t>
  </si>
  <si>
    <t>Customer 0207</t>
  </si>
  <si>
    <t>2020-06-02</t>
  </si>
  <si>
    <t>Customer 0208</t>
  </si>
  <si>
    <t>Customer 0209</t>
  </si>
  <si>
    <t>2021-04-19</t>
  </si>
  <si>
    <t>Customer 0210</t>
  </si>
  <si>
    <t>2022-07-18</t>
  </si>
  <si>
    <t>Customer 0211</t>
  </si>
  <si>
    <t>Customer 0212</t>
  </si>
  <si>
    <t>2021-02-09</t>
  </si>
  <si>
    <t>Customer 0213</t>
  </si>
  <si>
    <t>Customer 0214</t>
  </si>
  <si>
    <t>2020-05-26</t>
  </si>
  <si>
    <t>Customer 0215</t>
  </si>
  <si>
    <t>Customer 0216</t>
  </si>
  <si>
    <t>2022-06-18</t>
  </si>
  <si>
    <t>Customer 0217</t>
  </si>
  <si>
    <t>2023-12-04</t>
  </si>
  <si>
    <t>Customer 0218</t>
  </si>
  <si>
    <t>2022-10-08</t>
  </si>
  <si>
    <t>Customer 0219</t>
  </si>
  <si>
    <t>2022-06-03</t>
  </si>
  <si>
    <t>Customer 0220</t>
  </si>
  <si>
    <t>2020-02-22</t>
  </si>
  <si>
    <t>category</t>
  </si>
  <si>
    <t>product_name</t>
  </si>
  <si>
    <t>cost_price</t>
  </si>
  <si>
    <t>selling_price</t>
  </si>
  <si>
    <t>Sports</t>
  </si>
  <si>
    <t>Product 001</t>
  </si>
  <si>
    <t>Electronics</t>
  </si>
  <si>
    <t>Product 002</t>
  </si>
  <si>
    <t>Product 003</t>
  </si>
  <si>
    <t>Product 004</t>
  </si>
  <si>
    <t>Clothing</t>
  </si>
  <si>
    <t>Product 005</t>
  </si>
  <si>
    <t>Home</t>
  </si>
  <si>
    <t>Product 006</t>
  </si>
  <si>
    <t>Product 007</t>
  </si>
  <si>
    <t>Product 008</t>
  </si>
  <si>
    <t>Product 009</t>
  </si>
  <si>
    <t>Product 010</t>
  </si>
  <si>
    <t>Product 011</t>
  </si>
  <si>
    <t>Product 012</t>
  </si>
  <si>
    <t>Beauty</t>
  </si>
  <si>
    <t>Product 013</t>
  </si>
  <si>
    <t>Product 014</t>
  </si>
  <si>
    <t>Product 015</t>
  </si>
  <si>
    <t>Toys</t>
  </si>
  <si>
    <t>Product 016</t>
  </si>
  <si>
    <t>Product 017</t>
  </si>
  <si>
    <t>Product 018</t>
  </si>
  <si>
    <t>Product 019</t>
  </si>
  <si>
    <t>Product 020</t>
  </si>
  <si>
    <t>Product 021</t>
  </si>
  <si>
    <t>Product 022</t>
  </si>
  <si>
    <t>Product 023</t>
  </si>
  <si>
    <t>Product 024</t>
  </si>
  <si>
    <t>Product 025</t>
  </si>
  <si>
    <t>Product 026</t>
  </si>
  <si>
    <t>Product 027</t>
  </si>
  <si>
    <t>Product 028</t>
  </si>
  <si>
    <t>Product 029</t>
  </si>
  <si>
    <t>Product 030</t>
  </si>
  <si>
    <t>Product 031</t>
  </si>
  <si>
    <t>Product 032</t>
  </si>
  <si>
    <t>Product 033</t>
  </si>
  <si>
    <t>Product 034</t>
  </si>
  <si>
    <t>Product 035</t>
  </si>
  <si>
    <t>Groceries</t>
  </si>
  <si>
    <t>Product 036</t>
  </si>
  <si>
    <t>Product 037</t>
  </si>
  <si>
    <t>Product 038</t>
  </si>
  <si>
    <t>Product 039</t>
  </si>
  <si>
    <t>Product 040</t>
  </si>
  <si>
    <t>Product 041</t>
  </si>
  <si>
    <t>Product 042</t>
  </si>
  <si>
    <t>Product 043</t>
  </si>
  <si>
    <t>Product 044</t>
  </si>
  <si>
    <t>Product 045</t>
  </si>
  <si>
    <t>Product 046</t>
  </si>
  <si>
    <t>Product 047</t>
  </si>
  <si>
    <t>Product 048</t>
  </si>
  <si>
    <t>Product 049</t>
  </si>
  <si>
    <t>Product 050</t>
  </si>
  <si>
    <t>Product 051</t>
  </si>
  <si>
    <t>Product 052</t>
  </si>
  <si>
    <t>Product 053</t>
  </si>
  <si>
    <t>Product 054</t>
  </si>
  <si>
    <t>Product 055</t>
  </si>
  <si>
    <t>Product 056</t>
  </si>
  <si>
    <t>Product 057</t>
  </si>
  <si>
    <t>Product 058</t>
  </si>
  <si>
    <t>Product 059</t>
  </si>
  <si>
    <t>Product 060</t>
  </si>
  <si>
    <t>Product 061</t>
  </si>
  <si>
    <t>Product 062</t>
  </si>
  <si>
    <t>Product 063</t>
  </si>
  <si>
    <t>Product 064</t>
  </si>
  <si>
    <t>Product 065</t>
  </si>
  <si>
    <t>Product 066</t>
  </si>
  <si>
    <t>Product 067</t>
  </si>
  <si>
    <t>Product 068</t>
  </si>
  <si>
    <t>Product 069</t>
  </si>
  <si>
    <t>Product 070</t>
  </si>
  <si>
    <t>Product 071</t>
  </si>
  <si>
    <t>Product 072</t>
  </si>
  <si>
    <t>Product 073</t>
  </si>
  <si>
    <t>Product 074</t>
  </si>
  <si>
    <t>Product 075</t>
  </si>
  <si>
    <t>Product 076</t>
  </si>
  <si>
    <t>Product 077</t>
  </si>
  <si>
    <t>Product 078</t>
  </si>
  <si>
    <t>Product 079</t>
  </si>
  <si>
    <t>Product 080</t>
  </si>
  <si>
    <t>Product 081</t>
  </si>
  <si>
    <t>Product 082</t>
  </si>
  <si>
    <t>Product 083</t>
  </si>
  <si>
    <t>Product 084</t>
  </si>
  <si>
    <t>Product 085</t>
  </si>
  <si>
    <t>Product 086</t>
  </si>
  <si>
    <t>Product 087</t>
  </si>
  <si>
    <t>Product 088</t>
  </si>
  <si>
    <t>Product 089</t>
  </si>
  <si>
    <t>Product 090</t>
  </si>
  <si>
    <t>Product 091</t>
  </si>
  <si>
    <t>Product 092</t>
  </si>
  <si>
    <t>Product 093</t>
  </si>
  <si>
    <t>Product 094</t>
  </si>
  <si>
    <t>Product 095</t>
  </si>
  <si>
    <t>Product 096</t>
  </si>
  <si>
    <t>Product 097</t>
  </si>
  <si>
    <t>Product 098</t>
  </si>
  <si>
    <t>Product 099</t>
  </si>
  <si>
    <t>Product 100</t>
  </si>
  <si>
    <t>profit_per_sale</t>
  </si>
  <si>
    <t>Products.product_id</t>
  </si>
  <si>
    <t>Products.category</t>
  </si>
  <si>
    <t>Products.product_name</t>
  </si>
  <si>
    <t>Products.cost_price</t>
  </si>
  <si>
    <t>Products.selling_price</t>
  </si>
  <si>
    <t>Sales.sale_id</t>
  </si>
  <si>
    <t>Sales.date</t>
  </si>
  <si>
    <t>Sales.branch_id</t>
  </si>
  <si>
    <t>Sales.customer_id</t>
  </si>
  <si>
    <t>Sales.product_id</t>
  </si>
  <si>
    <t>Sales.quantity</t>
  </si>
  <si>
    <t>Sales.price</t>
  </si>
  <si>
    <t>Sales.discount</t>
  </si>
  <si>
    <t>Sales.total_amount</t>
  </si>
  <si>
    <t>profit_per.sale</t>
  </si>
  <si>
    <t>Games</t>
  </si>
  <si>
    <t>Shoes</t>
  </si>
  <si>
    <t>Phones</t>
  </si>
  <si>
    <t>Jewelry</t>
  </si>
  <si>
    <t>Women's Fashion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</si>
  <si>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</si>
  <si>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</si>
  <si>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</si>
  <si>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</si>
  <si>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</si>
  <si>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</si>
  <si>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</si>
  <si>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</si>
  <si>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</si>
  <si>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</si>
  <si>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</si>
  <si>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</si>
  <si>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</si>
  <si>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</si>
  <si>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</si>
  <si>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</si>
  <si>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</si>
  <si>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</si>
  <si>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</si>
  <si>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</si>
  <si>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</si>
  <si>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</si>
  <si>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</si>
  <si>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</si>
  <si>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</si>
  <si>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</si>
  <si>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</si>
  <si>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</si>
  <si>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</si>
  <si>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</si>
  <si>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</si>
  <si>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</si>
  <si>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</si>
  <si>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</si>
  <si>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</si>
  <si>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</si>
  <si>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</si>
  <si>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</si>
  <si>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</si>
  <si>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</si>
  <si>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</si>
  <si>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</si>
  <si>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</si>
  <si>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</si>
  <si>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</si>
  <si>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</si>
  <si>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</si>
  <si>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</si>
  <si>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</si>
  <si>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</si>
  <si>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</si>
  <si>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</si>
  <si>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</si>
  <si>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</si>
  <si>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</si>
  <si>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</si>
  <si>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</si>
  <si>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</si>
  <si>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</si>
  <si>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</si>
  <si>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</si>
  <si>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</si>
  <si>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</si>
  <si>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</si>
  <si>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</si>
  <si>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</si>
  <si>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</si>
  <si>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</si>
  <si>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</si>
  <si>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</si>
  <si>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</si>
  <si>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</si>
  <si>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</si>
  <si>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</si>
  <si>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</si>
  <si>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</si>
  <si>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</si>
  <si>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</si>
  <si>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</si>
  <si>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</si>
  <si>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</si>
  <si>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</si>
  <si>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</si>
  <si>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</si>
  <si>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</si>
  <si>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</si>
  <si>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</si>
  <si>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</si>
  <si>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</si>
  <si>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</si>
  <si>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</si>
  <si>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</si>
  <si>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</si>
  <si>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</si>
  <si>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</si>
  <si>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</si>
  <si>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</si>
  <si>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</si>
  <si>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</si>
  <si>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</si>
  <si>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</si>
  <si>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</si>
  <si>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</si>
  <si>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</si>
  <si>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</si>
  <si>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</si>
  <si>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</si>
  <si>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</si>
  <si>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</si>
  <si>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</si>
  <si>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</si>
  <si>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</si>
  <si>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</si>
  <si>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</si>
  <si>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</si>
  <si>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</si>
  <si>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</si>
  <si>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</si>
  <si>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</si>
  <si>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</si>
  <si>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</si>
  <si>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</si>
  <si>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</si>
  <si>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</si>
  <si>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</si>
  <si>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</si>
  <si>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</si>
  <si>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</si>
  <si>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</si>
  <si>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</si>
  <si>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</si>
  <si>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</si>
  <si>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</si>
  <si>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</si>
  <si>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</si>
  <si>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</si>
  <si>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</si>
  <si>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</si>
  <si>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</si>
  <si>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</si>
  <si>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</si>
  <si>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</si>
  <si>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</si>
  <si>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</si>
  <si>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</si>
  <si>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</si>
  <si>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</si>
  <si>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</si>
  <si>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</si>
  <si>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</si>
  <si>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</si>
  <si>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</si>
  <si>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</si>
  <si>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</si>
  <si>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</si>
  <si>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</si>
  <si>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</si>
  <si>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</si>
  <si>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</si>
  <si>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</si>
  <si>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</si>
  <si>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</si>
  <si>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</si>
  <si>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</si>
  <si>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</si>
  <si>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</si>
  <si>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</si>
  <si>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</si>
  <si>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</si>
  <si>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</si>
  <si>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</si>
  <si>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</si>
  <si>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</si>
  <si>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</si>
  <si>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</si>
  <si>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</si>
  <si>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</si>
  <si>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</si>
  <si>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</si>
  <si>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</si>
  <si>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</si>
  <si>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</si>
  <si>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</si>
  <si>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</si>
  <si>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</si>
  <si>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</si>
  <si>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</si>
  <si>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</si>
  <si>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</si>
  <si>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</si>
  <si>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</si>
  <si>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</si>
  <si>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</si>
  <si>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</si>
  <si>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</si>
  <si>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</si>
  <si>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</si>
  <si>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</si>
  <si>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</si>
  <si>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</si>
  <si>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</si>
  <si>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</si>
  <si>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</si>
  <si>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</si>
  <si>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</si>
  <si>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</si>
  <si>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</si>
  <si>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</si>
  <si>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</si>
  <si>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</si>
  <si>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</si>
  <si>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</si>
  <si>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</si>
  <si>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</si>
  <si>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</si>
  <si>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</si>
  <si>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</si>
  <si>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</si>
  <si>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</si>
  <si>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</si>
  <si>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</si>
  <si>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</si>
  <si>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</si>
  <si>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</si>
  <si>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</si>
  <si>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</si>
  <si>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</si>
  <si>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</si>
  <si>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</si>
  <si>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</si>
  <si>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</si>
  <si>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</si>
  <si>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</si>
  <si>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</si>
  <si>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</si>
  <si>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</si>
  <si>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</si>
  <si>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</si>
  <si>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</si>
  <si>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</si>
  <si>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</si>
  <si>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</si>
  <si>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</si>
  <si>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</si>
  <si>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</si>
  <si>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</si>
  <si>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</si>
  <si>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</si>
  <si>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</si>
  <si>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</si>
  <si>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</si>
  <si>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</si>
  <si>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</si>
  <si>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</si>
  <si>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</si>
  <si>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</si>
  <si>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</si>
  <si>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</si>
  <si>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</si>
  <si>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</si>
  <si>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</si>
  <si>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</si>
  <si>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</si>
  <si>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</si>
  <si>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</si>
  <si>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</si>
  <si>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</si>
  <si>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</si>
  <si>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</si>
  <si>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</si>
  <si>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</si>
  <si>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</si>
  <si>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</si>
  <si>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</si>
  <si>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</si>
  <si>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</si>
  <si>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</si>
  <si>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</si>
  <si>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</si>
  <si>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</si>
  <si>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</si>
  <si>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</si>
  <si>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</si>
  <si>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</si>
  <si>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</si>
  <si>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</si>
  <si>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</si>
  <si>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</si>
  <si>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</si>
  <si>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</si>
  <si>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</si>
  <si>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</si>
  <si>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</si>
  <si>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</si>
  <si>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</si>
  <si>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</si>
  <si>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</si>
  <si>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</si>
  <si>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</si>
  <si>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</si>
  <si>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</si>
  <si>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</si>
  <si>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</si>
  <si>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</si>
  <si>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</si>
  <si>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</si>
  <si>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</si>
  <si>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</si>
  <si>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</si>
  <si>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</si>
  <si>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</si>
  <si>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</si>
  <si>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</si>
  <si>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</si>
  <si>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</si>
  <si>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</si>
  <si>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</si>
  <si>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</si>
  <si>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</si>
  <si>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</si>
  <si>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</si>
  <si>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</si>
  <si>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</si>
  <si>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</si>
  <si>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</si>
  <si>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</si>
  <si>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</si>
  <si>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</si>
  <si>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</si>
  <si>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</si>
  <si>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</si>
  <si>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</si>
  <si>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</si>
  <si>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</si>
  <si>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</si>
  <si>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</si>
  <si>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</si>
  <si>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</si>
  <si>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</si>
  <si>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</si>
  <si>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</si>
  <si>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</si>
  <si>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</si>
  <si>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</si>
  <si>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</si>
  <si>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</si>
  <si>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</si>
  <si>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</si>
  <si>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</si>
  <si>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</si>
  <si>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</si>
  <si>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</si>
  <si>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</si>
  <si>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</si>
  <si>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</si>
  <si>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</si>
  <si>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</si>
  <si>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</si>
  <si>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</si>
  <si>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</si>
  <si>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</si>
  <si>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</si>
  <si>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</si>
  <si>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</si>
  <si>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</si>
  <si>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</si>
  <si>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</si>
  <si>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</si>
  <si>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</si>
  <si>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</si>
  <si>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</si>
  <si>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</si>
  <si>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</si>
  <si>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</si>
  <si>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</si>
  <si>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</si>
  <si>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</si>
  <si>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</si>
  <si>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</si>
  <si>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</si>
  <si>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</si>
  <si>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</si>
  <si>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</si>
  <si>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</si>
  <si>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</si>
  <si>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</si>
  <si>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</si>
  <si>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</si>
  <si>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</si>
  <si>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</si>
  <si>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</si>
  <si>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</si>
  <si>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</si>
  <si>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</si>
  <si>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</si>
  <si>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</si>
  <si>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</si>
  <si>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</si>
  <si>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</si>
  <si>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</si>
  <si>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Home Appliances</t>
  </si>
  <si>
    <t>Frequency table</t>
  </si>
  <si>
    <t>first_purchase</t>
  </si>
  <si>
    <t>tenure_months</t>
  </si>
  <si>
    <t>month</t>
  </si>
  <si>
    <t>year</t>
  </si>
  <si>
    <t>day</t>
  </si>
  <si>
    <t>sales_Month</t>
  </si>
  <si>
    <t>Row Labels</t>
  </si>
  <si>
    <t>Grand Total</t>
  </si>
  <si>
    <t>Sum of Sales.total_amount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</si>
  <si>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</si>
  <si>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</si>
  <si>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</si>
  <si>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</si>
  <si>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</si>
  <si>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</si>
  <si>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</si>
  <si>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</si>
  <si>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</si>
  <si>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</si>
  <si>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</si>
  <si>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</si>
  <si>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Customer004</t>
  </si>
  <si>
    <t>Customer009</t>
  </si>
  <si>
    <t>Customer014</t>
  </si>
  <si>
    <t>Customer015</t>
  </si>
  <si>
    <t>Customer018</t>
  </si>
  <si>
    <t>Customer023</t>
  </si>
  <si>
    <t>Customer030</t>
  </si>
  <si>
    <t>Customer032</t>
  </si>
  <si>
    <t>Customer037</t>
  </si>
  <si>
    <t>Customer060</t>
  </si>
  <si>
    <t>(blank)</t>
  </si>
  <si>
    <t>Sum of Sales.quantity</t>
  </si>
  <si>
    <t>Count of name</t>
  </si>
  <si>
    <t>Average of Sales.total_amount</t>
  </si>
  <si>
    <t>Count of Frequency table</t>
  </si>
  <si>
    <t>Sum of profit_per.sale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</si>
  <si>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</si>
  <si>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</si>
  <si>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</si>
  <si>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</si>
  <si>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</si>
  <si>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</si>
  <si>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</si>
  <si>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</si>
  <si>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</si>
  <si>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</si>
  <si>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</si>
  <si>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Count of Sales.quantity</t>
  </si>
  <si>
    <t>Sum of Products.cost_price</t>
  </si>
  <si>
    <t>Average of Products.selling_price</t>
  </si>
  <si>
    <t>Average of profit_per.sale</t>
  </si>
  <si>
    <t>Average of Products.cost_price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</si>
</sst>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[$-F800]dddd\,\ mmmm\ dd\,\ yyyy"/>
    <numFmt numFmtId="166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3" borderId="3" xfId="0" applyFill="1" applyBorder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14" fontId="0" fillId="0" borderId="0" xfId="0" applyNumberFormat="1"/>
    <xf numFmtId="0" fontId="3" fillId="4" borderId="4" xfId="0" applyFont="1" applyFill="1" applyBorder="1" applyAlignment="1">
      <alignment horizontal="center" vertical="top"/>
    </xf>
    <xf numFmtId="0" fontId="0" fillId="3" borderId="5" xfId="0" applyFill="1" applyBorder="1"/>
    <xf numFmtId="0" fontId="0" fillId="3" borderId="6" xfId="0" applyFill="1" applyBorder="1"/>
    <xf numFmtId="0" fontId="0" fillId="2" borderId="5" xfId="0" applyFill="1" applyBorder="1"/>
    <xf numFmtId="0" fontId="0" fillId="2" borderId="6" xfId="0" applyFill="1" applyBorder="1"/>
    <xf numFmtId="7" fontId="0" fillId="0" borderId="0" xfId="1" applyNumberFormat="1" applyFont="1"/>
    <xf numFmtId="9" fontId="0" fillId="0" borderId="0" xfId="1" applyNumberFormat="1" applyFont="1"/>
    <xf numFmtId="0" fontId="0" fillId="0" borderId="7" xfId="0" applyBorder="1"/>
    <xf numFmtId="0" fontId="5" fillId="5" borderId="9" xfId="0" applyFont="1" applyFill="1" applyBorder="1"/>
    <xf numFmtId="14" fontId="5" fillId="5" borderId="9" xfId="0" applyNumberFormat="1" applyFont="1" applyFill="1" applyBorder="1"/>
    <xf numFmtId="7" fontId="5" fillId="5" borderId="9" xfId="1" applyNumberFormat="1" applyFont="1" applyFill="1" applyBorder="1"/>
    <xf numFmtId="9" fontId="5" fillId="5" borderId="9" xfId="1" applyNumberFormat="1" applyFont="1" applyFill="1" applyBorder="1"/>
    <xf numFmtId="164" fontId="5" fillId="5" borderId="10" xfId="0" applyNumberFormat="1" applyFont="1" applyFill="1" applyBorder="1"/>
    <xf numFmtId="0" fontId="0" fillId="6" borderId="9" xfId="0" applyFill="1" applyBorder="1"/>
    <xf numFmtId="14" fontId="0" fillId="6" borderId="9" xfId="0" applyNumberFormat="1" applyFill="1" applyBorder="1"/>
    <xf numFmtId="7" fontId="0" fillId="6" borderId="9" xfId="1" applyNumberFormat="1" applyFont="1" applyFill="1" applyBorder="1"/>
    <xf numFmtId="9" fontId="0" fillId="6" borderId="9" xfId="1" applyNumberFormat="1" applyFont="1" applyFill="1" applyBorder="1"/>
    <xf numFmtId="164" fontId="0" fillId="6" borderId="10" xfId="1" applyNumberFormat="1" applyFont="1" applyFill="1" applyBorder="1"/>
    <xf numFmtId="0" fontId="0" fillId="0" borderId="9" xfId="0" applyBorder="1"/>
    <xf numFmtId="7" fontId="0" fillId="0" borderId="9" xfId="1" applyNumberFormat="1" applyFont="1" applyBorder="1"/>
    <xf numFmtId="9" fontId="0" fillId="0" borderId="9" xfId="1" applyNumberFormat="1" applyFont="1" applyBorder="1"/>
    <xf numFmtId="164" fontId="0" fillId="0" borderId="10" xfId="1" applyNumberFormat="1" applyFont="1" applyBorder="1"/>
    <xf numFmtId="7" fontId="0" fillId="0" borderId="7" xfId="1" applyNumberFormat="1" applyFont="1" applyBorder="1"/>
    <xf numFmtId="9" fontId="0" fillId="0" borderId="7" xfId="1" applyNumberFormat="1" applyFont="1" applyBorder="1"/>
    <xf numFmtId="164" fontId="0" fillId="0" borderId="8" xfId="1" applyNumberFormat="1" applyFont="1" applyBorder="1"/>
    <xf numFmtId="2" fontId="5" fillId="5" borderId="9" xfId="0" applyNumberFormat="1" applyFont="1" applyFill="1" applyBorder="1"/>
    <xf numFmtId="2" fontId="0" fillId="6" borderId="9" xfId="0" applyNumberFormat="1" applyFill="1" applyBorder="1"/>
    <xf numFmtId="2" fontId="0" fillId="0" borderId="9" xfId="0" applyNumberFormat="1" applyBorder="1"/>
    <xf numFmtId="2" fontId="0" fillId="0" borderId="7" xfId="0" applyNumberFormat="1" applyBorder="1"/>
    <xf numFmtId="2" fontId="0" fillId="0" borderId="0" xfId="0" applyNumberFormat="1"/>
    <xf numFmtId="1" fontId="5" fillId="5" borderId="9" xfId="0" applyNumberFormat="1" applyFont="1" applyFill="1" applyBorder="1"/>
    <xf numFmtId="1" fontId="0" fillId="6" borderId="9" xfId="0" applyNumberFormat="1" applyFill="1" applyBorder="1"/>
    <xf numFmtId="1" fontId="0" fillId="0" borderId="9" xfId="0" applyNumberFormat="1" applyBorder="1"/>
    <xf numFmtId="1" fontId="0" fillId="0" borderId="7" xfId="0" applyNumberFormat="1" applyBorder="1"/>
    <xf numFmtId="1" fontId="0" fillId="0" borderId="0" xfId="0" applyNumberFormat="1"/>
    <xf numFmtId="165" fontId="0" fillId="6" borderId="9" xfId="0" applyNumberFormat="1" applyFill="1" applyBorder="1"/>
    <xf numFmtId="165" fontId="0" fillId="0" borderId="9" xfId="0" applyNumberFormat="1" applyBorder="1"/>
    <xf numFmtId="165" fontId="0" fillId="0" borderId="7" xfId="0" applyNumberFormat="1" applyBorder="1"/>
    <xf numFmtId="165" fontId="0" fillId="0" borderId="0" xfId="0" applyNumberFormat="1"/>
    <xf numFmtId="165" fontId="5" fillId="5" borderId="0" xfId="0" applyNumberFormat="1" applyFont="1" applyFill="1"/>
    <xf numFmtId="14" fontId="5" fillId="5" borderId="0" xfId="0" applyNumberFormat="1" applyFont="1" applyFill="1"/>
    <xf numFmtId="0" fontId="5" fillId="5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left" indent="1"/>
    </xf>
    <xf numFmtId="166" fontId="0" fillId="0" borderId="0" xfId="0" pivotButton="1" applyNumberFormat="1"/>
    <xf numFmtId="166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149"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1" formatCode="&quot;$&quot;#,##0.00_);\(&quot;$&quot;#,##0.00\)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1" formatCode="&quot;$&quot;#,##0.00_);\(&quot;$&quot;#,##0.00\)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65" formatCode="[$-F800]dddd\,\ mmmm\ dd\,\ 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65" formatCode="[$-F800]dddd\,\ mmmm\ dd\,\ 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0" formatCode="General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0" formatCode="General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0" formatCode="General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0894659802140118"/>
          <c:y val="0.39254210685975804"/>
          <c:w val="0.32868842115889363"/>
          <c:h val="0.51533058995766245"/>
        </c:manualLayout>
      </c:layout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1F-4DDD-83D1-DC44616D74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1F-4DDD-83D1-DC44616D74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1F-4DDD-83D1-DC44616D74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1F-4DDD-83D1-DC44616D7475}"/>
              </c:ext>
            </c:extLst>
          </c:dPt>
          <c:cat>
            <c:strRef>
              <c:f>Sheet2!$A$4:$A$8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"$"#,##0</c:formatCode>
                <c:ptCount val="4"/>
                <c:pt idx="0">
                  <c:v>46055.02199999999</c:v>
                </c:pt>
                <c:pt idx="1">
                  <c:v>44082.313999999998</c:v>
                </c:pt>
                <c:pt idx="2">
                  <c:v>35473.128000000004</c:v>
                </c:pt>
                <c:pt idx="3">
                  <c:v>31558.983999999993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5-483F-9AC9-752FA45C4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Sheet2!$A$11:$A$21</c:f>
              <c:strCache>
                <c:ptCount val="10"/>
                <c:pt idx="0">
                  <c:v>Games</c:v>
                </c:pt>
                <c:pt idx="1">
                  <c:v>Home Appliances</c:v>
                </c:pt>
                <c:pt idx="2">
                  <c:v>Shoes</c:v>
                </c:pt>
                <c:pt idx="3">
                  <c:v>Clothing</c:v>
                </c:pt>
                <c:pt idx="4">
                  <c:v>Sports</c:v>
                </c:pt>
                <c:pt idx="5">
                  <c:v>Toys</c:v>
                </c:pt>
                <c:pt idx="6">
                  <c:v>Jewelry</c:v>
                </c:pt>
                <c:pt idx="7">
                  <c:v>Beauty</c:v>
                </c:pt>
                <c:pt idx="8">
                  <c:v>Groceries</c:v>
                </c:pt>
                <c:pt idx="9">
                  <c:v>(blank)</c:v>
                </c:pt>
              </c:strCache>
            </c:strRef>
          </c:cat>
          <c:val>
            <c:numRef>
              <c:f>Sheet2!$B$11:$B$21</c:f>
              <c:numCache>
                <c:formatCode>"$"#,##0</c:formatCode>
                <c:ptCount val="10"/>
                <c:pt idx="0">
                  <c:v>42012.250999999997</c:v>
                </c:pt>
                <c:pt idx="1">
                  <c:v>22697.025999999994</c:v>
                </c:pt>
                <c:pt idx="2">
                  <c:v>21512.948500000002</c:v>
                </c:pt>
                <c:pt idx="3">
                  <c:v>19290.311500000003</c:v>
                </c:pt>
                <c:pt idx="4">
                  <c:v>14040.186500000003</c:v>
                </c:pt>
                <c:pt idx="5">
                  <c:v>11326.557999999995</c:v>
                </c:pt>
                <c:pt idx="6">
                  <c:v>10945.068500000001</c:v>
                </c:pt>
                <c:pt idx="7">
                  <c:v>8660.1764999999996</c:v>
                </c:pt>
                <c:pt idx="8">
                  <c:v>6453.5014999999994</c:v>
                </c:pt>
                <c:pt idx="9">
                  <c:v>231.42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5-4722-BA2F-8E70C1488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3492784"/>
        <c:axId val="253494448"/>
      </c:barChart>
      <c:catAx>
        <c:axId val="25349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494448"/>
        <c:crosses val="autoZero"/>
        <c:auto val="1"/>
        <c:lblAlgn val="ctr"/>
        <c:lblOffset val="100"/>
        <c:noMultiLvlLbl val="0"/>
      </c:catAx>
      <c:valAx>
        <c:axId val="25349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49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Sheet2!$D$4:$D$9</c:f>
              <c:strCache>
                <c:ptCount val="5"/>
                <c:pt idx="0">
                  <c:v>Oct</c:v>
                </c:pt>
                <c:pt idx="1">
                  <c:v>Aug</c:v>
                </c:pt>
                <c:pt idx="2">
                  <c:v>Jul</c:v>
                </c:pt>
                <c:pt idx="3">
                  <c:v>Sep</c:v>
                </c:pt>
                <c:pt idx="4">
                  <c:v>Nov</c:v>
                </c:pt>
              </c:strCache>
            </c:strRef>
          </c:cat>
          <c:val>
            <c:numRef>
              <c:f>Sheet2!$E$4:$E$9</c:f>
              <c:numCache>
                <c:formatCode>"$"#,##0</c:formatCode>
                <c:ptCount val="5"/>
                <c:pt idx="0">
                  <c:v>18205.103500000005</c:v>
                </c:pt>
                <c:pt idx="1">
                  <c:v>16683.512499999997</c:v>
                </c:pt>
                <c:pt idx="2">
                  <c:v>16488.863000000005</c:v>
                </c:pt>
                <c:pt idx="3">
                  <c:v>16194.354499999999</c:v>
                </c:pt>
                <c:pt idx="4">
                  <c:v>15678.492500000002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9-42FD-BB80-6AEA2552E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721872"/>
        <c:axId val="1150784544"/>
      </c:barChart>
      <c:catAx>
        <c:axId val="14017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784544"/>
        <c:crosses val="autoZero"/>
        <c:auto val="1"/>
        <c:lblAlgn val="ctr"/>
        <c:lblOffset val="100"/>
        <c:noMultiLvlLbl val="0"/>
      </c:catAx>
      <c:valAx>
        <c:axId val="115078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7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Sheet2!$H$16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Sheet2!$G$17:$G$29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Jul</c:v>
                </c:pt>
                <c:pt idx="3">
                  <c:v>Apr</c:v>
                </c:pt>
                <c:pt idx="4">
                  <c:v>Aug</c:v>
                </c:pt>
                <c:pt idx="5">
                  <c:v>Sep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Jan</c:v>
                </c:pt>
                <c:pt idx="10">
                  <c:v>Feb</c:v>
                </c:pt>
                <c:pt idx="11">
                  <c:v>Dec</c:v>
                </c:pt>
              </c:strCache>
            </c:strRef>
          </c:cat>
          <c:val>
            <c:numRef>
              <c:f>Sheet2!$H$17:$H$29</c:f>
              <c:numCache>
                <c:formatCode>General</c:formatCode>
                <c:ptCount val="12"/>
                <c:pt idx="0">
                  <c:v>78</c:v>
                </c:pt>
                <c:pt idx="1">
                  <c:v>77</c:v>
                </c:pt>
                <c:pt idx="2">
                  <c:v>68</c:v>
                </c:pt>
                <c:pt idx="3">
                  <c:v>65</c:v>
                </c:pt>
                <c:pt idx="4">
                  <c:v>62</c:v>
                </c:pt>
                <c:pt idx="5">
                  <c:v>57</c:v>
                </c:pt>
                <c:pt idx="6">
                  <c:v>55</c:v>
                </c:pt>
                <c:pt idx="7">
                  <c:v>54</c:v>
                </c:pt>
                <c:pt idx="8">
                  <c:v>52</c:v>
                </c:pt>
                <c:pt idx="9">
                  <c:v>44</c:v>
                </c:pt>
                <c:pt idx="10">
                  <c:v>35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5A-4EEF-B22F-9F7A0797C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4976272"/>
        <c:axId val="1414977104"/>
      </c:lineChart>
      <c:catAx>
        <c:axId val="141497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77104"/>
        <c:crosses val="autoZero"/>
        <c:auto val="1"/>
        <c:lblAlgn val="ctr"/>
        <c:lblOffset val="100"/>
        <c:noMultiLvlLbl val="0"/>
      </c:catAx>
      <c:valAx>
        <c:axId val="141497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7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Systems.xlsx]Sheet2!PivotTable19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Sheet2!$E$40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DC-4226-8C67-13FFAF5DF2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DC-4226-8C67-13FFAF5DF2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DC-4226-8C67-13FFAF5DF2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DC-4226-8C67-13FFAF5DF21C}"/>
              </c:ext>
            </c:extLst>
          </c:dPt>
          <c:cat>
            <c:strRef>
              <c:f>Sheet2!$D$41:$D$45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Sheet2!$E$41:$E$45</c:f>
              <c:numCache>
                <c:formatCode>"$"#,##0</c:formatCode>
                <c:ptCount val="4"/>
                <c:pt idx="0">
                  <c:v>11918.316000000001</c:v>
                </c:pt>
                <c:pt idx="1">
                  <c:v>18642.998</c:v>
                </c:pt>
                <c:pt idx="2">
                  <c:v>14969.366</c:v>
                </c:pt>
                <c:pt idx="3">
                  <c:v>12396.872000000001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6-45AE-A451-AF3D288A2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Sheet2!$H$33</c:f>
              <c:strCache>
                <c:ptCount val="1"/>
                <c:pt idx="0">
                  <c:v>Count of Frequency 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Sheet2!$G$34:$G$38</c:f>
              <c:strCache>
                <c:ptCount val="4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Sheet2!$H$34:$H$38</c:f>
              <c:numCache>
                <c:formatCode>General</c:formatCode>
                <c:ptCount val="4"/>
                <c:pt idx="0">
                  <c:v>221</c:v>
                </c:pt>
                <c:pt idx="1">
                  <c:v>114</c:v>
                </c:pt>
                <c:pt idx="2">
                  <c:v>31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F-4711-85F1-2F9783A8E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7647232"/>
        <c:axId val="947645568"/>
      </c:barChart>
      <c:lineChart>
        <c:grouping val="stacked"/>
        <c:varyColors val="0"/>
        <c:ser>
          <c:idx val="1"/>
          <c:order val="1"/>
          <c:tx>
            <c:strRef>
              <c:f>Sheet2!$I$33</c:f>
              <c:strCache>
                <c:ptCount val="1"/>
                <c:pt idx="0">
                  <c:v>Average of Sales.total_amount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Sheet2!$G$34:$G$38</c:f>
              <c:strCache>
                <c:ptCount val="4"/>
                <c:pt idx="0">
                  <c:v>Bronze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Sheet2!$I$34:$I$38</c:f>
              <c:numCache>
                <c:formatCode>"$"#,##0</c:formatCode>
                <c:ptCount val="4"/>
                <c:pt idx="0">
                  <c:v>331.05114932126719</c:v>
                </c:pt>
                <c:pt idx="1">
                  <c:v>292.74518859649123</c:v>
                </c:pt>
                <c:pt idx="2">
                  <c:v>272.86961290322586</c:v>
                </c:pt>
                <c:pt idx="3">
                  <c:v>317.10702631578948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1F-4711-85F1-2F9783A8E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647232"/>
        <c:axId val="947645568"/>
      </c:lineChart>
      <c:catAx>
        <c:axId val="94764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45568"/>
        <c:crosses val="autoZero"/>
        <c:auto val="1"/>
        <c:lblAlgn val="ctr"/>
        <c:lblOffset val="100"/>
        <c:noMultiLvlLbl val="0"/>
      </c:catAx>
      <c:valAx>
        <c:axId val="9476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4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Sheet2!$N$11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Sheet2!$M$12:$M$59</c:f>
              <c:multiLvlStrCache>
                <c:ptCount val="35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2023</c:v>
                  </c:pt>
                  <c:pt idx="10">
                    <c:v>2024</c:v>
                  </c:pt>
                  <c:pt idx="11">
                    <c:v>2025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2025</c:v>
                  </c:pt>
                  <c:pt idx="27">
                    <c:v>2023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2023</c:v>
                  </c:pt>
                  <c:pt idx="31">
                    <c:v>2025</c:v>
                  </c:pt>
                  <c:pt idx="32">
                    <c:v>2023</c:v>
                  </c:pt>
                  <c:pt idx="33">
                    <c:v>2024</c:v>
                  </c:pt>
                  <c:pt idx="34">
                    <c:v>2025</c:v>
                  </c:pt>
                </c:lvl>
                <c:lvl>
                  <c:pt idx="0">
                    <c:v>January</c:v>
                  </c:pt>
                  <c:pt idx="3">
                    <c:v>February</c:v>
                  </c:pt>
                  <c:pt idx="6">
                    <c:v>March</c:v>
                  </c:pt>
                  <c:pt idx="9">
                    <c:v>April</c:v>
                  </c:pt>
                  <c:pt idx="12">
                    <c:v>May</c:v>
                  </c:pt>
                  <c:pt idx="15">
                    <c:v>June</c:v>
                  </c:pt>
                  <c:pt idx="18">
                    <c:v>July</c:v>
                  </c:pt>
                  <c:pt idx="21">
                    <c:v>August</c:v>
                  </c:pt>
                  <c:pt idx="24">
                    <c:v>September</c:v>
                  </c:pt>
                  <c:pt idx="27">
                    <c:v>October</c:v>
                  </c:pt>
                  <c:pt idx="30">
                    <c:v>November</c:v>
                  </c:pt>
                  <c:pt idx="32">
                    <c:v>December</c:v>
                  </c:pt>
                </c:lvl>
              </c:multiLvlStrCache>
            </c:multiLvlStrRef>
          </c:cat>
          <c:val>
            <c:numRef>
              <c:f>Sheet2!$N$12:$N$59</c:f>
              <c:numCache>
                <c:formatCode>"$"#,##0</c:formatCode>
                <c:ptCount val="35"/>
                <c:pt idx="0">
                  <c:v>3872.2064999999993</c:v>
                </c:pt>
                <c:pt idx="1">
                  <c:v>1038.4340000000002</c:v>
                </c:pt>
                <c:pt idx="2">
                  <c:v>1337.4244999999999</c:v>
                </c:pt>
                <c:pt idx="3">
                  <c:v>951.15300000000013</c:v>
                </c:pt>
                <c:pt idx="4">
                  <c:v>2069.5119999999997</c:v>
                </c:pt>
                <c:pt idx="5">
                  <c:v>175.15000000000015</c:v>
                </c:pt>
                <c:pt idx="6">
                  <c:v>194.06650000000002</c:v>
                </c:pt>
                <c:pt idx="7">
                  <c:v>1999.2300000000002</c:v>
                </c:pt>
                <c:pt idx="8">
                  <c:v>136.14400000000006</c:v>
                </c:pt>
                <c:pt idx="9">
                  <c:v>1839.395</c:v>
                </c:pt>
                <c:pt idx="10">
                  <c:v>2412.4810000000002</c:v>
                </c:pt>
                <c:pt idx="11">
                  <c:v>3053.9879999999998</c:v>
                </c:pt>
                <c:pt idx="12">
                  <c:v>1143.9214999999999</c:v>
                </c:pt>
                <c:pt idx="13">
                  <c:v>2484.7995000000001</c:v>
                </c:pt>
                <c:pt idx="14">
                  <c:v>1096.0225</c:v>
                </c:pt>
                <c:pt idx="15">
                  <c:v>2597.4869999999992</c:v>
                </c:pt>
                <c:pt idx="16">
                  <c:v>3039.4230000000002</c:v>
                </c:pt>
                <c:pt idx="17">
                  <c:v>2354.7020000000002</c:v>
                </c:pt>
                <c:pt idx="18">
                  <c:v>3189.9589999999989</c:v>
                </c:pt>
                <c:pt idx="19">
                  <c:v>2030.9495000000004</c:v>
                </c:pt>
                <c:pt idx="20">
                  <c:v>536.58249999999998</c:v>
                </c:pt>
                <c:pt idx="21">
                  <c:v>436.17550000000006</c:v>
                </c:pt>
                <c:pt idx="22">
                  <c:v>102.9325</c:v>
                </c:pt>
                <c:pt idx="23">
                  <c:v>1287.4100000000001</c:v>
                </c:pt>
                <c:pt idx="24">
                  <c:v>1819.5500000000006</c:v>
                </c:pt>
                <c:pt idx="25">
                  <c:v>213.17000000000007</c:v>
                </c:pt>
                <c:pt idx="26">
                  <c:v>372.66399999999982</c:v>
                </c:pt>
                <c:pt idx="27">
                  <c:v>1844.0090000000002</c:v>
                </c:pt>
                <c:pt idx="28">
                  <c:v>47.5</c:v>
                </c:pt>
                <c:pt idx="29">
                  <c:v>3158.9714999999997</c:v>
                </c:pt>
                <c:pt idx="30">
                  <c:v>936.48499999999956</c:v>
                </c:pt>
                <c:pt idx="31">
                  <c:v>3197.7775000000006</c:v>
                </c:pt>
                <c:pt idx="32">
                  <c:v>1457.6209999999999</c:v>
                </c:pt>
                <c:pt idx="33">
                  <c:v>2738.2379999999994</c:v>
                </c:pt>
                <c:pt idx="34">
                  <c:v>2762.0170000000007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0-4ECE-AB1B-196A9DE56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224208"/>
        <c:axId val="1413233776"/>
      </c:lineChart>
      <c:catAx>
        <c:axId val="141322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233776"/>
        <c:crosses val="autoZero"/>
        <c:auto val="1"/>
        <c:lblAlgn val="ctr"/>
        <c:lblOffset val="100"/>
        <c:noMultiLvlLbl val="0"/>
      </c:catAx>
      <c:valAx>
        <c:axId val="14132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22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Systems.xlsx]Sheet2!PivotTable13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Sheet2!$J$17:$J$27</c:f>
              <c:strCache>
                <c:ptCount val="10"/>
                <c:pt idx="0">
                  <c:v>Beauty</c:v>
                </c:pt>
                <c:pt idx="1">
                  <c:v>Clothing</c:v>
                </c:pt>
                <c:pt idx="2">
                  <c:v>Games</c:v>
                </c:pt>
                <c:pt idx="3">
                  <c:v>Groceries</c:v>
                </c:pt>
                <c:pt idx="4">
                  <c:v>Home Appliances</c:v>
                </c:pt>
                <c:pt idx="5">
                  <c:v>Jewelry</c:v>
                </c:pt>
                <c:pt idx="6">
                  <c:v>Shoes</c:v>
                </c:pt>
                <c:pt idx="7">
                  <c:v>Sports</c:v>
                </c:pt>
                <c:pt idx="8">
                  <c:v>Toys</c:v>
                </c:pt>
                <c:pt idx="9">
                  <c:v>(blank)</c:v>
                </c:pt>
              </c:strCache>
            </c:strRef>
          </c:cat>
          <c:val>
            <c:numRef>
              <c:f>Sheet2!$K$17:$K$27</c:f>
              <c:numCache>
                <c:formatCode>"$"#,##0</c:formatCode>
                <c:ptCount val="10"/>
                <c:pt idx="0">
                  <c:v>2538.8634999999995</c:v>
                </c:pt>
                <c:pt idx="1">
                  <c:v>5350.6285000000007</c:v>
                </c:pt>
                <c:pt idx="2">
                  <c:v>19704.908999999992</c:v>
                </c:pt>
                <c:pt idx="3">
                  <c:v>1711.3185000000003</c:v>
                </c:pt>
                <c:pt idx="4">
                  <c:v>10044.194</c:v>
                </c:pt>
                <c:pt idx="5">
                  <c:v>3086.3314999999993</c:v>
                </c:pt>
                <c:pt idx="6">
                  <c:v>8074.2114999999967</c:v>
                </c:pt>
                <c:pt idx="7">
                  <c:v>3975.0135</c:v>
                </c:pt>
                <c:pt idx="8">
                  <c:v>3389.3019999999997</c:v>
                </c:pt>
                <c:pt idx="9">
                  <c:v>52.78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8-4092-BE7C-7ED56F891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564960"/>
        <c:axId val="1165562464"/>
      </c:barChart>
      <c:catAx>
        <c:axId val="116556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2464"/>
        <c:crosses val="autoZero"/>
        <c:auto val="1"/>
        <c:lblAlgn val="ctr"/>
        <c:lblOffset val="100"/>
        <c:noMultiLvlLbl val="0"/>
      </c:catAx>
      <c:valAx>
        <c:axId val="11655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Sheet2!$Q$3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Sheet2!$P$4:$P$7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Sheet2!$Q$4:$Q$7</c:f>
              <c:numCache>
                <c:formatCode>"$"#,##0</c:formatCode>
                <c:ptCount val="3"/>
                <c:pt idx="0">
                  <c:v>20282.028999999995</c:v>
                </c:pt>
                <c:pt idx="1">
                  <c:v>18176.669500000004</c:v>
                </c:pt>
                <c:pt idx="2">
                  <c:v>19468.853499999994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C-4011-BC04-B65B7E57A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2047872"/>
        <c:axId val="1412047040"/>
      </c:lineChart>
      <c:catAx>
        <c:axId val="141204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047040"/>
        <c:crosses val="autoZero"/>
        <c:auto val="1"/>
        <c:lblAlgn val="ctr"/>
        <c:lblOffset val="100"/>
        <c:noMultiLvlLbl val="0"/>
      </c:catAx>
      <c:valAx>
        <c:axId val="141204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04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Systems.xlsx]Sheet2!PivotTable20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Sheet2!$T$4</c:f>
              <c:strCache>
                <c:ptCount val="1"/>
                <c:pt idx="0">
                  <c:v>Count of Sales.quantity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Sheet2!$S$5:$S$15</c:f>
              <c:strCache>
                <c:ptCount val="10"/>
                <c:pt idx="0">
                  <c:v>Beauty</c:v>
                </c:pt>
                <c:pt idx="1">
                  <c:v>Clothing</c:v>
                </c:pt>
                <c:pt idx="2">
                  <c:v>Games</c:v>
                </c:pt>
                <c:pt idx="3">
                  <c:v>Groceries</c:v>
                </c:pt>
                <c:pt idx="4">
                  <c:v>Home Appliances</c:v>
                </c:pt>
                <c:pt idx="5">
                  <c:v>Jewelry</c:v>
                </c:pt>
                <c:pt idx="6">
                  <c:v>Shoes</c:v>
                </c:pt>
                <c:pt idx="7">
                  <c:v>Sports</c:v>
                </c:pt>
                <c:pt idx="8">
                  <c:v>Toys</c:v>
                </c:pt>
                <c:pt idx="9">
                  <c:v>(blank)</c:v>
                </c:pt>
              </c:strCache>
            </c:strRef>
          </c:cat>
          <c:val>
            <c:numRef>
              <c:f>Sheet2!$T$5:$T$15</c:f>
              <c:numCache>
                <c:formatCode>General</c:formatCode>
                <c:ptCount val="10"/>
                <c:pt idx="0">
                  <c:v>58</c:v>
                </c:pt>
                <c:pt idx="1">
                  <c:v>58</c:v>
                </c:pt>
                <c:pt idx="2">
                  <c:v>60</c:v>
                </c:pt>
                <c:pt idx="3">
                  <c:v>49</c:v>
                </c:pt>
                <c:pt idx="4">
                  <c:v>49</c:v>
                </c:pt>
                <c:pt idx="5">
                  <c:v>68</c:v>
                </c:pt>
                <c:pt idx="6">
                  <c:v>51</c:v>
                </c:pt>
                <c:pt idx="7">
                  <c:v>51</c:v>
                </c:pt>
                <c:pt idx="8">
                  <c:v>54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4-4458-A63E-577A46AD51C8}"/>
            </c:ext>
          </c:extLst>
        </c:ser>
        <c:ser>
          <c:idx val="1"/>
          <c:order val="1"/>
          <c:tx>
            <c:strRef>
              <c:f>Sheet2!$U$4</c:f>
              <c:strCache>
                <c:ptCount val="1"/>
                <c:pt idx="0">
                  <c:v>Average of Products.cost_price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Sheet2!$S$5:$S$15</c:f>
              <c:strCache>
                <c:ptCount val="10"/>
                <c:pt idx="0">
                  <c:v>Beauty</c:v>
                </c:pt>
                <c:pt idx="1">
                  <c:v>Clothing</c:v>
                </c:pt>
                <c:pt idx="2">
                  <c:v>Games</c:v>
                </c:pt>
                <c:pt idx="3">
                  <c:v>Groceries</c:v>
                </c:pt>
                <c:pt idx="4">
                  <c:v>Home Appliances</c:v>
                </c:pt>
                <c:pt idx="5">
                  <c:v>Jewelry</c:v>
                </c:pt>
                <c:pt idx="6">
                  <c:v>Shoes</c:v>
                </c:pt>
                <c:pt idx="7">
                  <c:v>Sports</c:v>
                </c:pt>
                <c:pt idx="8">
                  <c:v>Toys</c:v>
                </c:pt>
                <c:pt idx="9">
                  <c:v>(blank)</c:v>
                </c:pt>
              </c:strCache>
            </c:strRef>
          </c:cat>
          <c:val>
            <c:numRef>
              <c:f>Sheet2!$U$5:$U$15</c:f>
              <c:numCache>
                <c:formatCode>"$"#,##0</c:formatCode>
                <c:ptCount val="10"/>
                <c:pt idx="0">
                  <c:v>78.65517241379311</c:v>
                </c:pt>
                <c:pt idx="1">
                  <c:v>206.56896551724137</c:v>
                </c:pt>
                <c:pt idx="2">
                  <c:v>538.93333333333328</c:v>
                </c:pt>
                <c:pt idx="3">
                  <c:v>76.326530612244895</c:v>
                </c:pt>
                <c:pt idx="4">
                  <c:v>350.61224489795916</c:v>
                </c:pt>
                <c:pt idx="5">
                  <c:v>104.64705882352941</c:v>
                </c:pt>
                <c:pt idx="6">
                  <c:v>268.84313725490193</c:v>
                </c:pt>
                <c:pt idx="7">
                  <c:v>178.74509803921569</c:v>
                </c:pt>
                <c:pt idx="8">
                  <c:v>118.51851851851852</c:v>
                </c:pt>
                <c:pt idx="9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34-4458-A63E-577A46AD51C8}"/>
            </c:ext>
          </c:extLst>
        </c:ser>
        <c:ser>
          <c:idx val="2"/>
          <c:order val="2"/>
          <c:tx>
            <c:strRef>
              <c:f>Sheet2!$V$4</c:f>
              <c:strCache>
                <c:ptCount val="1"/>
                <c:pt idx="0">
                  <c:v>Average of Products.selling_price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Sheet2!$S$5:$S$15</c:f>
              <c:strCache>
                <c:ptCount val="10"/>
                <c:pt idx="0">
                  <c:v>Beauty</c:v>
                </c:pt>
                <c:pt idx="1">
                  <c:v>Clothing</c:v>
                </c:pt>
                <c:pt idx="2">
                  <c:v>Games</c:v>
                </c:pt>
                <c:pt idx="3">
                  <c:v>Groceries</c:v>
                </c:pt>
                <c:pt idx="4">
                  <c:v>Home Appliances</c:v>
                </c:pt>
                <c:pt idx="5">
                  <c:v>Jewelry</c:v>
                </c:pt>
                <c:pt idx="6">
                  <c:v>Shoes</c:v>
                </c:pt>
                <c:pt idx="7">
                  <c:v>Sports</c:v>
                </c:pt>
                <c:pt idx="8">
                  <c:v>Toys</c:v>
                </c:pt>
                <c:pt idx="9">
                  <c:v>(blank)</c:v>
                </c:pt>
              </c:strCache>
            </c:strRef>
          </c:cat>
          <c:val>
            <c:numRef>
              <c:f>Sheet2!$V$5:$V$15</c:f>
              <c:numCache>
                <c:formatCode>"$"#,##0</c:formatCode>
                <c:ptCount val="10"/>
                <c:pt idx="0">
                  <c:v>104.72189655172414</c:v>
                </c:pt>
                <c:pt idx="1">
                  <c:v>258.79379310344831</c:v>
                </c:pt>
                <c:pt idx="2">
                  <c:v>697.06916666666643</c:v>
                </c:pt>
                <c:pt idx="3">
                  <c:v>100.98714285714284</c:v>
                </c:pt>
                <c:pt idx="4">
                  <c:v>448.84673469387758</c:v>
                </c:pt>
                <c:pt idx="5">
                  <c:v>137.52735294117645</c:v>
                </c:pt>
                <c:pt idx="6">
                  <c:v>346.37019607843149</c:v>
                </c:pt>
                <c:pt idx="7">
                  <c:v>231.19607843137251</c:v>
                </c:pt>
                <c:pt idx="8">
                  <c:v>157.64388888888885</c:v>
                </c:pt>
                <c:pt idx="9">
                  <c:v>243.6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34-4458-A63E-577A46AD51C8}"/>
            </c:ext>
          </c:extLst>
        </c:ser>
        <c:ser>
          <c:idx val="3"/>
          <c:order val="3"/>
          <c:tx>
            <c:strRef>
              <c:f>Sheet2!$W$4</c:f>
              <c:strCache>
                <c:ptCount val="1"/>
                <c:pt idx="0">
                  <c:v>Average of profit_per.sale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Sheet2!$S$5:$S$15</c:f>
              <c:strCache>
                <c:ptCount val="10"/>
                <c:pt idx="0">
                  <c:v>Beauty</c:v>
                </c:pt>
                <c:pt idx="1">
                  <c:v>Clothing</c:v>
                </c:pt>
                <c:pt idx="2">
                  <c:v>Games</c:v>
                </c:pt>
                <c:pt idx="3">
                  <c:v>Groceries</c:v>
                </c:pt>
                <c:pt idx="4">
                  <c:v>Home Appliances</c:v>
                </c:pt>
                <c:pt idx="5">
                  <c:v>Jewelry</c:v>
                </c:pt>
                <c:pt idx="6">
                  <c:v>Shoes</c:v>
                </c:pt>
                <c:pt idx="7">
                  <c:v>Sports</c:v>
                </c:pt>
                <c:pt idx="8">
                  <c:v>Toys</c:v>
                </c:pt>
                <c:pt idx="9">
                  <c:v>(blank)</c:v>
                </c:pt>
              </c:strCache>
            </c:strRef>
          </c:cat>
          <c:val>
            <c:numRef>
              <c:f>Sheet2!$W$5:$W$15</c:f>
              <c:numCache>
                <c:formatCode>"$"#,##0</c:formatCode>
                <c:ptCount val="10"/>
                <c:pt idx="0">
                  <c:v>43.773508620689647</c:v>
                </c:pt>
                <c:pt idx="1">
                  <c:v>92.252215517241396</c:v>
                </c:pt>
                <c:pt idx="2">
                  <c:v>328.41514999999987</c:v>
                </c:pt>
                <c:pt idx="3">
                  <c:v>34.924867346938782</c:v>
                </c:pt>
                <c:pt idx="4">
                  <c:v>204.98355102040816</c:v>
                </c:pt>
                <c:pt idx="5">
                  <c:v>45.387227941176462</c:v>
                </c:pt>
                <c:pt idx="6">
                  <c:v>158.31787254901954</c:v>
                </c:pt>
                <c:pt idx="7">
                  <c:v>77.94144117647059</c:v>
                </c:pt>
                <c:pt idx="8">
                  <c:v>62.764851851851844</c:v>
                </c:pt>
                <c:pt idx="9">
                  <c:v>52.78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34-4458-A63E-577A46AD5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12614304"/>
        <c:axId val="712612224"/>
      </c:barChart>
      <c:catAx>
        <c:axId val="71261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12224"/>
        <c:crosses val="autoZero"/>
        <c:auto val="1"/>
        <c:lblAlgn val="ctr"/>
        <c:lblOffset val="100"/>
        <c:noMultiLvlLbl val="0"/>
      </c:catAx>
      <c:valAx>
        <c:axId val="7126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1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</a:t>
            </a:r>
            <a:r>
              <a:rPr lang="en-US" baseline="0"/>
              <a:t> product is most profitable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Sheet2!$D$12:$D$22</c:f>
              <c:strCache>
                <c:ptCount val="10"/>
                <c:pt idx="0">
                  <c:v>Beauty</c:v>
                </c:pt>
                <c:pt idx="1">
                  <c:v>Clothing</c:v>
                </c:pt>
                <c:pt idx="2">
                  <c:v>Games</c:v>
                </c:pt>
                <c:pt idx="3">
                  <c:v>Groceries</c:v>
                </c:pt>
                <c:pt idx="4">
                  <c:v>Home Appliances</c:v>
                </c:pt>
                <c:pt idx="5">
                  <c:v>Jewelry</c:v>
                </c:pt>
                <c:pt idx="6">
                  <c:v>Shoes</c:v>
                </c:pt>
                <c:pt idx="7">
                  <c:v>Sports</c:v>
                </c:pt>
                <c:pt idx="8">
                  <c:v>Toys</c:v>
                </c:pt>
                <c:pt idx="9">
                  <c:v>(blank)</c:v>
                </c:pt>
              </c:strCache>
            </c:strRef>
          </c:cat>
          <c:val>
            <c:numRef>
              <c:f>Sheet2!$E$12:$E$22</c:f>
              <c:numCache>
                <c:formatCode>"$"#,##0</c:formatCode>
                <c:ptCount val="10"/>
                <c:pt idx="0">
                  <c:v>2538.8634999999995</c:v>
                </c:pt>
                <c:pt idx="1">
                  <c:v>5350.6285000000007</c:v>
                </c:pt>
                <c:pt idx="2">
                  <c:v>19704.908999999992</c:v>
                </c:pt>
                <c:pt idx="3">
                  <c:v>1711.3185000000003</c:v>
                </c:pt>
                <c:pt idx="4">
                  <c:v>10044.194</c:v>
                </c:pt>
                <c:pt idx="5">
                  <c:v>3086.3314999999993</c:v>
                </c:pt>
                <c:pt idx="6">
                  <c:v>8074.2114999999967</c:v>
                </c:pt>
                <c:pt idx="7">
                  <c:v>3975.0135</c:v>
                </c:pt>
                <c:pt idx="8">
                  <c:v>3389.3019999999997</c:v>
                </c:pt>
                <c:pt idx="9">
                  <c:v>52.78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3-43CF-9918-3E6C1B501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7129664"/>
        <c:axId val="717130496"/>
      </c:barChart>
      <c:catAx>
        <c:axId val="71712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30496"/>
        <c:crosses val="autoZero"/>
        <c:auto val="1"/>
        <c:lblAlgn val="ctr"/>
        <c:lblOffset val="100"/>
        <c:noMultiLvlLbl val="0"/>
      </c:catAx>
      <c:valAx>
        <c:axId val="71713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2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Sheet2!$N$3</c:f>
              <c:strCache>
                <c:ptCount val="1"/>
                <c:pt idx="0">
                  <c:v>Sum of profit_per.sale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Sheet2!$M$4:$M$8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Sheet2!$N$4:$N$8</c:f>
              <c:numCache>
                <c:formatCode>"$"#,##0</c:formatCode>
                <c:ptCount val="4"/>
                <c:pt idx="0">
                  <c:v>11918.316000000001</c:v>
                </c:pt>
                <c:pt idx="1">
                  <c:v>18642.998</c:v>
                </c:pt>
                <c:pt idx="2">
                  <c:v>14969.366</c:v>
                </c:pt>
                <c:pt idx="3">
                  <c:v>12396.872000000001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A-4779-9700-715A5E1F6D24}"/>
            </c:ext>
          </c:extLst>
        </c:ser>
        <c:ser>
          <c:idx val="1"/>
          <c:order val="1"/>
          <c:tx>
            <c:strRef>
              <c:f>Sheet2!$O$3</c:f>
              <c:strCache>
                <c:ptCount val="1"/>
                <c:pt idx="0">
                  <c:v>Sum of Sales.total_amount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Sheet2!$M$4:$M$8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Sheet2!$O$4:$O$8</c:f>
              <c:numCache>
                <c:formatCode>"$"#,##0</c:formatCode>
                <c:ptCount val="4"/>
                <c:pt idx="0">
                  <c:v>31558.983999999993</c:v>
                </c:pt>
                <c:pt idx="1">
                  <c:v>46055.02199999999</c:v>
                </c:pt>
                <c:pt idx="2">
                  <c:v>44082.313999999998</c:v>
                </c:pt>
                <c:pt idx="3">
                  <c:v>35473.128000000004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A-4779-9700-715A5E1F6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4867776"/>
        <c:axId val="1409147680"/>
      </c:barChart>
      <c:catAx>
        <c:axId val="14148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147680"/>
        <c:crosses val="autoZero"/>
        <c:auto val="1"/>
        <c:lblAlgn val="ctr"/>
        <c:lblOffset val="100"/>
        <c:noMultiLvlLbl val="0"/>
      </c:catAx>
      <c:valAx>
        <c:axId val="140914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86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&amp; Customer Insights Systems.xlsx]Sheet2!PivotTable4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Sheet2!$G$4:$G$14</c:f>
              <c:strCache>
                <c:ptCount val="10"/>
                <c:pt idx="0">
                  <c:v>Customer004</c:v>
                </c:pt>
                <c:pt idx="1">
                  <c:v>Customer009</c:v>
                </c:pt>
                <c:pt idx="2">
                  <c:v>Customer014</c:v>
                </c:pt>
                <c:pt idx="3">
                  <c:v>Customer015</c:v>
                </c:pt>
                <c:pt idx="4">
                  <c:v>Customer018</c:v>
                </c:pt>
                <c:pt idx="5">
                  <c:v>Customer023</c:v>
                </c:pt>
                <c:pt idx="6">
                  <c:v>Customer030</c:v>
                </c:pt>
                <c:pt idx="7">
                  <c:v>Customer032</c:v>
                </c:pt>
                <c:pt idx="8">
                  <c:v>Customer037</c:v>
                </c:pt>
                <c:pt idx="9">
                  <c:v>Customer060</c:v>
                </c:pt>
              </c:strCache>
            </c:strRef>
          </c:cat>
          <c:val>
            <c:numRef>
              <c:f>Sheet2!$H$4:$H$14</c:f>
              <c:numCache>
                <c:formatCode>"$"#,##0</c:formatCode>
                <c:ptCount val="10"/>
                <c:pt idx="0">
                  <c:v>3395.0540000000001</c:v>
                </c:pt>
                <c:pt idx="1">
                  <c:v>3040.7075000000004</c:v>
                </c:pt>
                <c:pt idx="2">
                  <c:v>2950.7554999999993</c:v>
                </c:pt>
                <c:pt idx="3">
                  <c:v>3938.9735000000001</c:v>
                </c:pt>
                <c:pt idx="4">
                  <c:v>3271.4425000000001</c:v>
                </c:pt>
                <c:pt idx="5">
                  <c:v>3137.1729999999998</c:v>
                </c:pt>
                <c:pt idx="6">
                  <c:v>4288.1399999999994</c:v>
                </c:pt>
                <c:pt idx="7">
                  <c:v>4727.7390000000005</c:v>
                </c:pt>
                <c:pt idx="8">
                  <c:v>3225.7060000000001</c:v>
                </c:pt>
                <c:pt idx="9">
                  <c:v>4110.5524999999998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D-4995-A4EC-9B9CB889A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3464736"/>
        <c:axId val="943465152"/>
      </c:barChart>
      <c:catAx>
        <c:axId val="94346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465152"/>
        <c:crosses val="autoZero"/>
        <c:auto val="1"/>
        <c:lblAlgn val="ctr"/>
        <c:lblOffset val="100"/>
        <c:noMultiLvlLbl val="0"/>
      </c:catAx>
      <c:valAx>
        <c:axId val="94346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46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0</xdr:row>
      <xdr:rowOff>0</xdr:rowOff>
    </xdr:from>
    <xdr:to>
      <xdr:col>2</xdr:col>
      <xdr:colOff>99060</xdr:colOff>
      <xdr:row>8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14FB9-17BE-40A1-9098-1BD445AF9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754380</xdr:colOff>
      <xdr:row>11</xdr:row>
      <xdr:rowOff>76200</xdr:rowOff>
    </xdr:from>
    <xdr:to>
      <xdr:col>3</xdr:col>
      <xdr:colOff>792480</xdr:colOff>
      <xdr:row>22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AAF44E-1114-422A-8306-EC5B605BF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975360</xdr:colOff>
      <xdr:row>0</xdr:row>
      <xdr:rowOff>0</xdr:rowOff>
    </xdr:from>
    <xdr:to>
      <xdr:col>5</xdr:col>
      <xdr:colOff>1287780</xdr:colOff>
      <xdr:row>9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CB958A-6595-48BF-9857-F7AC9A96E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152400</xdr:colOff>
      <xdr:row>17</xdr:row>
      <xdr:rowOff>11430</xdr:rowOff>
    </xdr:from>
    <xdr:to>
      <xdr:col>8</xdr:col>
      <xdr:colOff>304800</xdr:colOff>
      <xdr:row>27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F54880-24BC-4150-BCEC-44B8B7F50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396240</xdr:colOff>
      <xdr:row>35</xdr:row>
      <xdr:rowOff>19050</xdr:rowOff>
    </xdr:from>
    <xdr:to>
      <xdr:col>5</xdr:col>
      <xdr:colOff>91440</xdr:colOff>
      <xdr:row>43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0C01CE-2488-4C4F-9B5C-CA5839E13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784860</xdr:colOff>
      <xdr:row>36</xdr:row>
      <xdr:rowOff>53340</xdr:rowOff>
    </xdr:from>
    <xdr:to>
      <xdr:col>8</xdr:col>
      <xdr:colOff>1470660</xdr:colOff>
      <xdr:row>47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6685FE-A9F8-4642-9CD6-D244AD9A1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487680</xdr:colOff>
      <xdr:row>16</xdr:row>
      <xdr:rowOff>22860</xdr:rowOff>
    </xdr:from>
    <xdr:to>
      <xdr:col>14</xdr:col>
      <xdr:colOff>967740</xdr:colOff>
      <xdr:row>28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1DD957-93A2-4674-9684-115BD037B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731520</xdr:colOff>
      <xdr:row>19</xdr:row>
      <xdr:rowOff>133350</xdr:rowOff>
    </xdr:from>
    <xdr:to>
      <xdr:col>11</xdr:col>
      <xdr:colOff>281940</xdr:colOff>
      <xdr:row>31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031819-DA90-4A30-959E-4410E0A96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350520</xdr:colOff>
      <xdr:row>1</xdr:row>
      <xdr:rowOff>68580</xdr:rowOff>
    </xdr:from>
    <xdr:to>
      <xdr:col>17</xdr:col>
      <xdr:colOff>1226820</xdr:colOff>
      <xdr:row>11</xdr:row>
      <xdr:rowOff>72390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07CD535-8235-479C-9758-CD70E39B2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891540</xdr:colOff>
      <xdr:row>7</xdr:row>
      <xdr:rowOff>133350</xdr:rowOff>
    </xdr:from>
    <xdr:to>
      <xdr:col>22</xdr:col>
      <xdr:colOff>152400</xdr:colOff>
      <xdr:row>18</xdr:row>
      <xdr:rowOff>160020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7FCE4A2-8083-44C5-91E6-86EF91A5E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167640</xdr:colOff>
      <xdr:row>8</xdr:row>
      <xdr:rowOff>91440</xdr:rowOff>
    </xdr:from>
    <xdr:to>
      <xdr:col>5</xdr:col>
      <xdr:colOff>518160</xdr:colOff>
      <xdr:row>20</xdr:row>
      <xdr:rowOff>91440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093EBFB-B039-4254-B423-5DC018BF2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662940</xdr:colOff>
      <xdr:row>2</xdr:row>
      <xdr:rowOff>0</xdr:rowOff>
    </xdr:from>
    <xdr:to>
      <xdr:col>15</xdr:col>
      <xdr:colOff>396240</xdr:colOff>
      <xdr:row>13</xdr:row>
      <xdr:rowOff>30480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B514FFB-2632-43C4-96F3-0ECAB63A4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198120</xdr:colOff>
      <xdr:row>3</xdr:row>
      <xdr:rowOff>102870</xdr:rowOff>
    </xdr:from>
    <xdr:to>
      <xdr:col>8</xdr:col>
      <xdr:colOff>1074420</xdr:colOff>
      <xdr:row>14</xdr:row>
      <xdr:rowOff>30480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C87A432-D4B6-46D8-94D6-A84B489EE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DIMEJI'S WORK" refreshedDate="46037.306608564817" createdVersion="7" refreshedVersion="7" minRefreshableVersion="3" recordCount="499" xr:uid="{BF3CB2C1-8F70-451F-8697-1A2A22C4896B}">
  <cacheSource type="worksheet">
    <worksheetSource ref="A1:AB500" sheet="combined_tbl"/>
  </cacheSource>
  <cacheFields count="28">
    <cacheField name="customer_id" numFmtId="0">
      <sharedItems containsSemiMixedTypes="0" containsString="0" containsNumber="1" containsInteger="1" minValue="1" maxValue="499"/>
    </cacheField>
    <cacheField name="first_purchase" numFmtId="14">
      <sharedItems containsSemiMixedTypes="0" containsNonDate="0" containsDate="1" containsString="0" minDate="2023-01-07T00:00:00" maxDate="2025-12-23T00:00:00"/>
    </cacheField>
    <cacheField name="tenure_months" numFmtId="14">
      <sharedItems containsSemiMixedTypes="0" containsNonDate="0" containsDate="1" containsString="0" minDate="1899-12-30T00:00:00" maxDate="1900-02-04T00:00:00"/>
    </cacheField>
    <cacheField name="Frequency table" numFmtId="1">
      <sharedItems containsSemiMixedTypes="0" containsString="0" containsNumber="1" containsInteger="1" minValue="1" maxValue="14"/>
    </cacheField>
    <cacheField name="name" numFmtId="0">
      <sharedItems count="118">
        <s v="Customer060"/>
        <s v="Customer045"/>
        <s v="Customer087"/>
        <s v="Customer080"/>
        <s v="Customer132"/>
        <s v="Customer075"/>
        <s v="Customer030"/>
        <s v="Customer020"/>
        <s v="Customer062"/>
        <s v="Customer090"/>
        <s v="Customer009"/>
        <s v="Customer034"/>
        <s v="Customer005"/>
        <s v="Customer037"/>
        <s v="Customer028"/>
        <s v="Customer029"/>
        <s v="Customer032"/>
        <s v="Customer057"/>
        <s v="Customer010"/>
        <s v="Customer021"/>
        <s v="Customer050"/>
        <s v="Customer027"/>
        <s v="Customer018"/>
        <s v="Customer054"/>
        <s v="Customer124"/>
        <s v="Customer017"/>
        <s v="Customer007"/>
        <s v="Customer073"/>
        <s v="Customer048"/>
        <s v="Customer004"/>
        <s v="Customer039"/>
        <s v="Customer051"/>
        <s v="Customer136"/>
        <s v="Customer061"/>
        <s v="Customer125"/>
        <s v="Customer002"/>
        <s v="Customer016"/>
        <s v="Customer038"/>
        <s v="Customer035"/>
        <s v="Customer072"/>
        <s v="Customer008"/>
        <s v="Customer024"/>
        <s v="Customer053"/>
        <s v="Customer114"/>
        <s v="Customer088"/>
        <s v="Customer105"/>
        <s v="Customer064"/>
        <s v="Customer019"/>
        <s v="Customer040"/>
        <s v="Customer068"/>
        <s v="Customer063"/>
        <s v="Customer070"/>
        <s v="Customer074"/>
        <s v="Customer055"/>
        <s v="Customer091"/>
        <s v="Customer047"/>
        <s v="Customer012"/>
        <s v="Customer119"/>
        <s v="Customer001"/>
        <s v="Customer025"/>
        <s v="Customer066"/>
        <s v="Customer110"/>
        <s v="Customer041"/>
        <s v="Customer056"/>
        <s v="Customer117"/>
        <s v="Customer013"/>
        <s v="Customer033"/>
        <s v="Customer077"/>
        <s v="Customer058"/>
        <s v="Customer102"/>
        <s v="Customer131"/>
        <s v="Customer071"/>
        <s v="Customer101"/>
        <s v="Customer078"/>
        <s v="Customer026"/>
        <s v="Customer081"/>
        <s v="Customer015"/>
        <s v="Customer076"/>
        <s v="Customer122"/>
        <s v="Customer022"/>
        <s v="Customer011"/>
        <s v="Customer023"/>
        <s v="Customer014"/>
        <s v="Customer044"/>
        <s v="Customer099"/>
        <s v="Customer118"/>
        <s v="Customer036"/>
        <s v="Customer049"/>
        <s v="Customer042"/>
        <s v="Customer104"/>
        <s v="Customer113"/>
        <s v="Customer065"/>
        <s v="Customer067"/>
        <s v="Customer052"/>
        <s v="Customer097"/>
        <s v="Customer003"/>
        <s v="Customer043"/>
        <s v="Customer046"/>
        <s v="Customer006"/>
        <s v="Customer121"/>
        <s v="Customer082"/>
        <s v="Customer059"/>
        <s v="Customer127"/>
        <s v="Customer079"/>
        <s v="Customer107"/>
        <s v="Customer108"/>
        <s v="Customer069"/>
        <s v="Customer095"/>
        <s v="Customer031"/>
        <s v="Customer126"/>
        <s v="Customer106"/>
        <s v="Customer112"/>
        <s v="Customer134"/>
        <s v="Customer086"/>
        <s v="Customer123"/>
        <s v="Customer092"/>
        <s v="Customer120"/>
        <s v="Customer116"/>
      </sharedItems>
    </cacheField>
    <cacheField name="gender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signup_date" numFmtId="165">
      <sharedItems containsSemiMixedTypes="0" containsNonDate="0" containsDate="1" containsString="0" minDate="2023-01-07T00:00:00" maxDate="2025-12-23T00:00:00"/>
    </cacheField>
    <cacheField name="day" numFmtId="0">
      <sharedItems containsSemiMixedTypes="0" containsString="0" containsNumber="1" containsInteger="1" minValue="1" maxValue="30"/>
    </cacheField>
    <cacheField name="month" numFmtId="165">
      <sharedItems count="12">
        <s v="September"/>
        <s v="February"/>
        <s v="July"/>
        <s v="May"/>
        <s v="November"/>
        <s v="January"/>
        <s v="October"/>
        <s v="December"/>
        <s v="March"/>
        <s v="June"/>
        <s v="April"/>
        <s v="August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loyalty_status" numFmtId="0">
      <sharedItems count="4">
        <s v="Gold"/>
        <s v="Silver"/>
        <s v="Bronze"/>
        <s v="Platinum"/>
      </sharedItems>
    </cacheField>
    <cacheField name="Products.product_id" numFmtId="0">
      <sharedItems containsSemiMixedTypes="0" containsString="0" containsNumber="1" containsInteger="1" minValue="2" maxValue="500"/>
    </cacheField>
    <cacheField name="Products.category" numFmtId="0">
      <sharedItems containsBlank="1" count="10">
        <s v="Clothing"/>
        <s v="Shoes"/>
        <s v="Toys"/>
        <s v="Games"/>
        <s v="Jewelry"/>
        <s v="Groceries"/>
        <s v="Sports"/>
        <s v="Beauty"/>
        <s v="Home Appliances"/>
        <m/>
      </sharedItems>
    </cacheField>
    <cacheField name="Products.product_name" numFmtId="0">
      <sharedItems count="499">
        <s v="Product 002"/>
        <s v="Product 003"/>
        <s v="Product 004"/>
        <s v="Product 005"/>
        <s v="Product 006"/>
        <s v="Product 007"/>
        <s v="Product 008"/>
        <s v="Product 009"/>
        <s v="Product 010"/>
        <s v="Product 011"/>
        <s v="Product 012"/>
        <s v="Product 013"/>
        <s v="Product 014"/>
        <s v="Product 015"/>
        <s v="Product 016"/>
        <s v="Product 017"/>
        <s v="Product 018"/>
        <s v="Product 019"/>
        <s v="Product 020"/>
        <s v="Product 021"/>
        <s v="Product 022"/>
        <s v="Product 023"/>
        <s v="Product 024"/>
        <s v="Product 025"/>
        <s v="Product 026"/>
        <s v="Product 027"/>
        <s v="Product 028"/>
        <s v="Product 029"/>
        <s v="Product 030"/>
        <s v="Product 031"/>
        <s v="Product 032"/>
        <s v="Product 033"/>
        <s v="Product 034"/>
        <s v="Product 035"/>
        <s v="Product 036"/>
        <s v="Product 037"/>
        <s v="Product 038"/>
        <s v="Product 039"/>
        <s v="Product 040"/>
        <s v="Product 041"/>
        <s v="Product 042"/>
        <s v="Product 043"/>
        <s v="Product 044"/>
        <s v="Product 045"/>
        <s v="Product 046"/>
        <s v="Product 047"/>
        <s v="Product 048"/>
        <s v="Product 049"/>
        <s v="Product 050"/>
        <s v="Product 051"/>
        <s v="Product 052"/>
        <s v="Product 053"/>
        <s v="Product 054"/>
        <s v="Product 055"/>
        <s v="Product 056"/>
        <s v="Product 057"/>
        <s v="Product 058"/>
        <s v="Product 059"/>
        <s v="Product 060"/>
        <s v="Product 061"/>
        <s v="Product 062"/>
        <s v="Product 063"/>
        <s v="Product 064"/>
        <s v="Product 065"/>
        <s v="Product 066"/>
        <s v="Product 067"/>
        <s v="Product 068"/>
        <s v="Product 069"/>
        <s v="Product 070"/>
        <s v="Product 071"/>
        <s v="Product 072"/>
        <s v="Product 073"/>
        <s v="Product 074"/>
        <s v="Product 075"/>
        <s v="Product 076"/>
        <s v="Product 077"/>
        <s v="Product 078"/>
        <s v="Product 079"/>
        <s v="Product 080"/>
        <s v="Product 081"/>
        <s v="Product 082"/>
        <s v="Product 083"/>
        <s v="Product 084"/>
        <s v="Product 085"/>
        <s v="Product 086"/>
        <s v="Product 087"/>
        <s v="Product 088"/>
        <s v="Product 089"/>
        <s v="Product 090"/>
        <s v="Product 091"/>
        <s v="Product 092"/>
        <s v="Product 093"/>
        <s v="Product 094"/>
        <s v="Product 095"/>
        <s v="Product 096"/>
        <s v="Product 097"/>
        <s v="Product 098"/>
        <s v="Product 099"/>
        <s v="Product 100"/>
        <s v="Product 101"/>
        <s v="Product 102"/>
        <s v="Product 103"/>
        <s v="Product 104"/>
        <s v="Product 105"/>
        <s v="Product 106"/>
        <s v="Product 107"/>
        <s v="Product 108"/>
        <s v="Product 109"/>
        <s v="Product 110"/>
        <s v="Product 111"/>
        <s v="Product 112"/>
        <s v="Product 113"/>
        <s v="Product 114"/>
        <s v="Product 115"/>
        <s v="Product 116"/>
        <s v="Product 117"/>
        <s v="Product 118"/>
        <s v="Product 119"/>
        <s v="Product 120"/>
        <s v="Product 121"/>
        <s v="Product 122"/>
        <s v="Product 123"/>
        <s v="Product 124"/>
        <s v="Product 125"/>
        <s v="Product 126"/>
        <s v="Product 127"/>
        <s v="Product 128"/>
        <s v="Product 129"/>
        <s v="Product 130"/>
        <s v="Product 131"/>
        <s v="Product 132"/>
        <s v="Product 133"/>
        <s v="Product 134"/>
        <s v="Product 135"/>
        <s v="Product 136"/>
        <s v="Product 137"/>
        <s v="Product 138"/>
        <s v="Product 139"/>
        <s v="Product 140"/>
        <s v="Product 141"/>
        <s v="Product 142"/>
        <s v="Product 143"/>
        <s v="Product 144"/>
        <s v="Product 145"/>
        <s v="Product 146"/>
        <s v="Product 147"/>
        <s v="Product 148"/>
        <s v="Product 149"/>
        <s v="Product 150"/>
        <s v="Product 151"/>
        <s v="Product 152"/>
        <s v="Product 153"/>
        <s v="Product 154"/>
        <s v="Product 155"/>
        <s v="Product 156"/>
        <s v="Product 157"/>
        <s v="Product 158"/>
        <s v="Product 159"/>
        <s v="Product 160"/>
        <s v="Product 161"/>
        <s v="Product 162"/>
        <s v="Product 163"/>
        <s v="Product 164"/>
        <s v="Product 165"/>
        <s v="Product 166"/>
        <s v="Product 167"/>
        <s v="Product 168"/>
        <s v="Product 169"/>
        <s v="Product 170"/>
        <s v="Product 171"/>
        <s v="Product 172"/>
        <s v="Product 173"/>
        <s v="Product 174"/>
        <s v="Product 175"/>
        <s v="Product 176"/>
        <s v="Product 177"/>
        <s v="Product 178"/>
        <s v="Product 179"/>
        <s v="Product 180"/>
        <s v="Product 181"/>
        <s v="Product 182"/>
        <s v="Product 183"/>
        <s v="Product 184"/>
        <s v="Product 185"/>
        <s v="Product 186"/>
        <s v="Product 187"/>
        <s v="Product 188"/>
        <s v="Product 189"/>
        <s v="Product 190"/>
        <s v="Product 191"/>
        <s v="Product 192"/>
        <s v="Product 193"/>
        <s v="Product 194"/>
        <s v="Product 195"/>
        <s v="Product 196"/>
        <s v="Product 197"/>
        <s v="Product 198"/>
        <s v="Product 199"/>
        <s v="Product 200"/>
        <s v="Product 201"/>
        <s v="Product 202"/>
        <s v="Product 203"/>
        <s v="Product 204"/>
        <s v="Product 205"/>
        <s v="Product 206"/>
        <s v="Product 207"/>
        <s v="Product 208"/>
        <s v="Product 209"/>
        <s v="Product 210"/>
        <s v="Product 211"/>
        <s v="Product 212"/>
        <s v="Product 213"/>
        <s v="Product 214"/>
        <s v="Product 215"/>
        <s v="Product 216"/>
        <s v="Product 217"/>
        <s v="Product 218"/>
        <s v="Product 219"/>
        <s v="Product 220"/>
        <s v="Product 221"/>
        <s v="Product 222"/>
        <s v="Product 223"/>
        <s v="Product 224"/>
        <s v="Product 225"/>
        <s v="Product 226"/>
        <s v="Product 227"/>
        <s v="Product 228"/>
        <s v="Product 229"/>
        <s v="Product 230"/>
        <s v="Product 231"/>
        <s v="Product 232"/>
        <s v="Product 233"/>
        <s v="Product 234"/>
        <s v="Product 235"/>
        <s v="Product 236"/>
        <s v="Product 237"/>
        <s v="Product 238"/>
        <s v="Product 239"/>
        <s v="Product 240"/>
        <s v="Product 241"/>
        <s v="Product 242"/>
        <s v="Product 243"/>
        <s v="Product 244"/>
        <s v="Product 245"/>
        <s v="Product 246"/>
        <s v="Product 247"/>
        <s v="Product 248"/>
        <s v="Product 249"/>
        <s v="Product 250"/>
        <s v="Product 251"/>
        <s v="Product 252"/>
        <s v="Product 253"/>
        <s v="Product 254"/>
        <s v="Product 255"/>
        <s v="Product 256"/>
        <s v="Product 257"/>
        <s v="Product 258"/>
        <s v="Product 259"/>
        <s v="Product 260"/>
        <s v="Product 261"/>
        <s v="Product 262"/>
        <s v="Product 263"/>
        <s v="Product 264"/>
        <s v="Product 265"/>
        <s v="Product 266"/>
        <s v="Product 267"/>
        <s v="Product 268"/>
        <s v="Product 269"/>
        <s v="Product 270"/>
        <s v="Product 271"/>
        <s v="Product 272"/>
        <s v="Product 273"/>
        <s v="Product 274"/>
        <s v="Product 275"/>
        <s v="Product 276"/>
        <s v="Product 277"/>
        <s v="Product 278"/>
        <s v="Product 279"/>
        <s v="Product 280"/>
        <s v="Product 281"/>
        <s v="Product 282"/>
        <s v="Product 283"/>
        <s v="Product 284"/>
        <s v="Product 285"/>
        <s v="Product 286"/>
        <s v="Product 287"/>
        <s v="Product 288"/>
        <s v="Product 289"/>
        <s v="Product 290"/>
        <s v="Product 291"/>
        <s v="Product 292"/>
        <s v="Product 293"/>
        <s v="Product 294"/>
        <s v="Product 295"/>
        <s v="Product 296"/>
        <s v="Product 297"/>
        <s v="Product 298"/>
        <s v="Product 299"/>
        <s v="Product 300"/>
        <s v="Product 301"/>
        <s v="Product 302"/>
        <s v="Product 303"/>
        <s v="Product 304"/>
        <s v="Product 305"/>
        <s v="Product 306"/>
        <s v="Product 307"/>
        <s v="Product 308"/>
        <s v="Product 309"/>
        <s v="Product 310"/>
        <s v="Product 311"/>
        <s v="Product 312"/>
        <s v="Product 313"/>
        <s v="Product 314"/>
        <s v="Product 315"/>
        <s v="Product 316"/>
        <s v="Product 317"/>
        <s v="Product 318"/>
        <s v="Product 319"/>
        <s v="Product 320"/>
        <s v="Product 321"/>
        <s v="Product 322"/>
        <s v="Product 323"/>
        <s v="Product 324"/>
        <s v="Product 325"/>
        <s v="Product 326"/>
        <s v="Product 327"/>
        <s v="Product 328"/>
        <s v="Product 329"/>
        <s v="Product 330"/>
        <s v="Product 331"/>
        <s v="Product 332"/>
        <s v="Product 333"/>
        <s v="Product 334"/>
        <s v="Product 335"/>
        <s v="Product 336"/>
        <s v="Product 337"/>
        <s v="Product 338"/>
        <s v="Product 339"/>
        <s v="Product 340"/>
        <s v="Product 341"/>
        <s v="Product 342"/>
        <s v="Product 343"/>
        <s v="Product 344"/>
        <s v="Product 345"/>
        <s v="Product 346"/>
        <s v="Product 347"/>
        <s v="Product 348"/>
        <s v="Product 349"/>
        <s v="Product 350"/>
        <s v="Product 351"/>
        <s v="Product 352"/>
        <s v="Product 353"/>
        <s v="Product 354"/>
        <s v="Product 355"/>
        <s v="Product 356"/>
        <s v="Product 357"/>
        <s v="Product 358"/>
        <s v="Product 359"/>
        <s v="Product 360"/>
        <s v="Product 361"/>
        <s v="Product 362"/>
        <s v="Product 363"/>
        <s v="Product 364"/>
        <s v="Product 365"/>
        <s v="Product 366"/>
        <s v="Product 367"/>
        <s v="Product 368"/>
        <s v="Product 369"/>
        <s v="Product 370"/>
        <s v="Product 371"/>
        <s v="Product 372"/>
        <s v="Product 373"/>
        <s v="Product 374"/>
        <s v="Product 375"/>
        <s v="Product 376"/>
        <s v="Product 377"/>
        <s v="Product 378"/>
        <s v="Product 379"/>
        <s v="Product 380"/>
        <s v="Product 381"/>
        <s v="Product 382"/>
        <s v="Product 383"/>
        <s v="Product 384"/>
        <s v="Product 385"/>
        <s v="Product 386"/>
        <s v="Product 387"/>
        <s v="Product 388"/>
        <s v="Product 389"/>
        <s v="Product 390"/>
        <s v="Product 391"/>
        <s v="Product 392"/>
        <s v="Product 393"/>
        <s v="Product 394"/>
        <s v="Product 395"/>
        <s v="Product 396"/>
        <s v="Product 397"/>
        <s v="Product 398"/>
        <s v="Product 399"/>
        <s v="Product 400"/>
        <s v="Product 401"/>
        <s v="Product 402"/>
        <s v="Product 403"/>
        <s v="Product 404"/>
        <s v="Product 405"/>
        <s v="Product 406"/>
        <s v="Product 407"/>
        <s v="Product 408"/>
        <s v="Product 409"/>
        <s v="Product 410"/>
        <s v="Product 411"/>
        <s v="Product 412"/>
        <s v="Product 413"/>
        <s v="Product 414"/>
        <s v="Product 415"/>
        <s v="Product 416"/>
        <s v="Product 417"/>
        <s v="Product 418"/>
        <s v="Product 419"/>
        <s v="Product 420"/>
        <s v="Product 421"/>
        <s v="Product 422"/>
        <s v="Product 423"/>
        <s v="Product 424"/>
        <s v="Product 425"/>
        <s v="Product 426"/>
        <s v="Product 427"/>
        <s v="Product 428"/>
        <s v="Product 429"/>
        <s v="Product 430"/>
        <s v="Product 431"/>
        <s v="Product 432"/>
        <s v="Product 433"/>
        <s v="Product 434"/>
        <s v="Product 435"/>
        <s v="Product 436"/>
        <s v="Product 437"/>
        <s v="Product 438"/>
        <s v="Product 439"/>
        <s v="Product 440"/>
        <s v="Product 441"/>
        <s v="Product 442"/>
        <s v="Product 443"/>
        <s v="Product 444"/>
        <s v="Product 445"/>
        <s v="Product 446"/>
        <s v="Product 447"/>
        <s v="Product 448"/>
        <s v="Product 449"/>
        <s v="Product 450"/>
        <s v="Product 451"/>
        <s v="Product 452"/>
        <s v="Product 453"/>
        <s v="Product 454"/>
        <s v="Product 455"/>
        <s v="Product 456"/>
        <s v="Product 457"/>
        <s v="Product 458"/>
        <s v="Product 459"/>
        <s v="Product 460"/>
        <s v="Product 461"/>
        <s v="Product 462"/>
        <s v="Product 463"/>
        <s v="Product 464"/>
        <s v="Product 465"/>
        <s v="Product 466"/>
        <s v="Product 467"/>
        <s v="Product 468"/>
        <s v="Product 469"/>
        <s v="Product 470"/>
        <s v="Product 471"/>
        <s v="Product 472"/>
        <s v="Product 473"/>
        <s v="Product 474"/>
        <s v="Product 475"/>
        <s v="Product 476"/>
        <s v="Product 477"/>
        <s v="Product 478"/>
        <s v="Product 479"/>
        <s v="Product 480"/>
        <s v="Product 481"/>
        <s v="Product 482"/>
        <s v="Product 483"/>
        <s v="Product 484"/>
        <s v="Product 485"/>
        <s v="Product 486"/>
        <s v="Product 487"/>
        <s v="Product 488"/>
        <s v="Product 489"/>
        <s v="Product 490"/>
        <s v="Product 491"/>
        <s v="Product 492"/>
        <s v="Product 493"/>
        <s v="Product 494"/>
        <s v="Product 495"/>
        <s v="Product 496"/>
        <s v="Product 497"/>
        <s v="Product 498"/>
        <s v="Product 499"/>
        <s v="Product 500"/>
      </sharedItems>
    </cacheField>
    <cacheField name="Products.cost_price" numFmtId="7">
      <sharedItems containsSemiMixedTypes="0" containsString="0" containsNumber="1" containsInteger="1" minValue="11" maxValue="994" count="308">
        <n v="301"/>
        <n v="389"/>
        <n v="226"/>
        <n v="211"/>
        <n v="86"/>
        <n v="867"/>
        <n v="56"/>
        <n v="167"/>
        <n v="83"/>
        <n v="145"/>
        <n v="248"/>
        <n v="637"/>
        <n v="29"/>
        <n v="158"/>
        <n v="640"/>
        <n v="109"/>
        <n v="468"/>
        <n v="68"/>
        <n v="126"/>
        <n v="396"/>
        <n v="190"/>
        <n v="795"/>
        <n v="101"/>
        <n v="81"/>
        <n v="194"/>
        <n v="14"/>
        <n v="75"/>
        <n v="237"/>
        <n v="668"/>
        <n v="120"/>
        <n v="12"/>
        <n v="40"/>
        <n v="105"/>
        <n v="224"/>
        <n v="102"/>
        <n v="932"/>
        <n v="594"/>
        <n v="135"/>
        <n v="84"/>
        <n v="220"/>
        <n v="169"/>
        <n v="41"/>
        <n v="45"/>
        <n v="229"/>
        <n v="114"/>
        <n v="44"/>
        <n v="113"/>
        <n v="170"/>
        <n v="53"/>
        <n v="57"/>
        <n v="176"/>
        <n v="71"/>
        <n v="214"/>
        <n v="118"/>
        <n v="127"/>
        <n v="528"/>
        <n v="46"/>
        <n v="61"/>
        <n v="305"/>
        <n v="15"/>
        <n v="148"/>
        <n v="168"/>
        <n v="346"/>
        <n v="111"/>
        <n v="48"/>
        <n v="465"/>
        <n v="967"/>
        <n v="155"/>
        <n v="21"/>
        <n v="123"/>
        <n v="247"/>
        <n v="164"/>
        <n v="276"/>
        <n v="542"/>
        <n v="39"/>
        <n v="191"/>
        <n v="614"/>
        <n v="198"/>
        <n v="128"/>
        <n v="219"/>
        <n v="37"/>
        <n v="27"/>
        <n v="562"/>
        <n v="382"/>
        <n v="210"/>
        <n v="262"/>
        <n v="47"/>
        <n v="22"/>
        <n v="66"/>
        <n v="619"/>
        <n v="165"/>
        <n v="160"/>
        <n v="58"/>
        <n v="73"/>
        <n v="35"/>
        <n v="345"/>
        <n v="139"/>
        <n v="129"/>
        <n v="432"/>
        <n v="306"/>
        <n v="17"/>
        <n v="436"/>
        <n v="841"/>
        <n v="302"/>
        <n v="82"/>
        <n v="657"/>
        <n v="379"/>
        <n v="387"/>
        <n v="122"/>
        <n v="204"/>
        <n v="540"/>
        <n v="272"/>
        <n v="49"/>
        <n v="180"/>
        <n v="80"/>
        <n v="304"/>
        <n v="106"/>
        <n v="99"/>
        <n v="59"/>
        <n v="880"/>
        <n v="131"/>
        <n v="50"/>
        <n v="314"/>
        <n v="764"/>
        <n v="89"/>
        <n v="25"/>
        <n v="249"/>
        <n v="189"/>
        <n v="154"/>
        <n v="55"/>
        <n v="296"/>
        <n v="137"/>
        <n v="36"/>
        <n v="364"/>
        <n v="62"/>
        <n v="199"/>
        <n v="150"/>
        <n v="91"/>
        <n v="459"/>
        <n v="18"/>
        <n v="103"/>
        <n v="203"/>
        <n v="241"/>
        <n v="20"/>
        <n v="289"/>
        <n v="107"/>
        <n v="166"/>
        <n v="207"/>
        <n v="332"/>
        <n v="355"/>
        <n v="175"/>
        <n v="51"/>
        <n v="295"/>
        <n v="978"/>
        <n v="274"/>
        <n v="42"/>
        <n v="467"/>
        <n v="239"/>
        <n v="609"/>
        <n v="463"/>
        <n v="11"/>
        <n v="171"/>
        <n v="112"/>
        <n v="161"/>
        <n v="28"/>
        <n v="13"/>
        <n v="146"/>
        <n v="403"/>
        <n v="784"/>
        <n v="65"/>
        <n v="598"/>
        <n v="583"/>
        <n v="418"/>
        <n v="196"/>
        <n v="230"/>
        <n v="246"/>
        <n v="244"/>
        <n v="94"/>
        <n v="181"/>
        <n v="419"/>
        <n v="284"/>
        <n v="217"/>
        <n v="521"/>
        <n v="52"/>
        <n v="294"/>
        <n v="23"/>
        <n v="140"/>
        <n v="846"/>
        <n v="309"/>
        <n v="121"/>
        <n v="76"/>
        <n v="233"/>
        <n v="173"/>
        <n v="363"/>
        <n v="409"/>
        <n v="636"/>
        <n v="852"/>
        <n v="152"/>
        <n v="269"/>
        <n v="398"/>
        <n v="31"/>
        <n v="290"/>
        <n v="438"/>
        <n v="847"/>
        <n v="507"/>
        <n v="497"/>
        <n v="366"/>
        <n v="373"/>
        <n v="108"/>
        <n v="271"/>
        <n v="554"/>
        <n v="195"/>
        <n v="141"/>
        <n v="308"/>
        <n v="410"/>
        <n v="116"/>
        <n v="182"/>
        <n v="844"/>
        <n v="994"/>
        <n v="85"/>
        <n v="257"/>
        <n v="391"/>
        <n v="621"/>
        <n v="328"/>
        <n v="138"/>
        <n v="285"/>
        <n v="172"/>
        <n v="469"/>
        <n v="142"/>
        <n v="288"/>
        <n v="485"/>
        <n v="317"/>
        <n v="179"/>
        <n v="201"/>
        <n v="97"/>
        <n v="529"/>
        <n v="64"/>
        <n v="531"/>
        <n v="499"/>
        <n v="95"/>
        <n v="98"/>
        <n v="87"/>
        <n v="193"/>
        <n v="388"/>
        <n v="911"/>
        <n v="70"/>
        <n v="124"/>
        <n v="254"/>
        <n v="19"/>
        <n v="958"/>
        <n v="74"/>
        <n v="245"/>
        <n v="144"/>
        <n v="356"/>
        <n v="153"/>
        <n v="339"/>
        <n v="407"/>
        <n v="326"/>
        <n v="125"/>
        <n v="234"/>
        <n v="343"/>
        <n v="350"/>
        <n v="32"/>
        <n v="502"/>
        <n v="136"/>
        <n v="206"/>
        <n v="69"/>
        <n v="33"/>
        <n v="192"/>
        <n v="253"/>
        <n v="256"/>
        <n v="359"/>
        <n v="666"/>
        <n v="163"/>
        <n v="238"/>
        <n v="316"/>
        <n v="451"/>
        <n v="157"/>
        <n v="338"/>
        <n v="292"/>
        <n v="177"/>
        <n v="227"/>
        <n v="303"/>
        <n v="732"/>
        <n v="512"/>
        <n v="147"/>
        <n v="417"/>
        <n v="130"/>
        <n v="110"/>
        <n v="687"/>
        <n v="490"/>
        <n v="631"/>
        <n v="428"/>
        <n v="291"/>
        <n v="278"/>
        <n v="197"/>
        <n v="30"/>
        <n v="405"/>
        <n v="54"/>
        <n v="104"/>
        <n v="88"/>
        <n v="307"/>
        <n v="630"/>
        <n v="90"/>
        <n v="491"/>
        <n v="578"/>
        <n v="860"/>
        <n v="188"/>
      </sharedItems>
    </cacheField>
    <cacheField name="Products.selling_price" numFmtId="7">
      <sharedItems containsSemiMixedTypes="0" containsString="0" containsNumber="1" minValue="14.64" maxValue="1283.1600000000001" count="488">
        <n v="394.31"/>
        <n v="521.26"/>
        <n v="248.60000000000002"/>
        <n v="246.86999999999998"/>
        <n v="99.759999999999991"/>
        <n v="1283.1600000000001"/>
        <n v="66.08"/>
        <n v="240.48"/>
        <n v="97.94"/>
        <n v="210.25"/>
        <n v="342.23999999999995"/>
        <n v="777.14"/>
        <n v="37.700000000000003"/>
        <n v="186.44"/>
        <n v="768"/>
        <n v="153.69"/>
        <n v="533.5200000000001"/>
        <n v="95.88"/>
        <n v="161.28"/>
        <n v="590.04"/>
        <n v="245.1"/>
        <n v="1128.8999999999999"/>
        <n v="140.39000000000001"/>
        <n v="93.149999999999991"/>
        <n v="234.73999999999998"/>
        <n v="19.46"/>
        <n v="103.49999999999999"/>
        <n v="353.13"/>
        <n v="841.68"/>
        <n v="144"/>
        <n v="16.32"/>
        <n v="52.400000000000006"/>
        <n v="118.64999999999999"/>
        <n v="306.88"/>
        <n v="111.77999999999999"/>
        <n v="116.28000000000002"/>
        <n v="1248.8800000000001"/>
        <n v="677.16000000000008"/>
        <n v="174.15"/>
        <n v="96.6"/>
        <n v="261.8"/>
        <n v="189.28000000000003"/>
        <n v="51.25"/>
        <n v="52.199999999999996"/>
        <n v="327.46999999999997"/>
        <n v="139.07999999999998"/>
        <n v="51.919999999999995"/>
        <n v="160.45999999999998"/>
        <n v="192.1"/>
        <n v="58.830000000000005"/>
        <n v="68.97"/>
        <n v="235.84"/>
        <n v="95.850000000000009"/>
        <n v="291.03999999999996"/>
        <n v="164.02"/>
        <n v="209.1"/>
        <n v="148.59"/>
        <n v="644.16"/>
        <n v="62.1"/>
        <n v="77.47"/>
        <n v="445.3"/>
        <n v="241.3"/>
        <n v="17.399999999999999"/>
        <n v="219.04"/>
        <n v="17.849999999999998"/>
        <n v="104.92"/>
        <n v="243.6"/>
        <n v="435.96"/>
        <n v="163.16999999999999"/>
        <n v="56.16"/>
        <n v="590.54999999999995"/>
        <n v="1199.08"/>
        <n v="206.15"/>
        <n v="80.08"/>
        <n v="26.46"/>
        <n v="158.67000000000002"/>
        <n v="313.69"/>
        <n v="218.12"/>
        <n v="367.08000000000004"/>
        <n v="710.02"/>
        <n v="49.14"/>
        <n v="215.82999999999998"/>
        <n v="921"/>
        <n v="223.73999999999998"/>
        <n v="117.3"/>
        <n v="297.83999999999997"/>
        <n v="41.809999999999995"/>
        <n v="38.61"/>
        <n v="764.31999999999994"/>
        <n v="80.940000000000012"/>
        <n v="427.84000000000003"/>
        <n v="285.59999999999997"/>
        <n v="382.52"/>
        <n v="66.27"/>
        <n v="25.74"/>
        <n v="97.02"/>
        <n v="75.789999999999992"/>
        <n v="699.46999999999991"/>
        <n v="204.6"/>
        <n v="152.76000000000002"/>
        <n v="208"/>
        <n v="184.32"/>
        <n v="20.7"/>
        <n v="85.84"/>
        <n v="91.98"/>
        <n v="47.25"/>
        <n v="386.40000000000003"/>
        <n v="182.09"/>
        <n v="185.76"/>
        <n v="527.04"/>
        <n v="21.299999999999997"/>
        <n v="410.04"/>
        <n v="20.23"/>
        <n v="540.64"/>
        <n v="420.9"/>
        <n v="1160.58"/>
        <n v="14.64"/>
        <n v="386.56"/>
        <n v="109.06"/>
        <n v="978.93"/>
        <n v="481.33"/>
        <n v="429.57000000000005"/>
        <n v="163.48000000000002"/>
        <n v="252.96"/>
        <n v="648"/>
        <n v="388.96"/>
        <n v="56.55"/>
        <n v="81.740000000000009"/>
        <n v="70.069999999999993"/>
        <n v="112.56"/>
        <n v="206.99999999999997"/>
        <n v="108.79999999999998"/>
        <n v="428.64"/>
        <n v="95.11999999999999"/>
        <n v="53.109999999999992"/>
        <n v="132.5"/>
        <n v="132.66"/>
        <n v="223.2"/>
        <n v="67.849999999999994"/>
        <n v="67.84"/>
        <n v="1249.5999999999999"/>
        <n v="175.54000000000002"/>
        <n v="57.000000000000007"/>
        <n v="345.40000000000003"/>
        <n v="878.59999999999991"/>
        <n v="57.199999999999996"/>
        <n v="123.71000000000001"/>
        <n v="123.75"/>
        <n v="37.25"/>
        <n v="272.8"/>
        <n v="148.02999999999997"/>
        <n v="318.72000000000003"/>
        <n v="153.9"/>
        <n v="228.69"/>
        <n v="204.82000000000002"/>
        <n v="30.66"/>
        <n v="66.55"/>
        <n v="60.269999999999996"/>
        <n v="396.64000000000004"/>
        <n v="202.76"/>
        <n v="46.08"/>
        <n v="128.62"/>
        <n v="516.88"/>
        <n v="76.88"/>
        <n v="290.54000000000002"/>
        <n v="223.5"/>
        <n v="28.000000000000004"/>
        <n v="56"/>
        <n v="106.47"/>
        <n v="550.79999999999995"/>
        <n v="23.76"/>
        <n v="31.08"/>
        <n v="152.44"/>
        <n v="282.17"/>
        <n v="347.03999999999996"/>
        <n v="27.400000000000002"/>
        <n v="364.14"/>
        <n v="148.73000000000002"/>
        <n v="219.12"/>
        <n v="291.87"/>
        <n v="484.71999999999997"/>
        <n v="145.13999999999999"/>
        <n v="30.5"/>
        <n v="496.99999999999994"/>
        <n v="257.25"/>
        <n v="69.36"/>
        <n v="368.75"/>
        <n v="1232.28"/>
        <n v="320.58"/>
        <n v="58.5"/>
        <n v="108.36"/>
        <n v="62.58"/>
        <n v="583.75"/>
        <n v="274.84999999999997"/>
        <n v="24.4"/>
        <n v="111.75"/>
        <n v="260.48"/>
        <n v="864.78"/>
        <n v="125.49"/>
        <n v="615.79000000000008"/>
        <n v="15.62"/>
        <n v="90.28"/>
        <n v="91.5"/>
        <n v="253.07999999999998"/>
        <n v="28.4"/>
        <n v="144.48000000000002"/>
        <n v="201.25"/>
        <n v="36.68"/>
        <n v="82.5"/>
        <n v="129.71"/>
        <n v="25.299999999999997"/>
        <n v="15.6"/>
        <n v="67.83"/>
        <n v="173.73999999999998"/>
        <n v="866.59999999999991"/>
        <n v="592.11"/>
        <n v="64.13"/>
        <n v="139.52000000000001"/>
        <n v="572.26"/>
        <n v="948.64"/>
        <n v="85.15"/>
        <n v="187.96"/>
        <n v="891.02"/>
        <n v="804.54"/>
        <n v="93.01"/>
        <n v="547.58000000000004"/>
        <n v="262.64000000000004"/>
        <n v="269.09999999999997"/>
        <n v="275.52000000000004"/>
        <n v="65.7"/>
        <n v="49.699999999999996"/>
        <n v="229.46"/>
        <n v="305"/>
        <n v="136.29999999999998"/>
        <n v="235.3"/>
        <n v="498.60999999999996"/>
        <n v="159.82"/>
        <n v="209.60000000000002"/>
        <n v="312.40000000000003"/>
        <n v="286.44"/>
        <n v="43.66"/>
        <n v="25.6"/>
        <n v="170.79999999999998"/>
        <n v="760.66"/>
        <n v="73.319999999999993"/>
        <n v="154.79999999999998"/>
        <n v="332.21999999999997"/>
        <n v="128.13999999999999"/>
        <n v="134.4"/>
        <n v="29.67"/>
        <n v="155.4"/>
        <n v="103.66"/>
        <n v="83.2"/>
        <n v="74.5"/>
        <n v="83.52"/>
        <n v="1235.1600000000001"/>
        <n v="398.61"/>
        <n v="157.30000000000001"/>
        <n v="791.31999999999994"/>
        <n v="271.39999999999998"/>
        <n v="101.08000000000001"/>
        <n v="321.53999999999996"/>
        <n v="240.47000000000003"/>
        <n v="163.35000000000002"/>
        <n v="431.96999999999997"/>
        <n v="462.16999999999996"/>
        <n v="896.76"/>
        <n v="1056.48"/>
        <n v="87.399999999999991"/>
        <n v="179.35999999999999"/>
        <n v="16.39"/>
        <n v="365.84"/>
        <n v="457.7"/>
        <n v="64.960000000000008"/>
        <n v="134.62"/>
        <n v="39.479999999999997"/>
        <n v="45.26"/>
        <n v="108"/>
        <n v="423.4"/>
        <n v="630.72"/>
        <n v="999.45999999999992"/>
        <n v="557.70000000000005"/>
        <n v="606.34"/>
        <n v="490.44000000000005"/>
        <n v="425.22"/>
        <n v="84.1"/>
        <n v="146.52000000000001"/>
        <n v="135"/>
        <n v="322.49"/>
        <n v="110.08"/>
        <n v="659.26"/>
        <n v="176.9"/>
        <n v="245.7"/>
        <n v="155.10000000000002"/>
        <n v="204.47"/>
        <n v="119.72"/>
        <n v="354.2"/>
        <n v="528.9"/>
        <n v="155.87"/>
        <n v="134.56"/>
        <n v="263.89999999999998"/>
        <n v="1055"/>
        <n v="1212.68"/>
        <n v="217.1"/>
        <n v="126.65"/>
        <n v="308.39999999999998"/>
        <n v="50.43"/>
        <n v="445.74000000000007"/>
        <n v="63.8"/>
        <n v="794.88"/>
        <n v="443.7"/>
        <n v="426.40000000000003"/>
        <n v="126.54000000000002"/>
        <n v="180.70000000000002"/>
        <n v="162.84"/>
        <n v="381.90000000000003"/>
        <n v="242.51999999999998"/>
        <n v="694.12"/>
        <n v="194.54000000000002"/>
        <n v="45.88"/>
        <n v="339.84"/>
        <n v="640.20000000000005"/>
        <n v="355.04"/>
        <n v="259.55"/>
        <n v="194.25000000000003"/>
        <n v="53.239999999999995"/>
        <n v="287.43"/>
        <n v="56.32"/>
        <n v="136.76999999999998"/>
        <n v="682.41"/>
        <n v="133.9"/>
        <n v="313.54000000000002"/>
        <n v="77.44"/>
        <n v="637.19999999999993"/>
        <n v="708.57999999999993"/>
        <n v="142.5"/>
        <n v="117.6"/>
        <n v="129.63"/>
        <n v="138.60000000000002"/>
        <n v="186.48"/>
        <n v="237.39"/>
        <n v="477.24"/>
        <n v="1020.32"/>
        <n v="88.2"/>
        <n v="230.51999999999998"/>
        <n v="368.44"/>
        <n v="121.25999999999999"/>
        <n v="141.36000000000001"/>
        <n v="183.17999999999998"/>
        <n v="322.58"/>
        <n v="26.03"/>
        <n v="1149.5999999999999"/>
        <n v="154.97999999999999"/>
        <n v="93.24"/>
        <n v="79.36"/>
        <n v="631.56000000000006"/>
        <n v="340.55"/>
        <n v="174.24"/>
        <n v="487.72"/>
        <n v="78.44"/>
        <n v="208.78"/>
        <n v="106.58"/>
        <n v="120.53999999999999"/>
        <n v="183.6"/>
        <n v="423.75"/>
        <n v="286.77"/>
        <n v="582.01"/>
        <n v="26.599999999999998"/>
        <n v="38.130000000000003"/>
        <n v="404.24"/>
        <n v="175"/>
        <n v="280.8"/>
        <n v="84.32"/>
        <n v="58.050000000000004"/>
        <n v="333.45000000000005"/>
        <n v="172.28"/>
        <n v="91.08"/>
        <n v="501.59999999999997"/>
        <n v="211.76999999999998"/>
        <n v="52.08"/>
        <n v="487.06"/>
        <n v="479.50000000000006"/>
        <n v="326.57"/>
        <n v="232.75"/>
        <n v="239.25"/>
        <n v="39.68"/>
        <n v="642.56000000000006"/>
        <n v="161.84"/>
        <n v="241.49999999999997"/>
        <n v="226.60000000000002"/>
        <n v="83.850000000000009"/>
        <n v="90.39"/>
        <n v="119.85"/>
        <n v="322.40000000000003"/>
        <n v="42.9"/>
        <n v="238.07999999999998"/>
        <n v="154.88"/>
        <n v="344.08"/>
        <n v="76.16"/>
        <n v="101.64"/>
        <n v="241.2"/>
        <n v="322"/>
        <n v="169.39999999999998"/>
        <n v="83.44"/>
        <n v="299.52"/>
        <n v="122.10000000000001"/>
        <n v="423.62"/>
        <n v="107.52"/>
        <n v="241.92000000000002"/>
        <n v="799.19999999999993"/>
        <n v="70.89"/>
        <n v="239.60999999999999"/>
        <n v="158.92000000000002"/>
        <n v="273.7"/>
        <n v="143.98999999999998"/>
        <n v="423.44"/>
        <n v="73.78"/>
        <n v="568.26"/>
        <n v="235.5"/>
        <n v="188.16"/>
        <n v="259.83999999999997"/>
        <n v="486.71999999999997"/>
        <n v="113.10000000000001"/>
        <n v="414.64"/>
        <n v="205.32"/>
        <n v="74.820000000000007"/>
        <n v="324.61"/>
        <n v="369.65999999999997"/>
        <n v="1046.76"/>
        <n v="752.64"/>
        <n v="208.73999999999998"/>
        <n v="571.29000000000008"/>
        <n v="217.8"/>
        <n v="167.70000000000002"/>
        <n v="202.16000000000003"/>
        <n v="82.88"/>
        <n v="197.28"/>
        <n v="137.85999999999999"/>
        <n v="176.79999999999998"/>
        <n v="129.79999999999998"/>
        <n v="879.36"/>
        <n v="207.32"/>
        <n v="612.5"/>
        <n v="757.19999999999993"/>
        <n v="103.35999999999999"/>
        <n v="822.15000000000009"/>
        <n v="69.12"/>
        <n v="513.6"/>
        <n v="36.58"/>
        <n v="421.95"/>
        <n v="308.58000000000004"/>
        <n v="385.28000000000003"/>
        <n v="285.64999999999998"/>
        <n v="448.05"/>
        <n v="344.03999999999996"/>
        <n v="35.099999999999994"/>
        <n v="522.45000000000005"/>
        <n v="157.5"/>
        <n v="57.81"/>
        <n v="64.48"/>
        <n v="20.399999999999999"/>
        <n v="75.06"/>
        <n v="19.2"/>
        <n v="136.24"/>
        <n v="122.32000000000001"/>
        <n v="426.73"/>
        <n v="693"/>
        <n v="175.82"/>
        <n v="109.8"/>
        <n v="244.99999999999997"/>
        <n v="58.56"/>
        <n v="175.45"/>
        <n v="140"/>
        <n v="265.49"/>
        <n v="584.29"/>
        <n v="236.28"/>
        <n v="107.35"/>
        <n v="120.63999999999999"/>
        <n v="658.92000000000007"/>
        <n v="55.37"/>
        <n v="187.20000000000002"/>
        <n v="221.76"/>
        <n v="170.5"/>
        <n v="76.45"/>
        <n v="76.559999999999988"/>
        <n v="151.19999999999999"/>
        <n v="1109.4000000000001"/>
        <n v="278.24"/>
      </sharedItems>
    </cacheField>
    <cacheField name="Sales.sale_id" numFmtId="0">
      <sharedItems containsSemiMixedTypes="0" containsString="0" containsNumber="1" containsInteger="1" minValue="2" maxValue="500"/>
    </cacheField>
    <cacheField name="sales_Month" numFmtId="0">
      <sharedItems count="12">
        <s v="Mar"/>
        <s v="Aug"/>
        <s v="Jul"/>
        <s v="Jun"/>
        <s v="Dec"/>
        <s v="Nov"/>
        <s v="Oct"/>
        <s v="Apr"/>
        <s v="Jan"/>
        <s v="Feb"/>
        <s v="Sep"/>
        <s v="May"/>
      </sharedItems>
    </cacheField>
    <cacheField name="Sales.date" numFmtId="165">
      <sharedItems containsSemiMixedTypes="0" containsNonDate="0" containsDate="1" containsString="0" minDate="2023-01-06T00:00:00" maxDate="2025-11-11T00:00:00"/>
    </cacheField>
    <cacheField name="Sales.branch_id" numFmtId="0">
      <sharedItems containsSemiMixedTypes="0" containsString="0" containsNumber="1" containsInteger="1" minValue="1" maxValue="8"/>
    </cacheField>
    <cacheField name="Sales.customer_id" numFmtId="2">
      <sharedItems containsSemiMixedTypes="0" containsString="0" containsNumber="1" containsInteger="1" minValue="1" maxValue="220"/>
    </cacheField>
    <cacheField name="Sales.product_id" numFmtId="0">
      <sharedItems containsSemiMixedTypes="0" containsString="0" containsNumber="1" containsInteger="1" minValue="1" maxValue="100"/>
    </cacheField>
    <cacheField name="Sales.quantity" numFmtId="0">
      <sharedItems containsSemiMixedTypes="0" containsString="0" containsNumber="1" containsInteger="1" minValue="1" maxValue="5" count="5">
        <n v="1"/>
        <n v="5"/>
        <n v="3"/>
        <n v="2"/>
        <n v="4"/>
      </sharedItems>
    </cacheField>
    <cacheField name="Sales.price" numFmtId="7">
      <sharedItems containsSemiMixedTypes="0" containsString="0" containsNumber="1" minValue="14.64" maxValue="1026.528"/>
    </cacheField>
    <cacheField name="Sales.discount" numFmtId="9">
      <sharedItems containsSemiMixedTypes="0" containsString="0" containsNumber="1" minValue="0" maxValue="0.2"/>
    </cacheField>
    <cacheField name="Sales.total_amount" numFmtId="7">
      <sharedItems containsSemiMixedTypes="0" containsString="0" containsNumber="1" minValue="14.64" maxValue="1918.528"/>
    </cacheField>
    <cacheField name="profit_per.sale" numFmtId="164">
      <sharedItems containsSemiMixedTypes="0" containsString="0" containsNumber="1" minValue="2.3999999999999986" maxValue="943.79199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"/>
    <d v="2023-09-29T00:00:00"/>
    <d v="1900-01-25T00:00:00"/>
    <n v="9"/>
    <x v="0"/>
    <s v="Male"/>
    <x v="0"/>
    <d v="2023-09-29T00:00:00"/>
    <n v="29"/>
    <x v="0"/>
    <x v="0"/>
    <x v="0"/>
    <n v="2"/>
    <x v="0"/>
    <x v="0"/>
    <x v="0"/>
    <x v="0"/>
    <n v="2"/>
    <x v="0"/>
    <d v="2023-03-24T00:00:00"/>
    <n v="3"/>
    <n v="152"/>
    <n v="24"/>
    <x v="0"/>
    <n v="374.59449999999998"/>
    <n v="0.05"/>
    <n v="374.59449999999998"/>
    <n v="113.02550000000002"/>
  </r>
  <r>
    <n v="2"/>
    <d v="2024-02-05T00:00:00"/>
    <d v="1900-01-21T00:00:00"/>
    <n v="3"/>
    <x v="1"/>
    <s v="Male"/>
    <x v="1"/>
    <d v="2024-02-05T00:00:00"/>
    <n v="5"/>
    <x v="1"/>
    <x v="1"/>
    <x v="1"/>
    <n v="3"/>
    <x v="0"/>
    <x v="1"/>
    <x v="1"/>
    <x v="1"/>
    <n v="3"/>
    <x v="1"/>
    <d v="2025-08-21T00:00:00"/>
    <n v="8"/>
    <n v="77"/>
    <n v="84"/>
    <x v="0"/>
    <n v="417.00800000000004"/>
    <n v="0.2"/>
    <n v="417.00800000000004"/>
    <n v="236.51199999999994"/>
  </r>
  <r>
    <n v="3"/>
    <d v="2025-02-21T00:00:00"/>
    <d v="1900-01-09T00:00:00"/>
    <n v="1"/>
    <x v="2"/>
    <s v="Male"/>
    <x v="2"/>
    <d v="2025-02-21T00:00:00"/>
    <n v="21"/>
    <x v="1"/>
    <x v="2"/>
    <x v="2"/>
    <n v="4"/>
    <x v="1"/>
    <x v="2"/>
    <x v="2"/>
    <x v="2"/>
    <n v="4"/>
    <x v="2"/>
    <d v="2024-07-23T00:00:00"/>
    <n v="3"/>
    <n v="123"/>
    <n v="97"/>
    <x v="1"/>
    <n v="236.17000000000002"/>
    <n v="0.05"/>
    <n v="1180.8500000000001"/>
    <n v="175.15000000000015"/>
  </r>
  <r>
    <n v="4"/>
    <d v="2025-07-18T00:00:00"/>
    <d v="1900-01-04T00:00:00"/>
    <n v="4"/>
    <x v="3"/>
    <s v="Male"/>
    <x v="2"/>
    <d v="2025-07-18T00:00:00"/>
    <n v="18"/>
    <x v="2"/>
    <x v="2"/>
    <x v="2"/>
    <n v="5"/>
    <x v="2"/>
    <x v="3"/>
    <x v="3"/>
    <x v="3"/>
    <n v="5"/>
    <x v="3"/>
    <d v="2025-06-11T00:00:00"/>
    <n v="8"/>
    <n v="106"/>
    <n v="30"/>
    <x v="2"/>
    <n v="234.52649999999997"/>
    <n v="0.05"/>
    <n v="703.57949999999994"/>
    <n v="144.64050000000003"/>
  </r>
  <r>
    <n v="5"/>
    <d v="2024-05-10T00:00:00"/>
    <d v="1900-01-18T00:00:00"/>
    <n v="2"/>
    <x v="4"/>
    <s v="Male"/>
    <x v="3"/>
    <d v="2024-05-10T00:00:00"/>
    <n v="10"/>
    <x v="3"/>
    <x v="1"/>
    <x v="2"/>
    <n v="6"/>
    <x v="1"/>
    <x v="4"/>
    <x v="4"/>
    <x v="4"/>
    <n v="6"/>
    <x v="2"/>
    <d v="2023-07-06T00:00:00"/>
    <n v="8"/>
    <n v="64"/>
    <n v="33"/>
    <x v="0"/>
    <n v="99.759999999999991"/>
    <n v="0"/>
    <n v="99.759999999999991"/>
    <n v="13.759999999999991"/>
  </r>
  <r>
    <n v="6"/>
    <d v="2023-09-29T00:00:00"/>
    <d v="1900-01-25T00:00:00"/>
    <n v="9"/>
    <x v="0"/>
    <s v="Female"/>
    <x v="2"/>
    <d v="2023-09-29T00:00:00"/>
    <n v="29"/>
    <x v="0"/>
    <x v="0"/>
    <x v="0"/>
    <n v="7"/>
    <x v="3"/>
    <x v="5"/>
    <x v="5"/>
    <x v="5"/>
    <n v="7"/>
    <x v="4"/>
    <d v="2024-12-13T00:00:00"/>
    <n v="7"/>
    <n v="22"/>
    <n v="16"/>
    <x v="0"/>
    <n v="1026.528"/>
    <n v="0.2"/>
    <n v="1026.528"/>
    <n v="672.79200000000014"/>
  </r>
  <r>
    <n v="7"/>
    <d v="2025-09-09T00:00:00"/>
    <d v="1900-01-02T00:00:00"/>
    <n v="3"/>
    <x v="5"/>
    <s v="Female"/>
    <x v="2"/>
    <d v="2025-09-09T00:00:00"/>
    <n v="9"/>
    <x v="0"/>
    <x v="2"/>
    <x v="2"/>
    <n v="8"/>
    <x v="0"/>
    <x v="6"/>
    <x v="6"/>
    <x v="6"/>
    <n v="8"/>
    <x v="5"/>
    <d v="2024-11-13T00:00:00"/>
    <n v="6"/>
    <n v="89"/>
    <n v="59"/>
    <x v="0"/>
    <n v="66.08"/>
    <n v="0"/>
    <n v="66.08"/>
    <n v="10.079999999999998"/>
  </r>
  <r>
    <n v="8"/>
    <d v="2025-11-07T00:00:00"/>
    <d v="1899-12-31T00:00:00"/>
    <n v="14"/>
    <x v="6"/>
    <s v="Female"/>
    <x v="0"/>
    <d v="2025-11-07T00:00:00"/>
    <n v="7"/>
    <x v="4"/>
    <x v="2"/>
    <x v="2"/>
    <n v="9"/>
    <x v="4"/>
    <x v="7"/>
    <x v="7"/>
    <x v="7"/>
    <n v="9"/>
    <x v="1"/>
    <d v="2023-08-03T00:00:00"/>
    <n v="3"/>
    <n v="50"/>
    <n v="30"/>
    <x v="0"/>
    <n v="228.45599999999999"/>
    <n v="0.05"/>
    <n v="228.45599999999999"/>
    <n v="85.503999999999991"/>
  </r>
  <r>
    <n v="9"/>
    <d v="2024-07-13T00:00:00"/>
    <d v="1900-01-16T00:00:00"/>
    <n v="6"/>
    <x v="7"/>
    <s v="Female"/>
    <x v="1"/>
    <d v="2024-07-13T00:00:00"/>
    <n v="13"/>
    <x v="2"/>
    <x v="1"/>
    <x v="1"/>
    <n v="10"/>
    <x v="5"/>
    <x v="8"/>
    <x v="8"/>
    <x v="8"/>
    <n v="10"/>
    <x v="5"/>
    <d v="2024-11-06T00:00:00"/>
    <n v="7"/>
    <n v="207"/>
    <n v="96"/>
    <x v="0"/>
    <n v="97.94"/>
    <n v="0"/>
    <n v="97.94"/>
    <n v="14.939999999999998"/>
  </r>
  <r>
    <n v="10"/>
    <d v="2025-01-12T00:00:00"/>
    <d v="1900-01-10T00:00:00"/>
    <n v="7"/>
    <x v="8"/>
    <s v="Female"/>
    <x v="1"/>
    <d v="2025-01-12T00:00:00"/>
    <n v="12"/>
    <x v="5"/>
    <x v="2"/>
    <x v="2"/>
    <n v="11"/>
    <x v="6"/>
    <x v="9"/>
    <x v="9"/>
    <x v="9"/>
    <n v="11"/>
    <x v="6"/>
    <d v="2025-10-11T00:00:00"/>
    <n v="5"/>
    <n v="80"/>
    <n v="48"/>
    <x v="0"/>
    <n v="199.73749999999998"/>
    <n v="0.05"/>
    <n v="199.73749999999998"/>
    <n v="75.762500000000017"/>
  </r>
  <r>
    <n v="11"/>
    <d v="2025-10-09T00:00:00"/>
    <d v="1900-01-01T00:00:00"/>
    <n v="2"/>
    <x v="9"/>
    <s v="Male"/>
    <x v="1"/>
    <d v="2025-10-09T00:00:00"/>
    <n v="9"/>
    <x v="6"/>
    <x v="2"/>
    <x v="2"/>
    <n v="12"/>
    <x v="1"/>
    <x v="10"/>
    <x v="10"/>
    <x v="10"/>
    <n v="12"/>
    <x v="0"/>
    <d v="2025-03-31T00:00:00"/>
    <n v="1"/>
    <n v="45"/>
    <n v="19"/>
    <x v="0"/>
    <n v="325.12799999999993"/>
    <n v="0.05"/>
    <n v="325.12799999999993"/>
    <n v="111.35199999999998"/>
  </r>
  <r>
    <n v="12"/>
    <d v="2025-12-16T00:00:00"/>
    <d v="1899-12-30T00:00:00"/>
    <n v="6"/>
    <x v="10"/>
    <s v="Female"/>
    <x v="1"/>
    <d v="2025-12-16T00:00:00"/>
    <n v="16"/>
    <x v="7"/>
    <x v="2"/>
    <x v="2"/>
    <n v="13"/>
    <x v="3"/>
    <x v="11"/>
    <x v="11"/>
    <x v="11"/>
    <n v="13"/>
    <x v="2"/>
    <d v="2025-07-20T00:00:00"/>
    <n v="2"/>
    <n v="177"/>
    <n v="26"/>
    <x v="3"/>
    <n v="621.71199999999999"/>
    <n v="0.2"/>
    <n v="1243.424"/>
    <n v="591.13599999999997"/>
  </r>
  <r>
    <n v="13"/>
    <d v="2023-07-10T00:00:00"/>
    <d v="1900-01-28T00:00:00"/>
    <n v="5"/>
    <x v="11"/>
    <s v="Female"/>
    <x v="0"/>
    <d v="2023-07-10T00:00:00"/>
    <n v="10"/>
    <x v="2"/>
    <x v="0"/>
    <x v="1"/>
    <n v="14"/>
    <x v="7"/>
    <x v="12"/>
    <x v="12"/>
    <x v="12"/>
    <n v="14"/>
    <x v="6"/>
    <d v="2024-10-06T00:00:00"/>
    <n v="5"/>
    <n v="172"/>
    <n v="66"/>
    <x v="3"/>
    <n v="35.814999999999998"/>
    <n v="0.05"/>
    <n v="71.63"/>
    <n v="21.170000000000016"/>
  </r>
  <r>
    <n v="14"/>
    <d v="2024-03-13T00:00:00"/>
    <d v="1900-01-20T00:00:00"/>
    <n v="7"/>
    <x v="12"/>
    <s v="Male"/>
    <x v="3"/>
    <d v="2024-03-13T00:00:00"/>
    <n v="13"/>
    <x v="8"/>
    <x v="1"/>
    <x v="0"/>
    <n v="15"/>
    <x v="4"/>
    <x v="13"/>
    <x v="13"/>
    <x v="13"/>
    <n v="15"/>
    <x v="6"/>
    <d v="2024-10-24T00:00:00"/>
    <n v="2"/>
    <n v="152"/>
    <n v="26"/>
    <x v="0"/>
    <n v="186.44"/>
    <n v="0"/>
    <n v="186.44"/>
    <n v="28.439999999999998"/>
  </r>
  <r>
    <n v="15"/>
    <d v="2025-06-04T00:00:00"/>
    <d v="1900-01-05T00:00:00"/>
    <n v="7"/>
    <x v="13"/>
    <s v="Female"/>
    <x v="2"/>
    <d v="2025-06-04T00:00:00"/>
    <n v="4"/>
    <x v="9"/>
    <x v="2"/>
    <x v="2"/>
    <n v="16"/>
    <x v="8"/>
    <x v="14"/>
    <x v="14"/>
    <x v="14"/>
    <n v="16"/>
    <x v="7"/>
    <d v="2025-04-07T00:00:00"/>
    <n v="1"/>
    <n v="203"/>
    <n v="26"/>
    <x v="0"/>
    <n v="614.40000000000009"/>
    <n v="0.2"/>
    <n v="614.40000000000009"/>
    <n v="281.59999999999991"/>
  </r>
  <r>
    <n v="16"/>
    <d v="2024-07-28T00:00:00"/>
    <d v="1900-01-15T00:00:00"/>
    <n v="12"/>
    <x v="14"/>
    <s v="Male"/>
    <x v="1"/>
    <d v="2024-07-28T00:00:00"/>
    <n v="28"/>
    <x v="2"/>
    <x v="1"/>
    <x v="1"/>
    <n v="17"/>
    <x v="5"/>
    <x v="15"/>
    <x v="15"/>
    <x v="15"/>
    <n v="17"/>
    <x v="1"/>
    <d v="2025-08-04T00:00:00"/>
    <n v="7"/>
    <n v="40"/>
    <n v="26"/>
    <x v="0"/>
    <n v="153.69"/>
    <n v="0"/>
    <n v="153.69"/>
    <n v="44.69"/>
  </r>
  <r>
    <n v="17"/>
    <d v="2024-06-06T00:00:00"/>
    <d v="1900-01-17T00:00:00"/>
    <n v="6"/>
    <x v="15"/>
    <s v="Female"/>
    <x v="0"/>
    <d v="2024-06-06T00:00:00"/>
    <n v="6"/>
    <x v="9"/>
    <x v="1"/>
    <x v="1"/>
    <n v="18"/>
    <x v="8"/>
    <x v="16"/>
    <x v="16"/>
    <x v="16"/>
    <n v="18"/>
    <x v="7"/>
    <d v="2023-04-22T00:00:00"/>
    <n v="4"/>
    <n v="3"/>
    <n v="47"/>
    <x v="0"/>
    <n v="426.81600000000009"/>
    <n v="0.2"/>
    <n v="426.81600000000009"/>
    <n v="172.22400000000005"/>
  </r>
  <r>
    <n v="18"/>
    <d v="2023-01-11T00:00:00"/>
    <d v="1900-02-03T00:00:00"/>
    <n v="9"/>
    <x v="16"/>
    <s v="Female"/>
    <x v="3"/>
    <d v="2023-01-11T00:00:00"/>
    <n v="11"/>
    <x v="5"/>
    <x v="0"/>
    <x v="0"/>
    <n v="19"/>
    <x v="2"/>
    <x v="17"/>
    <x v="17"/>
    <x v="17"/>
    <n v="19"/>
    <x v="8"/>
    <d v="2025-01-10T00:00:00"/>
    <n v="8"/>
    <n v="32"/>
    <n v="81"/>
    <x v="0"/>
    <n v="95.88"/>
    <n v="0"/>
    <n v="95.88"/>
    <n v="27.879999999999995"/>
  </r>
  <r>
    <n v="19"/>
    <d v="2025-04-21T00:00:00"/>
    <d v="1900-01-07T00:00:00"/>
    <n v="2"/>
    <x v="17"/>
    <s v="Female"/>
    <x v="1"/>
    <d v="2025-04-21T00:00:00"/>
    <n v="21"/>
    <x v="10"/>
    <x v="2"/>
    <x v="2"/>
    <n v="20"/>
    <x v="4"/>
    <x v="18"/>
    <x v="18"/>
    <x v="18"/>
    <n v="20"/>
    <x v="3"/>
    <d v="2025-06-24T00:00:00"/>
    <n v="1"/>
    <n v="60"/>
    <n v="71"/>
    <x v="0"/>
    <n v="161.28"/>
    <n v="0"/>
    <n v="161.28"/>
    <n v="35.28"/>
  </r>
  <r>
    <n v="20"/>
    <d v="2023-04-14T00:00:00"/>
    <d v="1900-01-31T00:00:00"/>
    <n v="10"/>
    <x v="18"/>
    <s v="Female"/>
    <x v="3"/>
    <d v="2023-04-14T00:00:00"/>
    <n v="14"/>
    <x v="10"/>
    <x v="0"/>
    <x v="3"/>
    <n v="21"/>
    <x v="1"/>
    <x v="19"/>
    <x v="19"/>
    <x v="19"/>
    <n v="21"/>
    <x v="9"/>
    <d v="2024-02-21T00:00:00"/>
    <n v="5"/>
    <n v="144"/>
    <n v="58"/>
    <x v="0"/>
    <n v="472.03199999999998"/>
    <n v="0.2"/>
    <n v="472.03199999999998"/>
    <n v="312.04799999999989"/>
  </r>
  <r>
    <n v="21"/>
    <d v="2023-10-03T00:00:00"/>
    <d v="1900-01-25T00:00:00"/>
    <n v="8"/>
    <x v="19"/>
    <s v="Female"/>
    <x v="0"/>
    <d v="2023-10-03T00:00:00"/>
    <n v="3"/>
    <x v="6"/>
    <x v="0"/>
    <x v="0"/>
    <n v="22"/>
    <x v="0"/>
    <x v="20"/>
    <x v="20"/>
    <x v="20"/>
    <n v="22"/>
    <x v="10"/>
    <d v="2023-09-26T00:00:00"/>
    <n v="5"/>
    <n v="21"/>
    <n v="61"/>
    <x v="0"/>
    <n v="232.84499999999997"/>
    <n v="0.05"/>
    <n v="232.84499999999997"/>
    <n v="67.355000000000018"/>
  </r>
  <r>
    <n v="22"/>
    <d v="2023-05-27T00:00:00"/>
    <d v="1900-01-29T00:00:00"/>
    <n v="6"/>
    <x v="20"/>
    <s v="Male"/>
    <x v="1"/>
    <d v="2023-05-27T00:00:00"/>
    <n v="27"/>
    <x v="3"/>
    <x v="0"/>
    <x v="1"/>
    <n v="23"/>
    <x v="3"/>
    <x v="21"/>
    <x v="21"/>
    <x v="21"/>
    <n v="23"/>
    <x v="3"/>
    <d v="2025-06-16T00:00:00"/>
    <n v="8"/>
    <n v="154"/>
    <n v="25"/>
    <x v="0"/>
    <n v="903.11999999999989"/>
    <n v="0.2"/>
    <n v="903.11999999999989"/>
    <n v="559.67999999999984"/>
  </r>
  <r>
    <n v="23"/>
    <d v="2023-10-03T00:00:00"/>
    <d v="1900-01-25T00:00:00"/>
    <n v="8"/>
    <x v="19"/>
    <s v="Female"/>
    <x v="0"/>
    <d v="2023-10-03T00:00:00"/>
    <n v="3"/>
    <x v="6"/>
    <x v="0"/>
    <x v="0"/>
    <n v="24"/>
    <x v="2"/>
    <x v="22"/>
    <x v="22"/>
    <x v="22"/>
    <n v="24"/>
    <x v="10"/>
    <d v="2023-09-06T00:00:00"/>
    <n v="1"/>
    <n v="19"/>
    <n v="31"/>
    <x v="0"/>
    <n v="140.39000000000001"/>
    <n v="0"/>
    <n v="140.39000000000001"/>
    <n v="39.390000000000015"/>
  </r>
  <r>
    <n v="24"/>
    <d v="2023-04-14T00:00:00"/>
    <d v="1900-01-31T00:00:00"/>
    <n v="10"/>
    <x v="18"/>
    <s v="Female"/>
    <x v="3"/>
    <d v="2023-04-14T00:00:00"/>
    <n v="14"/>
    <x v="10"/>
    <x v="0"/>
    <x v="3"/>
    <n v="25"/>
    <x v="0"/>
    <x v="23"/>
    <x v="23"/>
    <x v="23"/>
    <n v="25"/>
    <x v="11"/>
    <d v="2024-05-05T00:00:00"/>
    <n v="3"/>
    <n v="90"/>
    <n v="17"/>
    <x v="0"/>
    <n v="93.149999999999991"/>
    <n v="0"/>
    <n v="93.149999999999991"/>
    <n v="12.149999999999991"/>
  </r>
  <r>
    <n v="25"/>
    <d v="2025-08-08T00:00:00"/>
    <d v="1900-01-03T00:00:00"/>
    <n v="5"/>
    <x v="21"/>
    <s v="Male"/>
    <x v="1"/>
    <d v="2025-08-08T00:00:00"/>
    <n v="8"/>
    <x v="11"/>
    <x v="2"/>
    <x v="2"/>
    <n v="26"/>
    <x v="6"/>
    <x v="24"/>
    <x v="24"/>
    <x v="24"/>
    <n v="26"/>
    <x v="10"/>
    <d v="2024-09-28T00:00:00"/>
    <n v="1"/>
    <n v="179"/>
    <n v="74"/>
    <x v="0"/>
    <n v="223.00299999999996"/>
    <n v="0.05"/>
    <n v="223.00299999999996"/>
    <n v="52.477000000000004"/>
  </r>
  <r>
    <n v="26"/>
    <d v="2025-04-03T00:00:00"/>
    <d v="1900-01-07T00:00:00"/>
    <n v="12"/>
    <x v="22"/>
    <s v="Male"/>
    <x v="3"/>
    <d v="2025-04-03T00:00:00"/>
    <n v="3"/>
    <x v="10"/>
    <x v="2"/>
    <x v="2"/>
    <n v="27"/>
    <x v="4"/>
    <x v="25"/>
    <x v="25"/>
    <x v="25"/>
    <n v="27"/>
    <x v="7"/>
    <d v="2025-04-15T00:00:00"/>
    <n v="2"/>
    <n v="201"/>
    <n v="57"/>
    <x v="2"/>
    <n v="18.486999999999998"/>
    <n v="0.05"/>
    <n v="55.460999999999999"/>
    <n v="19.29900000000001"/>
  </r>
  <r>
    <n v="27"/>
    <d v="2024-03-02T00:00:00"/>
    <d v="1900-01-20T00:00:00"/>
    <n v="4"/>
    <x v="23"/>
    <s v="Male"/>
    <x v="1"/>
    <d v="2024-03-02T00:00:00"/>
    <n v="2"/>
    <x v="8"/>
    <x v="1"/>
    <x v="1"/>
    <n v="28"/>
    <x v="7"/>
    <x v="26"/>
    <x v="26"/>
    <x v="26"/>
    <n v="28"/>
    <x v="7"/>
    <d v="2024-04-05T00:00:00"/>
    <n v="2"/>
    <n v="112"/>
    <n v="95"/>
    <x v="3"/>
    <n v="98.324999999999989"/>
    <n v="0.05"/>
    <n v="196.64999999999998"/>
    <n v="67.349999999999966"/>
  </r>
  <r>
    <n v="28"/>
    <d v="2025-12-01T00:00:00"/>
    <d v="1899-12-30T00:00:00"/>
    <n v="1"/>
    <x v="24"/>
    <s v="Male"/>
    <x v="1"/>
    <d v="2025-12-01T00:00:00"/>
    <n v="1"/>
    <x v="7"/>
    <x v="2"/>
    <x v="2"/>
    <n v="29"/>
    <x v="2"/>
    <x v="27"/>
    <x v="27"/>
    <x v="27"/>
    <n v="29"/>
    <x v="1"/>
    <d v="2025-08-03T00:00:00"/>
    <n v="2"/>
    <n v="76"/>
    <n v="95"/>
    <x v="0"/>
    <n v="335.4735"/>
    <n v="0.05"/>
    <n v="335.4735"/>
    <n v="133.78649999999999"/>
  </r>
  <r>
    <n v="29"/>
    <d v="2025-06-04T00:00:00"/>
    <d v="1900-01-05T00:00:00"/>
    <n v="7"/>
    <x v="13"/>
    <s v="Female"/>
    <x v="2"/>
    <d v="2025-06-04T00:00:00"/>
    <n v="4"/>
    <x v="9"/>
    <x v="2"/>
    <x v="2"/>
    <n v="30"/>
    <x v="3"/>
    <x v="28"/>
    <x v="28"/>
    <x v="28"/>
    <n v="30"/>
    <x v="5"/>
    <d v="2023-11-12T00:00:00"/>
    <n v="8"/>
    <n v="108"/>
    <n v="57"/>
    <x v="0"/>
    <n v="673.34400000000005"/>
    <n v="0.2"/>
    <n v="673.34400000000005"/>
    <n v="342.01599999999985"/>
  </r>
  <r>
    <n v="30"/>
    <d v="2024-03-25T00:00:00"/>
    <d v="1900-01-19T00:00:00"/>
    <n v="8"/>
    <x v="25"/>
    <s v="Male"/>
    <x v="3"/>
    <d v="2024-03-25T00:00:00"/>
    <n v="25"/>
    <x v="8"/>
    <x v="1"/>
    <x v="0"/>
    <n v="31"/>
    <x v="4"/>
    <x v="29"/>
    <x v="29"/>
    <x v="29"/>
    <n v="31"/>
    <x v="1"/>
    <d v="2024-08-20T00:00:00"/>
    <n v="5"/>
    <n v="160"/>
    <n v="43"/>
    <x v="0"/>
    <n v="144"/>
    <n v="0"/>
    <n v="144"/>
    <n v="24"/>
  </r>
  <r>
    <n v="31"/>
    <d v="2025-05-11T00:00:00"/>
    <d v="1900-01-06T00:00:00"/>
    <n v="10"/>
    <x v="26"/>
    <s v="Male"/>
    <x v="2"/>
    <d v="2025-05-11T00:00:00"/>
    <n v="11"/>
    <x v="3"/>
    <x v="2"/>
    <x v="2"/>
    <n v="32"/>
    <x v="7"/>
    <x v="30"/>
    <x v="30"/>
    <x v="30"/>
    <n v="32"/>
    <x v="7"/>
    <d v="2025-04-30T00:00:00"/>
    <n v="8"/>
    <n v="208"/>
    <n v="72"/>
    <x v="3"/>
    <n v="15.504"/>
    <n v="0.05"/>
    <n v="31.007999999999999"/>
    <n v="10.272000000000006"/>
  </r>
  <r>
    <n v="32"/>
    <d v="2023-01-10T00:00:00"/>
    <d v="1900-02-03T00:00:00"/>
    <n v="6"/>
    <x v="27"/>
    <s v="Male"/>
    <x v="2"/>
    <d v="2023-01-10T00:00:00"/>
    <n v="10"/>
    <x v="5"/>
    <x v="0"/>
    <x v="1"/>
    <n v="33"/>
    <x v="5"/>
    <x v="31"/>
    <x v="31"/>
    <x v="31"/>
    <n v="33"/>
    <x v="1"/>
    <d v="2025-08-25T00:00:00"/>
    <n v="4"/>
    <n v="220"/>
    <n v="6"/>
    <x v="0"/>
    <n v="52.400000000000006"/>
    <n v="0"/>
    <n v="52.400000000000006"/>
    <n v="12.400000000000006"/>
  </r>
  <r>
    <n v="33"/>
    <d v="2024-07-28T00:00:00"/>
    <d v="1900-01-15T00:00:00"/>
    <n v="12"/>
    <x v="14"/>
    <s v="Female"/>
    <x v="1"/>
    <d v="2024-07-28T00:00:00"/>
    <n v="28"/>
    <x v="2"/>
    <x v="1"/>
    <x v="1"/>
    <n v="34"/>
    <x v="5"/>
    <x v="32"/>
    <x v="32"/>
    <x v="32"/>
    <n v="34"/>
    <x v="2"/>
    <d v="2025-07-24T00:00:00"/>
    <n v="3"/>
    <n v="118"/>
    <n v="33"/>
    <x v="0"/>
    <n v="118.64999999999999"/>
    <n v="0"/>
    <n v="118.64999999999999"/>
    <n v="13.649999999999991"/>
  </r>
  <r>
    <n v="34"/>
    <d v="2024-04-18T00:00:00"/>
    <d v="1900-01-19T00:00:00"/>
    <n v="7"/>
    <x v="28"/>
    <s v="Female"/>
    <x v="0"/>
    <d v="2024-04-18T00:00:00"/>
    <n v="18"/>
    <x v="10"/>
    <x v="1"/>
    <x v="0"/>
    <n v="35"/>
    <x v="6"/>
    <x v="33"/>
    <x v="33"/>
    <x v="33"/>
    <n v="35"/>
    <x v="9"/>
    <d v="2025-02-24T00:00:00"/>
    <n v="4"/>
    <n v="211"/>
    <n v="98"/>
    <x v="0"/>
    <n v="291.536"/>
    <n v="0.05"/>
    <n v="291.536"/>
    <n v="98.22399999999999"/>
  </r>
  <r>
    <n v="35"/>
    <d v="2023-10-03T00:00:00"/>
    <d v="1900-01-25T00:00:00"/>
    <n v="8"/>
    <x v="19"/>
    <s v="Male"/>
    <x v="0"/>
    <d v="2023-10-03T00:00:00"/>
    <n v="3"/>
    <x v="6"/>
    <x v="0"/>
    <x v="0"/>
    <n v="36"/>
    <x v="4"/>
    <x v="34"/>
    <x v="23"/>
    <x v="34"/>
    <n v="36"/>
    <x v="5"/>
    <d v="2025-11-06T00:00:00"/>
    <n v="3"/>
    <n v="187"/>
    <n v="52"/>
    <x v="3"/>
    <n v="106.19099999999999"/>
    <n v="0.05"/>
    <n v="212.38199999999998"/>
    <n v="72.737999999999971"/>
  </r>
  <r>
    <n v="36"/>
    <d v="2023-05-27T00:00:00"/>
    <d v="1900-01-29T00:00:00"/>
    <n v="6"/>
    <x v="20"/>
    <s v="Female"/>
    <x v="1"/>
    <d v="2023-05-27T00:00:00"/>
    <n v="27"/>
    <x v="3"/>
    <x v="0"/>
    <x v="1"/>
    <n v="37"/>
    <x v="1"/>
    <x v="35"/>
    <x v="34"/>
    <x v="35"/>
    <n v="37"/>
    <x v="11"/>
    <d v="2023-05-23T00:00:00"/>
    <n v="5"/>
    <n v="96"/>
    <n v="89"/>
    <x v="0"/>
    <n v="116.28000000000002"/>
    <n v="0"/>
    <n v="116.28000000000002"/>
    <n v="14.280000000000015"/>
  </r>
  <r>
    <n v="37"/>
    <d v="2023-01-07T00:00:00"/>
    <d v="1900-02-03T00:00:00"/>
    <n v="10"/>
    <x v="29"/>
    <s v="Male"/>
    <x v="0"/>
    <d v="2023-01-07T00:00:00"/>
    <n v="7"/>
    <x v="5"/>
    <x v="0"/>
    <x v="3"/>
    <n v="38"/>
    <x v="3"/>
    <x v="36"/>
    <x v="35"/>
    <x v="36"/>
    <n v="38"/>
    <x v="7"/>
    <d v="2025-04-29T00:00:00"/>
    <n v="6"/>
    <n v="93"/>
    <n v="9"/>
    <x v="0"/>
    <n v="999.10400000000016"/>
    <n v="0.2"/>
    <n v="999.10400000000016"/>
    <n v="566.65600000000018"/>
  </r>
  <r>
    <n v="38"/>
    <d v="2024-01-27T00:00:00"/>
    <d v="1900-01-21T00:00:00"/>
    <n v="2"/>
    <x v="30"/>
    <s v="Male"/>
    <x v="2"/>
    <d v="2024-01-27T00:00:00"/>
    <n v="27"/>
    <x v="5"/>
    <x v="1"/>
    <x v="2"/>
    <n v="39"/>
    <x v="8"/>
    <x v="37"/>
    <x v="36"/>
    <x v="37"/>
    <n v="39"/>
    <x v="5"/>
    <d v="2025-11-05T00:00:00"/>
    <n v="5"/>
    <n v="110"/>
    <n v="94"/>
    <x v="0"/>
    <n v="541.72800000000007"/>
    <n v="0.2"/>
    <n v="541.72800000000007"/>
    <n v="218.5920000000001"/>
  </r>
  <r>
    <n v="39"/>
    <d v="2023-10-23T00:00:00"/>
    <d v="1900-01-24T00:00:00"/>
    <n v="2"/>
    <x v="31"/>
    <s v="Male"/>
    <x v="0"/>
    <d v="2023-10-23T00:00:00"/>
    <n v="23"/>
    <x v="6"/>
    <x v="0"/>
    <x v="2"/>
    <n v="40"/>
    <x v="4"/>
    <x v="38"/>
    <x v="37"/>
    <x v="38"/>
    <n v="40"/>
    <x v="8"/>
    <d v="2023-01-06T00:00:00"/>
    <n v="5"/>
    <n v="39"/>
    <n v="25"/>
    <x v="0"/>
    <n v="174.15"/>
    <n v="0"/>
    <n v="174.15"/>
    <n v="39.150000000000006"/>
  </r>
  <r>
    <n v="40"/>
    <d v="2024-01-22T00:00:00"/>
    <d v="1900-01-22T00:00:00"/>
    <n v="2"/>
    <x v="32"/>
    <s v="Male"/>
    <x v="0"/>
    <d v="2024-01-22T00:00:00"/>
    <n v="22"/>
    <x v="5"/>
    <x v="1"/>
    <x v="2"/>
    <n v="41"/>
    <x v="2"/>
    <x v="39"/>
    <x v="38"/>
    <x v="39"/>
    <n v="41"/>
    <x v="10"/>
    <d v="2024-09-03T00:00:00"/>
    <n v="8"/>
    <n v="154"/>
    <n v="44"/>
    <x v="0"/>
    <n v="96.6"/>
    <n v="0"/>
    <n v="96.6"/>
    <n v="12.599999999999994"/>
  </r>
  <r>
    <n v="41"/>
    <d v="2025-01-12T00:00:00"/>
    <d v="1900-01-10T00:00:00"/>
    <n v="7"/>
    <x v="8"/>
    <s v="Male"/>
    <x v="1"/>
    <d v="2025-01-12T00:00:00"/>
    <n v="12"/>
    <x v="5"/>
    <x v="2"/>
    <x v="2"/>
    <n v="42"/>
    <x v="6"/>
    <x v="40"/>
    <x v="39"/>
    <x v="40"/>
    <n v="42"/>
    <x v="5"/>
    <d v="2023-11-01T00:00:00"/>
    <n v="8"/>
    <n v="143"/>
    <n v="25"/>
    <x v="0"/>
    <n v="248.71"/>
    <n v="0.05"/>
    <n v="248.71"/>
    <n v="54.890000000000043"/>
  </r>
  <r>
    <n v="42"/>
    <d v="2023-06-04T00:00:00"/>
    <d v="1900-01-29T00:00:00"/>
    <n v="4"/>
    <x v="33"/>
    <s v="Female"/>
    <x v="0"/>
    <d v="2023-06-04T00:00:00"/>
    <n v="4"/>
    <x v="9"/>
    <x v="0"/>
    <x v="1"/>
    <n v="43"/>
    <x v="4"/>
    <x v="41"/>
    <x v="40"/>
    <x v="41"/>
    <n v="43"/>
    <x v="10"/>
    <d v="2025-09-18T00:00:00"/>
    <n v="6"/>
    <n v="177"/>
    <n v="60"/>
    <x v="0"/>
    <n v="189.28000000000003"/>
    <n v="0"/>
    <n v="189.28000000000003"/>
    <n v="20.28000000000003"/>
  </r>
  <r>
    <n v="43"/>
    <d v="2025-04-22T00:00:00"/>
    <d v="1900-01-07T00:00:00"/>
    <n v="2"/>
    <x v="34"/>
    <s v="Male"/>
    <x v="2"/>
    <d v="2025-04-22T00:00:00"/>
    <n v="22"/>
    <x v="10"/>
    <x v="2"/>
    <x v="2"/>
    <n v="44"/>
    <x v="7"/>
    <x v="42"/>
    <x v="41"/>
    <x v="42"/>
    <n v="44"/>
    <x v="5"/>
    <d v="2024-11-11T00:00:00"/>
    <n v="7"/>
    <n v="37"/>
    <n v="93"/>
    <x v="0"/>
    <n v="51.25"/>
    <n v="0"/>
    <n v="51.25"/>
    <n v="10.25"/>
  </r>
  <r>
    <n v="44"/>
    <d v="2024-06-17T00:00:00"/>
    <d v="1900-01-17T00:00:00"/>
    <n v="10"/>
    <x v="35"/>
    <s v="Male"/>
    <x v="0"/>
    <d v="2024-06-17T00:00:00"/>
    <n v="17"/>
    <x v="9"/>
    <x v="1"/>
    <x v="0"/>
    <n v="45"/>
    <x v="5"/>
    <x v="43"/>
    <x v="42"/>
    <x v="43"/>
    <n v="45"/>
    <x v="2"/>
    <d v="2025-07-21T00:00:00"/>
    <n v="6"/>
    <n v="125"/>
    <n v="69"/>
    <x v="0"/>
    <n v="52.199999999999996"/>
    <n v="0"/>
    <n v="52.199999999999996"/>
    <n v="7.1999999999999957"/>
  </r>
  <r>
    <n v="45"/>
    <d v="2024-06-06T00:00:00"/>
    <d v="1900-01-17T00:00:00"/>
    <n v="6"/>
    <x v="15"/>
    <s v="Male"/>
    <x v="0"/>
    <d v="2024-06-06T00:00:00"/>
    <n v="6"/>
    <x v="9"/>
    <x v="1"/>
    <x v="1"/>
    <n v="46"/>
    <x v="2"/>
    <x v="44"/>
    <x v="43"/>
    <x v="44"/>
    <n v="46"/>
    <x v="8"/>
    <d v="2024-01-22T00:00:00"/>
    <n v="4"/>
    <n v="94"/>
    <n v="62"/>
    <x v="0"/>
    <n v="311.09649999999993"/>
    <n v="0.05"/>
    <n v="311.09649999999993"/>
    <n v="114.84350000000001"/>
  </r>
  <r>
    <n v="46"/>
    <d v="2023-04-17T00:00:00"/>
    <d v="1900-01-31T00:00:00"/>
    <n v="7"/>
    <x v="36"/>
    <s v="Male"/>
    <x v="1"/>
    <d v="2023-04-17T00:00:00"/>
    <n v="17"/>
    <x v="10"/>
    <x v="0"/>
    <x v="0"/>
    <n v="47"/>
    <x v="2"/>
    <x v="45"/>
    <x v="44"/>
    <x v="45"/>
    <n v="47"/>
    <x v="9"/>
    <d v="2025-02-23T00:00:00"/>
    <n v="4"/>
    <n v="149"/>
    <n v="80"/>
    <x v="0"/>
    <n v="139.07999999999998"/>
    <n v="0"/>
    <n v="139.07999999999998"/>
    <n v="25.079999999999984"/>
  </r>
  <r>
    <n v="47"/>
    <d v="2024-03-07T00:00:00"/>
    <d v="1900-01-20T00:00:00"/>
    <n v="4"/>
    <x v="37"/>
    <s v="Male"/>
    <x v="3"/>
    <d v="2024-03-07T00:00:00"/>
    <n v="7"/>
    <x v="8"/>
    <x v="1"/>
    <x v="1"/>
    <n v="48"/>
    <x v="2"/>
    <x v="46"/>
    <x v="45"/>
    <x v="46"/>
    <n v="48"/>
    <x v="7"/>
    <d v="2025-04-21T00:00:00"/>
    <n v="1"/>
    <n v="218"/>
    <n v="86"/>
    <x v="0"/>
    <n v="51.919999999999995"/>
    <n v="0"/>
    <n v="51.919999999999995"/>
    <n v="7.9199999999999946"/>
  </r>
  <r>
    <n v="48"/>
    <d v="2025-04-13T00:00:00"/>
    <d v="1900-01-07T00:00:00"/>
    <n v="4"/>
    <x v="38"/>
    <s v="Female"/>
    <x v="2"/>
    <d v="2025-04-13T00:00:00"/>
    <n v="13"/>
    <x v="10"/>
    <x v="2"/>
    <x v="2"/>
    <n v="49"/>
    <x v="5"/>
    <x v="47"/>
    <x v="46"/>
    <x v="47"/>
    <n v="49"/>
    <x v="6"/>
    <d v="2024-10-13T00:00:00"/>
    <n v="8"/>
    <n v="83"/>
    <n v="72"/>
    <x v="0"/>
    <n v="160.45999999999998"/>
    <n v="0"/>
    <n v="160.45999999999998"/>
    <n v="47.45999999999998"/>
  </r>
  <r>
    <n v="49"/>
    <d v="2025-10-19T00:00:00"/>
    <d v="1900-01-01T00:00:00"/>
    <n v="5"/>
    <x v="39"/>
    <s v="Female"/>
    <x v="2"/>
    <d v="2025-10-19T00:00:00"/>
    <n v="19"/>
    <x v="6"/>
    <x v="2"/>
    <x v="2"/>
    <n v="50"/>
    <x v="0"/>
    <x v="48"/>
    <x v="47"/>
    <x v="48"/>
    <n v="50"/>
    <x v="9"/>
    <d v="2025-02-19T00:00:00"/>
    <n v="7"/>
    <n v="193"/>
    <n v="83"/>
    <x v="0"/>
    <n v="192.1"/>
    <n v="0"/>
    <n v="192.1"/>
    <n v="22.099999999999994"/>
  </r>
  <r>
    <n v="50"/>
    <d v="2024-04-23T00:00:00"/>
    <d v="1900-01-18T00:00:00"/>
    <n v="13"/>
    <x v="40"/>
    <s v="Female"/>
    <x v="0"/>
    <d v="2024-04-23T00:00:00"/>
    <n v="23"/>
    <x v="10"/>
    <x v="1"/>
    <x v="0"/>
    <n v="51"/>
    <x v="4"/>
    <x v="49"/>
    <x v="48"/>
    <x v="49"/>
    <n v="51"/>
    <x v="5"/>
    <d v="2023-11-08T00:00:00"/>
    <n v="8"/>
    <n v="127"/>
    <n v="5"/>
    <x v="0"/>
    <n v="58.830000000000005"/>
    <n v="0"/>
    <n v="58.830000000000005"/>
    <n v="5.8300000000000054"/>
  </r>
  <r>
    <n v="51"/>
    <d v="2024-12-28T00:00:00"/>
    <d v="1900-01-10T00:00:00"/>
    <n v="8"/>
    <x v="41"/>
    <s v="Male"/>
    <x v="1"/>
    <d v="2024-12-28T00:00:00"/>
    <n v="28"/>
    <x v="7"/>
    <x v="1"/>
    <x v="2"/>
    <n v="52"/>
    <x v="7"/>
    <x v="50"/>
    <x v="49"/>
    <x v="50"/>
    <n v="52"/>
    <x v="0"/>
    <d v="2023-03-17T00:00:00"/>
    <n v="3"/>
    <n v="217"/>
    <n v="71"/>
    <x v="0"/>
    <n v="68.97"/>
    <n v="0"/>
    <n v="68.97"/>
    <n v="11.969999999999999"/>
  </r>
  <r>
    <n v="52"/>
    <d v="2025-10-20T00:00:00"/>
    <d v="1900-01-01T00:00:00"/>
    <n v="3"/>
    <x v="42"/>
    <s v="Male"/>
    <x v="3"/>
    <d v="2025-10-20T00:00:00"/>
    <n v="20"/>
    <x v="6"/>
    <x v="2"/>
    <x v="2"/>
    <n v="53"/>
    <x v="8"/>
    <x v="51"/>
    <x v="50"/>
    <x v="51"/>
    <n v="53"/>
    <x v="6"/>
    <d v="2025-10-25T00:00:00"/>
    <n v="6"/>
    <n v="195"/>
    <n v="4"/>
    <x v="0"/>
    <n v="224.048"/>
    <n v="0.05"/>
    <n v="224.048"/>
    <n v="71.632000000000005"/>
  </r>
  <r>
    <n v="53"/>
    <d v="2024-09-20T00:00:00"/>
    <d v="1900-01-14T00:00:00"/>
    <n v="2"/>
    <x v="43"/>
    <s v="Female"/>
    <x v="1"/>
    <d v="2024-09-20T00:00:00"/>
    <n v="20"/>
    <x v="0"/>
    <x v="1"/>
    <x v="2"/>
    <n v="54"/>
    <x v="1"/>
    <x v="52"/>
    <x v="51"/>
    <x v="52"/>
    <n v="54"/>
    <x v="2"/>
    <d v="2023-07-25T00:00:00"/>
    <n v="8"/>
    <n v="17"/>
    <n v="50"/>
    <x v="0"/>
    <n v="95.850000000000009"/>
    <n v="0"/>
    <n v="95.850000000000009"/>
    <n v="24.850000000000009"/>
  </r>
  <r>
    <n v="54"/>
    <d v="2024-03-13T00:00:00"/>
    <d v="1900-01-20T00:00:00"/>
    <n v="7"/>
    <x v="12"/>
    <s v="Male"/>
    <x v="3"/>
    <d v="2024-03-13T00:00:00"/>
    <n v="13"/>
    <x v="8"/>
    <x v="1"/>
    <x v="0"/>
    <n v="55"/>
    <x v="0"/>
    <x v="53"/>
    <x v="52"/>
    <x v="53"/>
    <n v="55"/>
    <x v="2"/>
    <d v="2023-07-24T00:00:00"/>
    <n v="8"/>
    <n v="200"/>
    <n v="64"/>
    <x v="0"/>
    <n v="276.48799999999994"/>
    <n v="0.05"/>
    <n v="276.48799999999994"/>
    <n v="91.591999999999985"/>
  </r>
  <r>
    <n v="55"/>
    <d v="2023-07-16T00:00:00"/>
    <d v="1900-01-28T00:00:00"/>
    <n v="2"/>
    <x v="44"/>
    <s v="Female"/>
    <x v="0"/>
    <d v="2023-07-16T00:00:00"/>
    <n v="16"/>
    <x v="2"/>
    <x v="0"/>
    <x v="2"/>
    <n v="56"/>
    <x v="5"/>
    <x v="54"/>
    <x v="53"/>
    <x v="54"/>
    <n v="56"/>
    <x v="9"/>
    <d v="2023-02-01T00:00:00"/>
    <n v="3"/>
    <n v="139"/>
    <n v="44"/>
    <x v="0"/>
    <n v="164.02"/>
    <n v="0"/>
    <n v="164.02"/>
    <n v="46.02000000000001"/>
  </r>
  <r>
    <n v="56"/>
    <d v="2023-09-28T00:00:00"/>
    <d v="1900-01-25T00:00:00"/>
    <n v="2"/>
    <x v="45"/>
    <s v="Female"/>
    <x v="2"/>
    <d v="2023-09-28T00:00:00"/>
    <n v="28"/>
    <x v="0"/>
    <x v="0"/>
    <x v="2"/>
    <n v="57"/>
    <x v="6"/>
    <x v="55"/>
    <x v="47"/>
    <x v="55"/>
    <n v="57"/>
    <x v="7"/>
    <d v="2025-04-19T00:00:00"/>
    <n v="3"/>
    <n v="190"/>
    <n v="47"/>
    <x v="0"/>
    <n v="198.64499999999998"/>
    <n v="0.05"/>
    <n v="198.64499999999998"/>
    <n v="49.555000000000007"/>
  </r>
  <r>
    <n v="57"/>
    <d v="2024-03-18T00:00:00"/>
    <d v="1900-01-20T00:00:00"/>
    <n v="2"/>
    <x v="46"/>
    <s v="Female"/>
    <x v="2"/>
    <d v="2024-03-18T00:00:00"/>
    <n v="18"/>
    <x v="8"/>
    <x v="1"/>
    <x v="2"/>
    <n v="58"/>
    <x v="0"/>
    <x v="56"/>
    <x v="54"/>
    <x v="56"/>
    <n v="58"/>
    <x v="3"/>
    <d v="2023-06-03T00:00:00"/>
    <n v="8"/>
    <n v="87"/>
    <n v="29"/>
    <x v="0"/>
    <n v="148.59"/>
    <n v="0"/>
    <n v="148.59"/>
    <n v="21.590000000000003"/>
  </r>
  <r>
    <n v="58"/>
    <d v="2023-07-09T00:00:00"/>
    <d v="1900-01-28T00:00:00"/>
    <n v="11"/>
    <x v="47"/>
    <s v="Female"/>
    <x v="1"/>
    <d v="2023-07-09T00:00:00"/>
    <n v="9"/>
    <x v="2"/>
    <x v="0"/>
    <x v="3"/>
    <n v="59"/>
    <x v="3"/>
    <x v="57"/>
    <x v="55"/>
    <x v="57"/>
    <n v="59"/>
    <x v="3"/>
    <d v="2024-06-26T00:00:00"/>
    <n v="6"/>
    <n v="106"/>
    <n v="94"/>
    <x v="0"/>
    <n v="515.32799999999997"/>
    <n v="0.2"/>
    <n v="515.32799999999997"/>
    <n v="244.99199999999996"/>
  </r>
  <r>
    <n v="59"/>
    <d v="2025-05-11T00:00:00"/>
    <d v="1900-01-06T00:00:00"/>
    <n v="10"/>
    <x v="26"/>
    <s v="Female"/>
    <x v="2"/>
    <d v="2025-05-11T00:00:00"/>
    <n v="11"/>
    <x v="3"/>
    <x v="2"/>
    <x v="2"/>
    <n v="60"/>
    <x v="8"/>
    <x v="58"/>
    <x v="56"/>
    <x v="58"/>
    <n v="60"/>
    <x v="0"/>
    <d v="2025-03-25T00:00:00"/>
    <n v="2"/>
    <n v="132"/>
    <n v="6"/>
    <x v="3"/>
    <n v="58.994999999999997"/>
    <n v="0.05"/>
    <n v="117.99"/>
    <n v="38.409999999999997"/>
  </r>
  <r>
    <n v="60"/>
    <d v="2025-12-03T00:00:00"/>
    <d v="1899-12-30T00:00:00"/>
    <n v="6"/>
    <x v="48"/>
    <s v="Female"/>
    <x v="0"/>
    <d v="2025-12-03T00:00:00"/>
    <n v="3"/>
    <x v="7"/>
    <x v="2"/>
    <x v="2"/>
    <n v="61"/>
    <x v="5"/>
    <x v="59"/>
    <x v="57"/>
    <x v="59"/>
    <n v="61"/>
    <x v="5"/>
    <d v="2024-11-03T00:00:00"/>
    <n v="7"/>
    <n v="43"/>
    <n v="72"/>
    <x v="0"/>
    <n v="77.47"/>
    <n v="0"/>
    <n v="77.47"/>
    <n v="16.47"/>
  </r>
  <r>
    <n v="61"/>
    <d v="2023-07-10T00:00:00"/>
    <d v="1900-01-28T00:00:00"/>
    <n v="5"/>
    <x v="11"/>
    <s v="Female"/>
    <x v="0"/>
    <d v="2023-07-10T00:00:00"/>
    <n v="10"/>
    <x v="2"/>
    <x v="0"/>
    <x v="1"/>
    <n v="62"/>
    <x v="3"/>
    <x v="60"/>
    <x v="58"/>
    <x v="60"/>
    <n v="62"/>
    <x v="6"/>
    <d v="2024-10-10T00:00:00"/>
    <n v="8"/>
    <n v="47"/>
    <n v="1"/>
    <x v="0"/>
    <n v="423.03499999999997"/>
    <n v="0.05"/>
    <n v="423.03499999999997"/>
    <n v="162.56500000000005"/>
  </r>
  <r>
    <n v="62"/>
    <d v="2025-11-11T00:00:00"/>
    <d v="1899-12-31T00:00:00"/>
    <n v="5"/>
    <x v="49"/>
    <s v="Female"/>
    <x v="0"/>
    <d v="2025-11-11T00:00:00"/>
    <n v="11"/>
    <x v="4"/>
    <x v="2"/>
    <x v="2"/>
    <n v="63"/>
    <x v="4"/>
    <x v="61"/>
    <x v="20"/>
    <x v="61"/>
    <n v="63"/>
    <x v="0"/>
    <d v="2023-03-15T00:00:00"/>
    <n v="2"/>
    <n v="165"/>
    <n v="70"/>
    <x v="0"/>
    <n v="229.23500000000001"/>
    <n v="0.05"/>
    <n v="229.23500000000001"/>
    <n v="63.365000000000009"/>
  </r>
  <r>
    <n v="63"/>
    <d v="2025-01-11T00:00:00"/>
    <d v="1900-01-10T00:00:00"/>
    <n v="1"/>
    <x v="50"/>
    <s v="Male"/>
    <x v="0"/>
    <d v="2025-01-11T00:00:00"/>
    <n v="11"/>
    <x v="5"/>
    <x v="2"/>
    <x v="2"/>
    <n v="64"/>
    <x v="7"/>
    <x v="62"/>
    <x v="59"/>
    <x v="62"/>
    <n v="64"/>
    <x v="7"/>
    <d v="2024-04-25T00:00:00"/>
    <n v="5"/>
    <n v="101"/>
    <n v="73"/>
    <x v="0"/>
    <n v="17.399999999999999"/>
    <n v="0"/>
    <n v="17.399999999999999"/>
    <n v="2.3999999999999986"/>
  </r>
  <r>
    <n v="64"/>
    <d v="2023-01-11T00:00:00"/>
    <d v="1900-02-03T00:00:00"/>
    <n v="9"/>
    <x v="16"/>
    <s v="Female"/>
    <x v="3"/>
    <d v="2023-01-11T00:00:00"/>
    <n v="11"/>
    <x v="5"/>
    <x v="0"/>
    <x v="0"/>
    <n v="65"/>
    <x v="2"/>
    <x v="63"/>
    <x v="60"/>
    <x v="63"/>
    <n v="65"/>
    <x v="7"/>
    <d v="2024-04-10T00:00:00"/>
    <n v="2"/>
    <n v="103"/>
    <n v="57"/>
    <x v="4"/>
    <n v="208.08799999999999"/>
    <n v="0.05"/>
    <n v="832.35199999999998"/>
    <n v="327.96799999999996"/>
  </r>
  <r>
    <n v="65"/>
    <d v="2023-11-14T00:00:00"/>
    <d v="1900-01-24T00:00:00"/>
    <n v="4"/>
    <x v="51"/>
    <s v="Male"/>
    <x v="2"/>
    <d v="2023-11-14T00:00:00"/>
    <n v="14"/>
    <x v="4"/>
    <x v="0"/>
    <x v="1"/>
    <n v="66"/>
    <x v="5"/>
    <x v="64"/>
    <x v="59"/>
    <x v="64"/>
    <n v="66"/>
    <x v="3"/>
    <d v="2025-06-07T00:00:00"/>
    <n v="2"/>
    <n v="27"/>
    <n v="30"/>
    <x v="0"/>
    <n v="17.849999999999998"/>
    <n v="0"/>
    <n v="17.849999999999998"/>
    <n v="2.8499999999999979"/>
  </r>
  <r>
    <n v="66"/>
    <d v="2023-02-15T00:00:00"/>
    <d v="1900-02-02T00:00:00"/>
    <n v="5"/>
    <x v="52"/>
    <s v="Male"/>
    <x v="2"/>
    <d v="2023-02-15T00:00:00"/>
    <n v="15"/>
    <x v="1"/>
    <x v="0"/>
    <x v="1"/>
    <n v="67"/>
    <x v="7"/>
    <x v="65"/>
    <x v="4"/>
    <x v="65"/>
    <n v="67"/>
    <x v="2"/>
    <d v="2023-07-25T00:00:00"/>
    <n v="8"/>
    <n v="24"/>
    <n v="7"/>
    <x v="0"/>
    <n v="104.92"/>
    <n v="0"/>
    <n v="104.92"/>
    <n v="18.920000000000002"/>
  </r>
  <r>
    <n v="67"/>
    <d v="2025-10-05T00:00:00"/>
    <d v="1900-01-01T00:00:00"/>
    <n v="5"/>
    <x v="53"/>
    <s v="Female"/>
    <x v="3"/>
    <d v="2025-10-05T00:00:00"/>
    <n v="5"/>
    <x v="6"/>
    <x v="2"/>
    <x v="2"/>
    <n v="68"/>
    <x v="4"/>
    <x v="66"/>
    <x v="61"/>
    <x v="66"/>
    <n v="68"/>
    <x v="4"/>
    <d v="2023-12-07T00:00:00"/>
    <n v="5"/>
    <n v="15"/>
    <n v="79"/>
    <x v="0"/>
    <n v="231.42"/>
    <n v="0.05"/>
    <n v="231.42"/>
    <n v="87.78"/>
  </r>
  <r>
    <n v="68"/>
    <d v="2023-10-03T00:00:00"/>
    <d v="1900-01-25T00:00:00"/>
    <n v="8"/>
    <x v="19"/>
    <s v="Male"/>
    <x v="0"/>
    <d v="2023-10-03T00:00:00"/>
    <n v="3"/>
    <x v="6"/>
    <x v="0"/>
    <x v="0"/>
    <n v="69"/>
    <x v="8"/>
    <x v="67"/>
    <x v="62"/>
    <x v="67"/>
    <n v="69"/>
    <x v="0"/>
    <d v="2023-03-01T00:00:00"/>
    <n v="1"/>
    <n v="95"/>
    <n v="98"/>
    <x v="0"/>
    <n v="414.16199999999998"/>
    <n v="0.05"/>
    <n v="414.16199999999998"/>
    <n v="111.75799999999998"/>
  </r>
  <r>
    <n v="69"/>
    <d v="2023-04-17T00:00:00"/>
    <d v="1900-01-31T00:00:00"/>
    <n v="7"/>
    <x v="36"/>
    <s v="Female"/>
    <x v="1"/>
    <d v="2023-04-17T00:00:00"/>
    <n v="17"/>
    <x v="10"/>
    <x v="0"/>
    <x v="0"/>
    <n v="70"/>
    <x v="7"/>
    <x v="68"/>
    <x v="63"/>
    <x v="68"/>
    <n v="70"/>
    <x v="6"/>
    <d v="2024-10-26T00:00:00"/>
    <n v="1"/>
    <n v="78"/>
    <n v="29"/>
    <x v="3"/>
    <n v="155.01149999999998"/>
    <n v="0.05"/>
    <n v="310.02299999999997"/>
    <n v="120.65699999999998"/>
  </r>
  <r>
    <n v="70"/>
    <d v="2025-06-04T00:00:00"/>
    <d v="1900-01-05T00:00:00"/>
    <n v="7"/>
    <x v="13"/>
    <s v="Female"/>
    <x v="2"/>
    <d v="2025-06-04T00:00:00"/>
    <n v="4"/>
    <x v="9"/>
    <x v="2"/>
    <x v="2"/>
    <n v="71"/>
    <x v="7"/>
    <x v="69"/>
    <x v="64"/>
    <x v="69"/>
    <n v="71"/>
    <x v="1"/>
    <d v="2024-08-23T00:00:00"/>
    <n v="6"/>
    <n v="119"/>
    <n v="16"/>
    <x v="0"/>
    <n v="56.16"/>
    <n v="0"/>
    <n v="56.16"/>
    <n v="8.1599999999999966"/>
  </r>
  <r>
    <n v="71"/>
    <d v="2025-07-18T00:00:00"/>
    <d v="1900-01-04T00:00:00"/>
    <n v="4"/>
    <x v="3"/>
    <s v="Female"/>
    <x v="2"/>
    <d v="2025-07-18T00:00:00"/>
    <n v="18"/>
    <x v="2"/>
    <x v="2"/>
    <x v="2"/>
    <n v="72"/>
    <x v="8"/>
    <x v="70"/>
    <x v="65"/>
    <x v="70"/>
    <n v="72"/>
    <x v="9"/>
    <d v="2025-02-06T00:00:00"/>
    <n v="7"/>
    <n v="143"/>
    <n v="23"/>
    <x v="0"/>
    <n v="472.44"/>
    <n v="0.2"/>
    <n v="472.44"/>
    <n v="243.65999999999997"/>
  </r>
  <r>
    <n v="72"/>
    <d v="2024-12-25T00:00:00"/>
    <d v="1900-01-10T00:00:00"/>
    <n v="2"/>
    <x v="54"/>
    <s v="Female"/>
    <x v="1"/>
    <d v="2024-12-25T00:00:00"/>
    <n v="25"/>
    <x v="7"/>
    <x v="1"/>
    <x v="2"/>
    <n v="73"/>
    <x v="3"/>
    <x v="71"/>
    <x v="66"/>
    <x v="71"/>
    <n v="73"/>
    <x v="6"/>
    <d v="2023-10-26T00:00:00"/>
    <n v="4"/>
    <n v="7"/>
    <n v="9"/>
    <x v="3"/>
    <n v="959.26400000000001"/>
    <n v="0.2"/>
    <n v="1918.528"/>
    <n v="943.79199999999992"/>
  </r>
  <r>
    <n v="73"/>
    <d v="2023-04-20T00:00:00"/>
    <d v="1900-01-31T00:00:00"/>
    <n v="2"/>
    <x v="55"/>
    <s v="Male"/>
    <x v="3"/>
    <d v="2023-04-20T00:00:00"/>
    <n v="20"/>
    <x v="10"/>
    <x v="0"/>
    <x v="2"/>
    <n v="74"/>
    <x v="6"/>
    <x v="72"/>
    <x v="67"/>
    <x v="72"/>
    <n v="74"/>
    <x v="7"/>
    <d v="2025-04-23T00:00:00"/>
    <n v="3"/>
    <n v="19"/>
    <n v="91"/>
    <x v="0"/>
    <n v="195.8425"/>
    <n v="0.05"/>
    <n v="195.8425"/>
    <n v="61.45750000000001"/>
  </r>
  <r>
    <n v="74"/>
    <d v="2025-06-24T00:00:00"/>
    <d v="1900-01-04T00:00:00"/>
    <n v="5"/>
    <x v="56"/>
    <s v="Female"/>
    <x v="0"/>
    <d v="2025-06-24T00:00:00"/>
    <n v="24"/>
    <x v="9"/>
    <x v="2"/>
    <x v="2"/>
    <n v="75"/>
    <x v="7"/>
    <x v="73"/>
    <x v="6"/>
    <x v="73"/>
    <n v="75"/>
    <x v="4"/>
    <d v="2023-12-15T00:00:00"/>
    <n v="3"/>
    <n v="98"/>
    <n v="88"/>
    <x v="0"/>
    <n v="80.08"/>
    <n v="0"/>
    <n v="80.08"/>
    <n v="24.08"/>
  </r>
  <r>
    <n v="75"/>
    <d v="2023-04-25T00:00:00"/>
    <d v="1900-01-30T00:00:00"/>
    <n v="2"/>
    <x v="57"/>
    <s v="Female"/>
    <x v="0"/>
    <d v="2023-04-25T00:00:00"/>
    <n v="25"/>
    <x v="10"/>
    <x v="0"/>
    <x v="2"/>
    <n v="76"/>
    <x v="2"/>
    <x v="74"/>
    <x v="68"/>
    <x v="74"/>
    <n v="76"/>
    <x v="3"/>
    <d v="2023-06-11T00:00:00"/>
    <n v="7"/>
    <n v="167"/>
    <n v="61"/>
    <x v="0"/>
    <n v="26.46"/>
    <n v="0"/>
    <n v="26.46"/>
    <n v="5.4600000000000009"/>
  </r>
  <r>
    <n v="76"/>
    <d v="2025-04-03T00:00:00"/>
    <d v="1900-01-07T00:00:00"/>
    <n v="12"/>
    <x v="22"/>
    <s v="Female"/>
    <x v="3"/>
    <d v="2025-04-03T00:00:00"/>
    <n v="3"/>
    <x v="10"/>
    <x v="2"/>
    <x v="2"/>
    <n v="77"/>
    <x v="4"/>
    <x v="75"/>
    <x v="69"/>
    <x v="75"/>
    <n v="77"/>
    <x v="11"/>
    <d v="2024-05-08T00:00:00"/>
    <n v="8"/>
    <n v="51"/>
    <n v="87"/>
    <x v="0"/>
    <n v="158.67000000000002"/>
    <n v="0"/>
    <n v="158.67000000000002"/>
    <n v="35.670000000000016"/>
  </r>
  <r>
    <n v="77"/>
    <d v="2023-12-18T00:00:00"/>
    <d v="1900-01-23T00:00:00"/>
    <n v="4"/>
    <x v="58"/>
    <s v="Female"/>
    <x v="3"/>
    <d v="2023-12-18T00:00:00"/>
    <n v="18"/>
    <x v="7"/>
    <x v="0"/>
    <x v="1"/>
    <n v="78"/>
    <x v="1"/>
    <x v="76"/>
    <x v="70"/>
    <x v="76"/>
    <n v="78"/>
    <x v="6"/>
    <d v="2023-10-21T00:00:00"/>
    <n v="4"/>
    <n v="148"/>
    <n v="23"/>
    <x v="0"/>
    <n v="298.00549999999998"/>
    <n v="0.05"/>
    <n v="298.00549999999998"/>
    <n v="82.374500000000012"/>
  </r>
  <r>
    <n v="78"/>
    <d v="2023-10-26T00:00:00"/>
    <d v="1900-01-24T00:00:00"/>
    <n v="7"/>
    <x v="59"/>
    <s v="Male"/>
    <x v="3"/>
    <d v="2023-10-26T00:00:00"/>
    <n v="26"/>
    <x v="6"/>
    <x v="0"/>
    <x v="0"/>
    <n v="79"/>
    <x v="0"/>
    <x v="77"/>
    <x v="71"/>
    <x v="77"/>
    <n v="79"/>
    <x v="1"/>
    <d v="2025-08-02T00:00:00"/>
    <n v="5"/>
    <n v="74"/>
    <n v="34"/>
    <x v="3"/>
    <n v="207.214"/>
    <n v="0.05"/>
    <n v="414.428"/>
    <n v="130.05200000000002"/>
  </r>
  <r>
    <n v="79"/>
    <d v="2023-01-07T00:00:00"/>
    <d v="1900-02-03T00:00:00"/>
    <n v="10"/>
    <x v="29"/>
    <s v="Female"/>
    <x v="0"/>
    <d v="2023-01-07T00:00:00"/>
    <n v="7"/>
    <x v="5"/>
    <x v="0"/>
    <x v="3"/>
    <n v="80"/>
    <x v="6"/>
    <x v="78"/>
    <x v="72"/>
    <x v="78"/>
    <n v="80"/>
    <x v="2"/>
    <d v="2025-07-30T00:00:00"/>
    <n v="5"/>
    <n v="82"/>
    <n v="36"/>
    <x v="3"/>
    <n v="348.726"/>
    <n v="0.05"/>
    <n v="697.452"/>
    <n v="218.86800000000017"/>
  </r>
  <r>
    <n v="80"/>
    <d v="2024-04-16T00:00:00"/>
    <d v="1900-01-19T00:00:00"/>
    <n v="4"/>
    <x v="60"/>
    <s v="Female"/>
    <x v="1"/>
    <d v="2024-04-16T00:00:00"/>
    <n v="16"/>
    <x v="10"/>
    <x v="1"/>
    <x v="1"/>
    <n v="81"/>
    <x v="3"/>
    <x v="79"/>
    <x v="73"/>
    <x v="79"/>
    <n v="81"/>
    <x v="8"/>
    <d v="2023-01-20T00:00:00"/>
    <n v="8"/>
    <n v="34"/>
    <n v="63"/>
    <x v="0"/>
    <n v="568.01599999999996"/>
    <n v="0.2"/>
    <n v="568.01599999999996"/>
    <n v="310.024"/>
  </r>
  <r>
    <n v="81"/>
    <d v="2024-04-23T00:00:00"/>
    <d v="1900-01-18T00:00:00"/>
    <n v="13"/>
    <x v="40"/>
    <s v="Male"/>
    <x v="0"/>
    <d v="2024-04-23T00:00:00"/>
    <n v="23"/>
    <x v="10"/>
    <x v="1"/>
    <x v="0"/>
    <n v="82"/>
    <x v="6"/>
    <x v="80"/>
    <x v="74"/>
    <x v="80"/>
    <n v="82"/>
    <x v="1"/>
    <d v="2024-08-12T00:00:00"/>
    <n v="3"/>
    <n v="164"/>
    <n v="87"/>
    <x v="0"/>
    <n v="49.14"/>
    <n v="0"/>
    <n v="49.14"/>
    <n v="10.14"/>
  </r>
  <r>
    <n v="82"/>
    <d v="2023-05-27T00:00:00"/>
    <d v="1900-01-29T00:00:00"/>
    <n v="6"/>
    <x v="20"/>
    <s v="Female"/>
    <x v="1"/>
    <d v="2023-05-27T00:00:00"/>
    <n v="27"/>
    <x v="3"/>
    <x v="0"/>
    <x v="1"/>
    <n v="83"/>
    <x v="0"/>
    <x v="81"/>
    <x v="75"/>
    <x v="81"/>
    <n v="83"/>
    <x v="3"/>
    <d v="2023-06-01T00:00:00"/>
    <n v="8"/>
    <n v="147"/>
    <n v="35"/>
    <x v="0"/>
    <n v="205.03849999999997"/>
    <n v="0.05"/>
    <n v="205.03849999999997"/>
    <n v="35.621499999999997"/>
  </r>
  <r>
    <n v="83"/>
    <d v="2024-05-08T00:00:00"/>
    <d v="1900-01-18T00:00:00"/>
    <n v="2"/>
    <x v="61"/>
    <s v="Female"/>
    <x v="0"/>
    <d v="2024-05-08T00:00:00"/>
    <n v="8"/>
    <x v="3"/>
    <x v="1"/>
    <x v="2"/>
    <n v="84"/>
    <x v="3"/>
    <x v="82"/>
    <x v="76"/>
    <x v="82"/>
    <n v="84"/>
    <x v="4"/>
    <d v="2024-12-08T00:00:00"/>
    <n v="5"/>
    <n v="130"/>
    <n v="90"/>
    <x v="0"/>
    <n v="736.80000000000007"/>
    <n v="0.2"/>
    <n v="736.80000000000007"/>
    <n v="491.20000000000005"/>
  </r>
  <r>
    <n v="84"/>
    <d v="2024-05-19T00:00:00"/>
    <d v="1900-01-18T00:00:00"/>
    <n v="5"/>
    <x v="62"/>
    <s v="Male"/>
    <x v="0"/>
    <d v="2024-05-19T00:00:00"/>
    <n v="19"/>
    <x v="3"/>
    <x v="1"/>
    <x v="1"/>
    <n v="85"/>
    <x v="6"/>
    <x v="83"/>
    <x v="77"/>
    <x v="83"/>
    <n v="85"/>
    <x v="11"/>
    <d v="2025-05-18T00:00:00"/>
    <n v="5"/>
    <n v="108"/>
    <n v="26"/>
    <x v="3"/>
    <n v="212.55299999999997"/>
    <n v="0.05"/>
    <n v="425.10599999999994"/>
    <n v="73.853999999999985"/>
  </r>
  <r>
    <n v="85"/>
    <d v="2024-04-16T00:00:00"/>
    <d v="1900-01-19T00:00:00"/>
    <n v="4"/>
    <x v="60"/>
    <s v="Male"/>
    <x v="1"/>
    <d v="2024-04-16T00:00:00"/>
    <n v="16"/>
    <x v="10"/>
    <x v="1"/>
    <x v="1"/>
    <n v="86"/>
    <x v="2"/>
    <x v="84"/>
    <x v="78"/>
    <x v="18"/>
    <n v="86"/>
    <x v="2"/>
    <d v="2025-07-24T00:00:00"/>
    <n v="5"/>
    <n v="115"/>
    <n v="35"/>
    <x v="0"/>
    <n v="161.28"/>
    <n v="0"/>
    <n v="161.28"/>
    <n v="33.28"/>
  </r>
  <r>
    <n v="86"/>
    <d v="2023-01-11T00:00:00"/>
    <d v="1900-02-03T00:00:00"/>
    <n v="9"/>
    <x v="16"/>
    <s v="Female"/>
    <x v="3"/>
    <d v="2023-01-11T00:00:00"/>
    <n v="11"/>
    <x v="5"/>
    <x v="0"/>
    <x v="0"/>
    <n v="87"/>
    <x v="6"/>
    <x v="85"/>
    <x v="34"/>
    <x v="84"/>
    <n v="87"/>
    <x v="9"/>
    <d v="2024-02-12T00:00:00"/>
    <n v="7"/>
    <n v="90"/>
    <n v="97"/>
    <x v="0"/>
    <n v="117.3"/>
    <n v="0"/>
    <n v="117.3"/>
    <n v="15.299999999999997"/>
  </r>
  <r>
    <n v="87"/>
    <d v="2024-07-28T00:00:00"/>
    <d v="1900-01-15T00:00:00"/>
    <n v="12"/>
    <x v="14"/>
    <s v="Male"/>
    <x v="1"/>
    <d v="2024-07-28T00:00:00"/>
    <n v="28"/>
    <x v="2"/>
    <x v="1"/>
    <x v="1"/>
    <n v="88"/>
    <x v="3"/>
    <x v="86"/>
    <x v="79"/>
    <x v="85"/>
    <n v="88"/>
    <x v="10"/>
    <d v="2025-09-16T00:00:00"/>
    <n v="2"/>
    <n v="56"/>
    <n v="38"/>
    <x v="0"/>
    <n v="282.94799999999998"/>
    <n v="0.05"/>
    <n v="282.94799999999998"/>
    <n v="93.731999999999971"/>
  </r>
  <r>
    <n v="88"/>
    <d v="2023-08-05T00:00:00"/>
    <d v="1900-01-27T00:00:00"/>
    <n v="1"/>
    <x v="63"/>
    <s v="Male"/>
    <x v="3"/>
    <d v="2023-08-05T00:00:00"/>
    <n v="5"/>
    <x v="11"/>
    <x v="0"/>
    <x v="2"/>
    <n v="89"/>
    <x v="6"/>
    <x v="87"/>
    <x v="80"/>
    <x v="86"/>
    <n v="89"/>
    <x v="7"/>
    <d v="2024-04-30T00:00:00"/>
    <n v="7"/>
    <n v="99"/>
    <n v="98"/>
    <x v="4"/>
    <n v="39.719499999999996"/>
    <n v="0.05"/>
    <n v="158.87799999999999"/>
    <n v="27.601999999999975"/>
  </r>
  <r>
    <n v="89"/>
    <d v="2025-03-16T00:00:00"/>
    <d v="1900-01-08T00:00:00"/>
    <n v="2"/>
    <x v="64"/>
    <s v="Male"/>
    <x v="0"/>
    <d v="2025-03-16T00:00:00"/>
    <n v="16"/>
    <x v="8"/>
    <x v="2"/>
    <x v="2"/>
    <n v="90"/>
    <x v="7"/>
    <x v="88"/>
    <x v="81"/>
    <x v="87"/>
    <n v="90"/>
    <x v="8"/>
    <d v="2025-01-05T00:00:00"/>
    <n v="5"/>
    <n v="24"/>
    <n v="67"/>
    <x v="0"/>
    <n v="38.61"/>
    <n v="0"/>
    <n v="38.61"/>
    <n v="11.61"/>
  </r>
  <r>
    <n v="90"/>
    <d v="2025-09-09T00:00:00"/>
    <d v="1900-01-02T00:00:00"/>
    <n v="3"/>
    <x v="5"/>
    <s v="Female"/>
    <x v="2"/>
    <d v="2025-09-09T00:00:00"/>
    <n v="9"/>
    <x v="0"/>
    <x v="2"/>
    <x v="2"/>
    <n v="91"/>
    <x v="8"/>
    <x v="89"/>
    <x v="82"/>
    <x v="88"/>
    <n v="91"/>
    <x v="1"/>
    <d v="2024-08-27T00:00:00"/>
    <n v="1"/>
    <n v="9"/>
    <n v="91"/>
    <x v="0"/>
    <n v="611.45600000000002"/>
    <n v="0.2"/>
    <n v="611.45600000000002"/>
    <n v="355.18399999999986"/>
  </r>
  <r>
    <n v="91"/>
    <d v="2023-10-26T00:00:00"/>
    <d v="1900-01-24T00:00:00"/>
    <n v="7"/>
    <x v="59"/>
    <s v="Male"/>
    <x v="3"/>
    <d v="2023-10-26T00:00:00"/>
    <n v="26"/>
    <x v="6"/>
    <x v="0"/>
    <x v="0"/>
    <n v="92"/>
    <x v="0"/>
    <x v="90"/>
    <x v="51"/>
    <x v="89"/>
    <n v="92"/>
    <x v="0"/>
    <d v="2025-03-21T00:00:00"/>
    <n v="5"/>
    <n v="210"/>
    <n v="48"/>
    <x v="0"/>
    <n v="80.940000000000012"/>
    <n v="0"/>
    <n v="80.940000000000012"/>
    <n v="9.9400000000000119"/>
  </r>
  <r>
    <n v="92"/>
    <d v="2025-08-17T00:00:00"/>
    <d v="1900-01-03T00:00:00"/>
    <n v="3"/>
    <x v="65"/>
    <s v="Female"/>
    <x v="0"/>
    <d v="2025-08-17T00:00:00"/>
    <n v="17"/>
    <x v="11"/>
    <x v="2"/>
    <x v="2"/>
    <n v="93"/>
    <x v="0"/>
    <x v="91"/>
    <x v="83"/>
    <x v="90"/>
    <n v="93"/>
    <x v="8"/>
    <d v="2023-01-17T00:00:00"/>
    <n v="1"/>
    <n v="217"/>
    <n v="31"/>
    <x v="2"/>
    <n v="406.44800000000004"/>
    <n v="0.05"/>
    <n v="1219.3440000000001"/>
    <n v="201.69600000000008"/>
  </r>
  <r>
    <n v="93"/>
    <d v="2024-03-13T00:00:00"/>
    <d v="1900-01-20T00:00:00"/>
    <n v="7"/>
    <x v="12"/>
    <s v="Male"/>
    <x v="3"/>
    <d v="2024-03-13T00:00:00"/>
    <n v="13"/>
    <x v="8"/>
    <x v="1"/>
    <x v="0"/>
    <n v="94"/>
    <x v="2"/>
    <x v="92"/>
    <x v="84"/>
    <x v="91"/>
    <n v="94"/>
    <x v="6"/>
    <d v="2025-10-14T00:00:00"/>
    <n v="5"/>
    <n v="54"/>
    <n v="34"/>
    <x v="3"/>
    <n v="271.31999999999994"/>
    <n v="0.05"/>
    <n v="542.63999999999987"/>
    <n v="179.76"/>
  </r>
  <r>
    <n v="94"/>
    <d v="2025-01-12T00:00:00"/>
    <d v="1900-01-10T00:00:00"/>
    <n v="7"/>
    <x v="8"/>
    <s v="Female"/>
    <x v="1"/>
    <d v="2025-01-12T00:00:00"/>
    <n v="12"/>
    <x v="5"/>
    <x v="2"/>
    <x v="2"/>
    <n v="95"/>
    <x v="0"/>
    <x v="93"/>
    <x v="85"/>
    <x v="92"/>
    <n v="95"/>
    <x v="7"/>
    <d v="2024-04-16T00:00:00"/>
    <n v="6"/>
    <n v="104"/>
    <n v="55"/>
    <x v="3"/>
    <n v="363.39399999999995"/>
    <n v="0.05"/>
    <n v="726.7879999999999"/>
    <n v="279.29200000000003"/>
  </r>
  <r>
    <n v="95"/>
    <d v="2023-04-14T00:00:00"/>
    <d v="1900-01-31T00:00:00"/>
    <n v="10"/>
    <x v="18"/>
    <s v="Female"/>
    <x v="3"/>
    <d v="2023-04-14T00:00:00"/>
    <n v="14"/>
    <x v="10"/>
    <x v="0"/>
    <x v="3"/>
    <n v="96"/>
    <x v="2"/>
    <x v="94"/>
    <x v="86"/>
    <x v="93"/>
    <n v="96"/>
    <x v="0"/>
    <d v="2024-03-24T00:00:00"/>
    <n v="4"/>
    <n v="116"/>
    <n v="26"/>
    <x v="0"/>
    <n v="66.27"/>
    <n v="0"/>
    <n v="66.27"/>
    <n v="19.269999999999996"/>
  </r>
  <r>
    <n v="96"/>
    <d v="2025-12-22T00:00:00"/>
    <d v="1899-12-30T00:00:00"/>
    <n v="4"/>
    <x v="66"/>
    <s v="Male"/>
    <x v="3"/>
    <d v="2025-12-22T00:00:00"/>
    <n v="22"/>
    <x v="7"/>
    <x v="2"/>
    <x v="2"/>
    <n v="97"/>
    <x v="4"/>
    <x v="95"/>
    <x v="87"/>
    <x v="94"/>
    <n v="97"/>
    <x v="11"/>
    <d v="2024-05-28T00:00:00"/>
    <n v="3"/>
    <n v="202"/>
    <n v="46"/>
    <x v="3"/>
    <n v="24.452999999999996"/>
    <n v="0.05"/>
    <n v="48.905999999999992"/>
    <n v="10.054000000000002"/>
  </r>
  <r>
    <n v="97"/>
    <d v="2023-02-18T00:00:00"/>
    <d v="1900-02-02T00:00:00"/>
    <n v="6"/>
    <x v="67"/>
    <s v="Male"/>
    <x v="3"/>
    <d v="2023-02-18T00:00:00"/>
    <n v="18"/>
    <x v="1"/>
    <x v="0"/>
    <x v="1"/>
    <n v="98"/>
    <x v="8"/>
    <x v="96"/>
    <x v="88"/>
    <x v="95"/>
    <n v="98"/>
    <x v="2"/>
    <d v="2023-07-18T00:00:00"/>
    <n v="1"/>
    <n v="130"/>
    <n v="93"/>
    <x v="0"/>
    <n v="97.02"/>
    <n v="0"/>
    <n v="97.02"/>
    <n v="31.019999999999996"/>
  </r>
  <r>
    <n v="98"/>
    <d v="2025-04-03T00:00:00"/>
    <d v="1900-01-07T00:00:00"/>
    <n v="12"/>
    <x v="22"/>
    <s v="Male"/>
    <x v="3"/>
    <d v="2025-04-03T00:00:00"/>
    <n v="3"/>
    <x v="10"/>
    <x v="2"/>
    <x v="2"/>
    <n v="99"/>
    <x v="7"/>
    <x v="97"/>
    <x v="48"/>
    <x v="96"/>
    <n v="99"/>
    <x v="10"/>
    <d v="2024-09-24T00:00:00"/>
    <n v="8"/>
    <n v="140"/>
    <n v="9"/>
    <x v="0"/>
    <n v="75.789999999999992"/>
    <n v="0"/>
    <n v="75.789999999999992"/>
    <n v="22.789999999999992"/>
  </r>
  <r>
    <n v="99"/>
    <d v="2023-12-18T00:00:00"/>
    <d v="1900-01-23T00:00:00"/>
    <n v="4"/>
    <x v="58"/>
    <s v="Female"/>
    <x v="3"/>
    <d v="2023-12-18T00:00:00"/>
    <n v="18"/>
    <x v="7"/>
    <x v="0"/>
    <x v="1"/>
    <n v="100"/>
    <x v="3"/>
    <x v="98"/>
    <x v="89"/>
    <x v="97"/>
    <n v="100"/>
    <x v="0"/>
    <d v="2023-03-10T00:00:00"/>
    <n v="6"/>
    <n v="3"/>
    <n v="89"/>
    <x v="3"/>
    <n v="559.57599999999991"/>
    <n v="0.2"/>
    <n v="1119.1519999999998"/>
    <n v="440.72799999999984"/>
  </r>
  <r>
    <n v="100"/>
    <d v="2025-07-18T00:00:00"/>
    <d v="1900-01-04T00:00:00"/>
    <n v="4"/>
    <x v="3"/>
    <s v="Female"/>
    <x v="2"/>
    <d v="2025-07-18T00:00:00"/>
    <n v="18"/>
    <x v="2"/>
    <x v="2"/>
    <x v="2"/>
    <n v="101"/>
    <x v="2"/>
    <x v="99"/>
    <x v="90"/>
    <x v="98"/>
    <n v="101"/>
    <x v="10"/>
    <d v="2023-09-27T00:00:00"/>
    <n v="2"/>
    <n v="69"/>
    <n v="97"/>
    <x v="0"/>
    <n v="194.36999999999998"/>
    <n v="0.05"/>
    <n v="194.36999999999998"/>
    <n v="49.830000000000013"/>
  </r>
  <r>
    <n v="101"/>
    <d v="2023-04-17T00:00:00"/>
    <d v="1900-01-31T00:00:00"/>
    <n v="7"/>
    <x v="36"/>
    <s v="Female"/>
    <x v="1"/>
    <d v="2023-04-17T00:00:00"/>
    <n v="17"/>
    <x v="10"/>
    <x v="0"/>
    <x v="0"/>
    <n v="102"/>
    <x v="0"/>
    <x v="100"/>
    <x v="44"/>
    <x v="99"/>
    <n v="102"/>
    <x v="1"/>
    <d v="2024-08-27T00:00:00"/>
    <n v="6"/>
    <n v="89"/>
    <n v="49"/>
    <x v="0"/>
    <n v="152.76000000000002"/>
    <n v="0"/>
    <n v="152.76000000000002"/>
    <n v="38.760000000000019"/>
  </r>
  <r>
    <n v="102"/>
    <d v="2025-06-24T00:00:00"/>
    <d v="1900-01-04T00:00:00"/>
    <n v="5"/>
    <x v="56"/>
    <s v="Female"/>
    <x v="0"/>
    <d v="2025-06-24T00:00:00"/>
    <n v="24"/>
    <x v="9"/>
    <x v="2"/>
    <x v="2"/>
    <n v="103"/>
    <x v="0"/>
    <x v="101"/>
    <x v="91"/>
    <x v="100"/>
    <n v="103"/>
    <x v="7"/>
    <d v="2025-04-30T00:00:00"/>
    <n v="3"/>
    <n v="127"/>
    <n v="13"/>
    <x v="3"/>
    <n v="197.6"/>
    <n v="0.05"/>
    <n v="395.2"/>
    <n v="116.80000000000001"/>
  </r>
  <r>
    <n v="103"/>
    <d v="2023-04-14T00:00:00"/>
    <d v="1900-01-31T00:00:00"/>
    <n v="10"/>
    <x v="18"/>
    <s v="Male"/>
    <x v="3"/>
    <d v="2023-04-14T00:00:00"/>
    <n v="14"/>
    <x v="10"/>
    <x v="0"/>
    <x v="3"/>
    <n v="104"/>
    <x v="4"/>
    <x v="102"/>
    <x v="78"/>
    <x v="101"/>
    <n v="104"/>
    <x v="9"/>
    <d v="2024-02-16T00:00:00"/>
    <n v="3"/>
    <n v="178"/>
    <n v="33"/>
    <x v="0"/>
    <n v="184.32"/>
    <n v="0"/>
    <n v="184.32"/>
    <n v="56.319999999999993"/>
  </r>
  <r>
    <n v="104"/>
    <d v="2025-11-11T00:00:00"/>
    <d v="1899-12-31T00:00:00"/>
    <n v="5"/>
    <x v="49"/>
    <s v="Male"/>
    <x v="0"/>
    <d v="2025-11-11T00:00:00"/>
    <n v="11"/>
    <x v="4"/>
    <x v="2"/>
    <x v="2"/>
    <n v="105"/>
    <x v="4"/>
    <x v="103"/>
    <x v="59"/>
    <x v="102"/>
    <n v="105"/>
    <x v="8"/>
    <d v="2025-01-19T00:00:00"/>
    <n v="5"/>
    <n v="188"/>
    <n v="30"/>
    <x v="3"/>
    <n v="19.664999999999999"/>
    <n v="0.05"/>
    <n v="39.33"/>
    <n v="13.469999999999999"/>
  </r>
  <r>
    <n v="105"/>
    <d v="2024-12-26T00:00:00"/>
    <d v="1900-01-10T00:00:00"/>
    <n v="3"/>
    <x v="68"/>
    <s v="Male"/>
    <x v="3"/>
    <d v="2024-12-26T00:00:00"/>
    <n v="26"/>
    <x v="7"/>
    <x v="1"/>
    <x v="2"/>
    <n v="106"/>
    <x v="7"/>
    <x v="104"/>
    <x v="92"/>
    <x v="103"/>
    <n v="106"/>
    <x v="4"/>
    <d v="2023-12-03T00:00:00"/>
    <n v="5"/>
    <n v="33"/>
    <n v="89"/>
    <x v="2"/>
    <n v="81.548000000000002"/>
    <n v="0.05"/>
    <n v="244.64400000000001"/>
    <n v="96.396000000000015"/>
  </r>
  <r>
    <n v="106"/>
    <d v="2024-05-08T00:00:00"/>
    <d v="1900-01-18T00:00:00"/>
    <n v="2"/>
    <x v="61"/>
    <s v="Male"/>
    <x v="0"/>
    <d v="2024-05-08T00:00:00"/>
    <n v="8"/>
    <x v="3"/>
    <x v="1"/>
    <x v="2"/>
    <n v="107"/>
    <x v="5"/>
    <x v="105"/>
    <x v="93"/>
    <x v="104"/>
    <n v="107"/>
    <x v="10"/>
    <d v="2025-09-13T00:00:00"/>
    <n v="5"/>
    <n v="95"/>
    <n v="88"/>
    <x v="0"/>
    <n v="91.98"/>
    <n v="0"/>
    <n v="91.98"/>
    <n v="18.980000000000004"/>
  </r>
  <r>
    <n v="107"/>
    <d v="2024-07-28T00:00:00"/>
    <d v="1900-01-15T00:00:00"/>
    <n v="12"/>
    <x v="14"/>
    <s v="Female"/>
    <x v="1"/>
    <d v="2024-07-28T00:00:00"/>
    <n v="28"/>
    <x v="2"/>
    <x v="1"/>
    <x v="1"/>
    <n v="108"/>
    <x v="4"/>
    <x v="106"/>
    <x v="94"/>
    <x v="105"/>
    <n v="108"/>
    <x v="5"/>
    <d v="2024-11-24T00:00:00"/>
    <n v="2"/>
    <n v="150"/>
    <n v="29"/>
    <x v="3"/>
    <n v="44.887499999999996"/>
    <n v="0.05"/>
    <n v="89.774999999999991"/>
    <n v="29.225000000000009"/>
  </r>
  <r>
    <n v="108"/>
    <d v="2024-12-28T00:00:00"/>
    <d v="1900-01-10T00:00:00"/>
    <n v="8"/>
    <x v="41"/>
    <s v="Male"/>
    <x v="1"/>
    <d v="2024-12-28T00:00:00"/>
    <n v="28"/>
    <x v="7"/>
    <x v="1"/>
    <x v="2"/>
    <n v="109"/>
    <x v="1"/>
    <x v="107"/>
    <x v="95"/>
    <x v="106"/>
    <n v="109"/>
    <x v="1"/>
    <d v="2025-08-17T00:00:00"/>
    <n v="2"/>
    <n v="102"/>
    <n v="28"/>
    <x v="0"/>
    <n v="367.08000000000004"/>
    <n v="0.05"/>
    <n v="367.08000000000004"/>
    <n v="60.720000000000027"/>
  </r>
  <r>
    <n v="109"/>
    <d v="2024-04-22T00:00:00"/>
    <d v="1900-01-19T00:00:00"/>
    <n v="2"/>
    <x v="69"/>
    <s v="Female"/>
    <x v="0"/>
    <d v="2024-04-22T00:00:00"/>
    <n v="22"/>
    <x v="10"/>
    <x v="1"/>
    <x v="2"/>
    <n v="110"/>
    <x v="5"/>
    <x v="108"/>
    <x v="96"/>
    <x v="107"/>
    <n v="110"/>
    <x v="6"/>
    <d v="2023-10-16T00:00:00"/>
    <n v="4"/>
    <n v="84"/>
    <n v="12"/>
    <x v="0"/>
    <n v="182.09"/>
    <n v="0"/>
    <n v="182.09"/>
    <n v="43.09"/>
  </r>
  <r>
    <n v="110"/>
    <d v="2025-10-09T00:00:00"/>
    <d v="1900-01-01T00:00:00"/>
    <n v="2"/>
    <x v="9"/>
    <s v="Female"/>
    <x v="1"/>
    <d v="2025-10-09T00:00:00"/>
    <n v="9"/>
    <x v="6"/>
    <x v="2"/>
    <x v="2"/>
    <n v="111"/>
    <x v="7"/>
    <x v="109"/>
    <x v="97"/>
    <x v="108"/>
    <n v="111"/>
    <x v="0"/>
    <d v="2025-03-24T00:00:00"/>
    <n v="6"/>
    <n v="67"/>
    <n v="78"/>
    <x v="3"/>
    <n v="176.47199999999998"/>
    <n v="0.05"/>
    <n v="352.94399999999996"/>
    <n v="132.096"/>
  </r>
  <r>
    <n v="111"/>
    <d v="2023-07-09T00:00:00"/>
    <d v="1900-01-28T00:00:00"/>
    <n v="11"/>
    <x v="47"/>
    <s v="Male"/>
    <x v="1"/>
    <d v="2023-07-09T00:00:00"/>
    <n v="9"/>
    <x v="2"/>
    <x v="0"/>
    <x v="3"/>
    <n v="112"/>
    <x v="8"/>
    <x v="110"/>
    <x v="98"/>
    <x v="109"/>
    <n v="112"/>
    <x v="2"/>
    <d v="2023-07-04T00:00:00"/>
    <n v="7"/>
    <n v="137"/>
    <n v="3"/>
    <x v="3"/>
    <n v="421.63200000000001"/>
    <n v="0.2"/>
    <n v="843.26400000000001"/>
    <n v="400.89599999999996"/>
  </r>
  <r>
    <n v="112"/>
    <d v="2025-10-02T00:00:00"/>
    <d v="1900-01-01T00:00:00"/>
    <n v="3"/>
    <x v="70"/>
    <s v="Female"/>
    <x v="1"/>
    <d v="2025-10-02T00:00:00"/>
    <n v="2"/>
    <x v="6"/>
    <x v="2"/>
    <x v="2"/>
    <n v="113"/>
    <x v="7"/>
    <x v="111"/>
    <x v="59"/>
    <x v="110"/>
    <n v="113"/>
    <x v="8"/>
    <d v="2023-01-29T00:00:00"/>
    <n v="5"/>
    <n v="58"/>
    <n v="75"/>
    <x v="0"/>
    <n v="21.299999999999997"/>
    <n v="0"/>
    <n v="21.299999999999997"/>
    <n v="6.2999999999999972"/>
  </r>
  <r>
    <n v="113"/>
    <d v="2023-12-18T00:00:00"/>
    <d v="1900-01-23T00:00:00"/>
    <n v="4"/>
    <x v="58"/>
    <s v="Male"/>
    <x v="3"/>
    <d v="2023-12-18T00:00:00"/>
    <n v="18"/>
    <x v="7"/>
    <x v="0"/>
    <x v="1"/>
    <n v="114"/>
    <x v="6"/>
    <x v="112"/>
    <x v="99"/>
    <x v="111"/>
    <n v="114"/>
    <x v="10"/>
    <d v="2023-09-11T00:00:00"/>
    <n v="8"/>
    <n v="21"/>
    <n v="44"/>
    <x v="0"/>
    <n v="389.53800000000001"/>
    <n v="0.05"/>
    <n v="389.53800000000001"/>
    <n v="124.54200000000003"/>
  </r>
  <r>
    <n v="114"/>
    <d v="2024-03-07T00:00:00"/>
    <d v="1900-01-20T00:00:00"/>
    <n v="4"/>
    <x v="37"/>
    <s v="Male"/>
    <x v="3"/>
    <d v="2024-03-07T00:00:00"/>
    <n v="7"/>
    <x v="8"/>
    <x v="1"/>
    <x v="1"/>
    <n v="115"/>
    <x v="6"/>
    <x v="113"/>
    <x v="100"/>
    <x v="112"/>
    <n v="115"/>
    <x v="8"/>
    <d v="2025-01-24T00:00:00"/>
    <n v="5"/>
    <n v="182"/>
    <n v="88"/>
    <x v="0"/>
    <n v="20.23"/>
    <n v="0"/>
    <n v="20.23"/>
    <n v="3.2300000000000004"/>
  </r>
  <r>
    <n v="115"/>
    <d v="2023-01-28T00:00:00"/>
    <d v="1900-02-02T00:00:00"/>
    <n v="2"/>
    <x v="71"/>
    <s v="Male"/>
    <x v="1"/>
    <d v="2023-01-28T00:00:00"/>
    <n v="28"/>
    <x v="5"/>
    <x v="0"/>
    <x v="2"/>
    <n v="116"/>
    <x v="8"/>
    <x v="114"/>
    <x v="101"/>
    <x v="113"/>
    <n v="116"/>
    <x v="9"/>
    <d v="2025-02-19T00:00:00"/>
    <n v="6"/>
    <n v="193"/>
    <n v="11"/>
    <x v="0"/>
    <n v="432.512"/>
    <n v="0.2"/>
    <n v="432.512"/>
    <n v="212.76799999999992"/>
  </r>
  <r>
    <n v="116"/>
    <d v="2023-09-29T00:00:00"/>
    <d v="1900-01-25T00:00:00"/>
    <n v="9"/>
    <x v="0"/>
    <s v="Male"/>
    <x v="2"/>
    <d v="2023-09-29T00:00:00"/>
    <n v="29"/>
    <x v="0"/>
    <x v="0"/>
    <x v="0"/>
    <n v="117"/>
    <x v="3"/>
    <x v="115"/>
    <x v="95"/>
    <x v="114"/>
    <n v="117"/>
    <x v="1"/>
    <d v="2023-08-10T00:00:00"/>
    <n v="4"/>
    <n v="15"/>
    <n v="52"/>
    <x v="3"/>
    <n v="399.85499999999996"/>
    <n v="0.05"/>
    <n v="799.70999999999992"/>
    <n v="193.89"/>
  </r>
  <r>
    <n v="117"/>
    <d v="2025-08-18T00:00:00"/>
    <d v="1900-01-03T00:00:00"/>
    <n v="1"/>
    <x v="72"/>
    <s v="Male"/>
    <x v="3"/>
    <d v="2025-08-18T00:00:00"/>
    <n v="18"/>
    <x v="11"/>
    <x v="2"/>
    <x v="2"/>
    <n v="118"/>
    <x v="3"/>
    <x v="116"/>
    <x v="102"/>
    <x v="115"/>
    <n v="118"/>
    <x v="1"/>
    <d v="2025-08-23T00:00:00"/>
    <n v="1"/>
    <n v="174"/>
    <n v="13"/>
    <x v="0"/>
    <n v="928.46399999999994"/>
    <n v="0.2"/>
    <n v="928.46399999999994"/>
    <n v="551.69599999999991"/>
  </r>
  <r>
    <n v="118"/>
    <d v="2025-05-11T00:00:00"/>
    <d v="1900-01-06T00:00:00"/>
    <n v="2"/>
    <x v="73"/>
    <s v="Female"/>
    <x v="3"/>
    <d v="2025-05-11T00:00:00"/>
    <n v="11"/>
    <x v="3"/>
    <x v="2"/>
    <x v="2"/>
    <n v="119"/>
    <x v="5"/>
    <x v="117"/>
    <x v="30"/>
    <x v="116"/>
    <n v="119"/>
    <x v="5"/>
    <d v="2024-11-02T00:00:00"/>
    <n v="4"/>
    <n v="212"/>
    <n v="38"/>
    <x v="0"/>
    <n v="14.64"/>
    <n v="0"/>
    <n v="14.64"/>
    <n v="2.6400000000000006"/>
  </r>
  <r>
    <n v="119"/>
    <d v="2023-01-10T00:00:00"/>
    <d v="1900-02-03T00:00:00"/>
    <n v="6"/>
    <x v="27"/>
    <s v="Male"/>
    <x v="2"/>
    <d v="2023-01-10T00:00:00"/>
    <n v="10"/>
    <x v="5"/>
    <x v="0"/>
    <x v="1"/>
    <n v="120"/>
    <x v="8"/>
    <x v="118"/>
    <x v="103"/>
    <x v="117"/>
    <n v="120"/>
    <x v="11"/>
    <d v="2023-05-10T00:00:00"/>
    <n v="8"/>
    <n v="94"/>
    <n v="59"/>
    <x v="0"/>
    <n v="367.23199999999997"/>
    <n v="0.05"/>
    <n v="367.23199999999997"/>
    <n v="103.88800000000003"/>
  </r>
  <r>
    <n v="120"/>
    <d v="2024-05-16T00:00:00"/>
    <d v="1900-01-18T00:00:00"/>
    <n v="12"/>
    <x v="74"/>
    <s v="Male"/>
    <x v="1"/>
    <d v="2024-05-16T00:00:00"/>
    <n v="16"/>
    <x v="3"/>
    <x v="1"/>
    <x v="0"/>
    <n v="121"/>
    <x v="5"/>
    <x v="119"/>
    <x v="104"/>
    <x v="118"/>
    <n v="121"/>
    <x v="10"/>
    <d v="2024-09-10T00:00:00"/>
    <n v="7"/>
    <n v="164"/>
    <n v="77"/>
    <x v="0"/>
    <n v="109.06"/>
    <n v="0"/>
    <n v="109.06"/>
    <n v="27.060000000000002"/>
  </r>
  <r>
    <n v="121"/>
    <d v="2024-02-05T00:00:00"/>
    <d v="1900-01-21T00:00:00"/>
    <n v="3"/>
    <x v="1"/>
    <s v="Male"/>
    <x v="1"/>
    <d v="2024-02-05T00:00:00"/>
    <n v="5"/>
    <x v="1"/>
    <x v="1"/>
    <x v="1"/>
    <n v="122"/>
    <x v="8"/>
    <x v="120"/>
    <x v="105"/>
    <x v="119"/>
    <n v="122"/>
    <x v="1"/>
    <d v="2023-08-27T00:00:00"/>
    <n v="3"/>
    <n v="140"/>
    <n v="71"/>
    <x v="0"/>
    <n v="783.14400000000001"/>
    <n v="0.2"/>
    <n v="783.14400000000001"/>
    <n v="517.71599999999989"/>
  </r>
  <r>
    <n v="122"/>
    <d v="2023-02-18T00:00:00"/>
    <d v="1900-02-02T00:00:00"/>
    <n v="6"/>
    <x v="67"/>
    <s v="Female"/>
    <x v="3"/>
    <d v="2023-02-18T00:00:00"/>
    <n v="18"/>
    <x v="1"/>
    <x v="0"/>
    <x v="1"/>
    <n v="123"/>
    <x v="3"/>
    <x v="121"/>
    <x v="106"/>
    <x v="120"/>
    <n v="123"/>
    <x v="7"/>
    <d v="2023-04-03T00:00:00"/>
    <n v="1"/>
    <n v="157"/>
    <n v="68"/>
    <x v="0"/>
    <n v="457.26349999999996"/>
    <n v="0.05"/>
    <n v="457.26349999999996"/>
    <n v="126.3965"/>
  </r>
  <r>
    <n v="123"/>
    <d v="2025-04-03T00:00:00"/>
    <d v="1900-01-07T00:00:00"/>
    <n v="12"/>
    <x v="22"/>
    <s v="Male"/>
    <x v="3"/>
    <d v="2025-04-03T00:00:00"/>
    <n v="3"/>
    <x v="10"/>
    <x v="2"/>
    <x v="2"/>
    <n v="124"/>
    <x v="3"/>
    <x v="122"/>
    <x v="107"/>
    <x v="121"/>
    <n v="124"/>
    <x v="10"/>
    <d v="2024-09-15T00:00:00"/>
    <n v="8"/>
    <n v="144"/>
    <n v="79"/>
    <x v="3"/>
    <n v="408.09150000000005"/>
    <n v="0.05"/>
    <n v="816.18300000000011"/>
    <n v="128.09700000000009"/>
  </r>
  <r>
    <n v="124"/>
    <d v="2023-10-26T00:00:00"/>
    <d v="1900-01-24T00:00:00"/>
    <n v="7"/>
    <x v="59"/>
    <s v="Female"/>
    <x v="3"/>
    <d v="2023-10-26T00:00:00"/>
    <n v="26"/>
    <x v="6"/>
    <x v="0"/>
    <x v="0"/>
    <n v="125"/>
    <x v="4"/>
    <x v="123"/>
    <x v="108"/>
    <x v="122"/>
    <n v="125"/>
    <x v="1"/>
    <d v="2023-08-26T00:00:00"/>
    <n v="2"/>
    <n v="118"/>
    <n v="47"/>
    <x v="3"/>
    <n v="155.30600000000001"/>
    <n v="0.05"/>
    <n v="310.61200000000002"/>
    <n v="99.30800000000005"/>
  </r>
  <r>
    <n v="125"/>
    <d v="2024-05-03T00:00:00"/>
    <d v="1900-01-18T00:00:00"/>
    <n v="1"/>
    <x v="75"/>
    <s v="Male"/>
    <x v="3"/>
    <d v="2024-05-03T00:00:00"/>
    <n v="3"/>
    <x v="3"/>
    <x v="1"/>
    <x v="2"/>
    <n v="126"/>
    <x v="3"/>
    <x v="124"/>
    <x v="109"/>
    <x v="123"/>
    <n v="126"/>
    <x v="7"/>
    <d v="2024-04-25T00:00:00"/>
    <n v="3"/>
    <n v="92"/>
    <n v="41"/>
    <x v="0"/>
    <n v="240.31199999999998"/>
    <n v="0.05"/>
    <n v="240.31199999999998"/>
    <n v="61.608000000000004"/>
  </r>
  <r>
    <n v="126"/>
    <d v="2025-11-11T00:00:00"/>
    <d v="1899-12-31T00:00:00"/>
    <n v="5"/>
    <x v="49"/>
    <s v="Female"/>
    <x v="0"/>
    <d v="2025-11-11T00:00:00"/>
    <n v="11"/>
    <x v="4"/>
    <x v="2"/>
    <x v="2"/>
    <n v="127"/>
    <x v="1"/>
    <x v="125"/>
    <x v="110"/>
    <x v="124"/>
    <n v="127"/>
    <x v="0"/>
    <d v="2025-03-06T00:00:00"/>
    <n v="8"/>
    <n v="108"/>
    <n v="50"/>
    <x v="3"/>
    <n v="518.4"/>
    <n v="0.2"/>
    <n v="1036.8"/>
    <n v="475.20000000000005"/>
  </r>
  <r>
    <n v="127"/>
    <d v="2024-06-17T00:00:00"/>
    <d v="1900-01-17T00:00:00"/>
    <n v="10"/>
    <x v="35"/>
    <s v="Male"/>
    <x v="0"/>
    <d v="2024-06-17T00:00:00"/>
    <n v="17"/>
    <x v="9"/>
    <x v="1"/>
    <x v="0"/>
    <n v="128"/>
    <x v="6"/>
    <x v="126"/>
    <x v="111"/>
    <x v="125"/>
    <n v="128"/>
    <x v="8"/>
    <d v="2025-01-29T00:00:00"/>
    <n v="7"/>
    <n v="86"/>
    <n v="29"/>
    <x v="0"/>
    <n v="369.51199999999994"/>
    <n v="0.05"/>
    <n v="369.51199999999994"/>
    <n v="136.40800000000002"/>
  </r>
  <r>
    <n v="128"/>
    <d v="2025-01-12T00:00:00"/>
    <d v="1900-01-10T00:00:00"/>
    <n v="7"/>
    <x v="8"/>
    <s v="Male"/>
    <x v="1"/>
    <d v="2025-01-12T00:00:00"/>
    <n v="12"/>
    <x v="5"/>
    <x v="2"/>
    <x v="2"/>
    <n v="129"/>
    <x v="5"/>
    <x v="127"/>
    <x v="74"/>
    <x v="126"/>
    <n v="129"/>
    <x v="5"/>
    <d v="2023-11-13T00:00:00"/>
    <n v="7"/>
    <n v="40"/>
    <n v="12"/>
    <x v="0"/>
    <n v="56.55"/>
    <n v="0"/>
    <n v="56.55"/>
    <n v="17.549999999999997"/>
  </r>
  <r>
    <n v="129"/>
    <d v="2025-04-03T00:00:00"/>
    <d v="1900-01-07T00:00:00"/>
    <n v="12"/>
    <x v="22"/>
    <s v="Male"/>
    <x v="3"/>
    <d v="2025-04-03T00:00:00"/>
    <n v="3"/>
    <x v="10"/>
    <x v="2"/>
    <x v="2"/>
    <n v="130"/>
    <x v="7"/>
    <x v="128"/>
    <x v="57"/>
    <x v="127"/>
    <n v="130"/>
    <x v="2"/>
    <d v="2023-07-22T00:00:00"/>
    <n v="8"/>
    <n v="3"/>
    <n v="41"/>
    <x v="0"/>
    <n v="81.740000000000009"/>
    <n v="0"/>
    <n v="81.740000000000009"/>
    <n v="20.740000000000009"/>
  </r>
  <r>
    <n v="130"/>
    <d v="2025-04-03T00:00:00"/>
    <d v="1900-01-07T00:00:00"/>
    <n v="12"/>
    <x v="22"/>
    <s v="Female"/>
    <x v="3"/>
    <d v="2025-04-03T00:00:00"/>
    <n v="3"/>
    <x v="10"/>
    <x v="2"/>
    <x v="2"/>
    <n v="131"/>
    <x v="5"/>
    <x v="129"/>
    <x v="112"/>
    <x v="128"/>
    <n v="131"/>
    <x v="7"/>
    <d v="2025-04-15T00:00:00"/>
    <n v="5"/>
    <n v="120"/>
    <n v="44"/>
    <x v="3"/>
    <n v="66.566499999999991"/>
    <n v="0.05"/>
    <n v="133.13299999999998"/>
    <n v="49.146999999999991"/>
  </r>
  <r>
    <n v="131"/>
    <d v="2025-04-19T00:00:00"/>
    <d v="1900-01-07T00:00:00"/>
    <n v="9"/>
    <x v="76"/>
    <s v="Female"/>
    <x v="1"/>
    <d v="2025-04-19T00:00:00"/>
    <n v="19"/>
    <x v="10"/>
    <x v="2"/>
    <x v="2"/>
    <n v="132"/>
    <x v="4"/>
    <x v="130"/>
    <x v="38"/>
    <x v="129"/>
    <n v="132"/>
    <x v="0"/>
    <d v="2023-03-09T00:00:00"/>
    <n v="6"/>
    <n v="146"/>
    <n v="37"/>
    <x v="0"/>
    <n v="112.56"/>
    <n v="0"/>
    <n v="112.56"/>
    <n v="28.560000000000002"/>
  </r>
  <r>
    <n v="132"/>
    <d v="2023-01-07T00:00:00"/>
    <d v="1900-02-03T00:00:00"/>
    <n v="10"/>
    <x v="29"/>
    <s v="Female"/>
    <x v="0"/>
    <d v="2023-01-07T00:00:00"/>
    <n v="7"/>
    <x v="5"/>
    <x v="0"/>
    <x v="3"/>
    <n v="133"/>
    <x v="4"/>
    <x v="131"/>
    <x v="113"/>
    <x v="130"/>
    <n v="133"/>
    <x v="0"/>
    <d v="2024-03-20T00:00:00"/>
    <n v="8"/>
    <n v="97"/>
    <n v="84"/>
    <x v="3"/>
    <n v="196.64999999999998"/>
    <n v="0.05"/>
    <n v="393.29999999999995"/>
    <n v="74.699999999999932"/>
  </r>
  <r>
    <n v="133"/>
    <d v="2023-07-09T00:00:00"/>
    <d v="1900-01-28T00:00:00"/>
    <n v="11"/>
    <x v="47"/>
    <s v="Male"/>
    <x v="1"/>
    <d v="2023-07-09T00:00:00"/>
    <n v="9"/>
    <x v="2"/>
    <x v="0"/>
    <x v="3"/>
    <n v="134"/>
    <x v="7"/>
    <x v="132"/>
    <x v="114"/>
    <x v="131"/>
    <n v="134"/>
    <x v="3"/>
    <d v="2025-06-29T00:00:00"/>
    <n v="4"/>
    <n v="154"/>
    <n v="81"/>
    <x v="0"/>
    <n v="108.79999999999998"/>
    <n v="0"/>
    <n v="108.79999999999998"/>
    <n v="28.799999999999983"/>
  </r>
  <r>
    <n v="134"/>
    <d v="2023-12-19T00:00:00"/>
    <d v="1900-01-23T00:00:00"/>
    <n v="3"/>
    <x v="77"/>
    <s v="Female"/>
    <x v="3"/>
    <d v="2023-12-19T00:00:00"/>
    <n v="19"/>
    <x v="7"/>
    <x v="0"/>
    <x v="1"/>
    <n v="135"/>
    <x v="1"/>
    <x v="133"/>
    <x v="115"/>
    <x v="132"/>
    <n v="135"/>
    <x v="8"/>
    <d v="2025-01-12T00:00:00"/>
    <n v="2"/>
    <n v="190"/>
    <n v="20"/>
    <x v="0"/>
    <n v="407.20799999999997"/>
    <n v="0.05"/>
    <n v="407.20799999999997"/>
    <n v="146.072"/>
  </r>
  <r>
    <n v="135"/>
    <d v="2024-02-12T00:00:00"/>
    <d v="1900-01-21T00:00:00"/>
    <n v="2"/>
    <x v="78"/>
    <s v="Male"/>
    <x v="1"/>
    <d v="2024-02-12T00:00:00"/>
    <n v="12"/>
    <x v="1"/>
    <x v="1"/>
    <x v="2"/>
    <n v="136"/>
    <x v="4"/>
    <x v="134"/>
    <x v="104"/>
    <x v="133"/>
    <n v="136"/>
    <x v="8"/>
    <d v="2025-01-22T00:00:00"/>
    <n v="6"/>
    <n v="182"/>
    <n v="28"/>
    <x v="0"/>
    <n v="95.11999999999999"/>
    <n v="0"/>
    <n v="95.11999999999999"/>
    <n v="13.11999999999999"/>
  </r>
  <r>
    <n v="136"/>
    <d v="2024-04-23T00:00:00"/>
    <d v="1900-01-18T00:00:00"/>
    <n v="13"/>
    <x v="40"/>
    <s v="Male"/>
    <x v="0"/>
    <d v="2024-04-23T00:00:00"/>
    <n v="23"/>
    <x v="10"/>
    <x v="1"/>
    <x v="0"/>
    <n v="137"/>
    <x v="2"/>
    <x v="135"/>
    <x v="86"/>
    <x v="134"/>
    <n v="137"/>
    <x v="11"/>
    <d v="2023-05-05T00:00:00"/>
    <n v="7"/>
    <n v="18"/>
    <n v="45"/>
    <x v="4"/>
    <n v="50.454499999999989"/>
    <n v="0.05"/>
    <n v="201.81799999999996"/>
    <n v="35.061999999999983"/>
  </r>
  <r>
    <n v="137"/>
    <d v="2024-05-16T00:00:00"/>
    <d v="1900-01-18T00:00:00"/>
    <n v="12"/>
    <x v="74"/>
    <s v="Male"/>
    <x v="1"/>
    <d v="2024-05-16T00:00:00"/>
    <n v="16"/>
    <x v="3"/>
    <x v="1"/>
    <x v="0"/>
    <n v="138"/>
    <x v="0"/>
    <x v="136"/>
    <x v="116"/>
    <x v="135"/>
    <n v="138"/>
    <x v="2"/>
    <d v="2024-07-19T00:00:00"/>
    <n v="4"/>
    <n v="143"/>
    <n v="1"/>
    <x v="0"/>
    <n v="132.5"/>
    <n v="0"/>
    <n v="132.5"/>
    <n v="26.5"/>
  </r>
  <r>
    <n v="138"/>
    <d v="2023-06-22T00:00:00"/>
    <d v="1900-01-29T00:00:00"/>
    <n v="9"/>
    <x v="79"/>
    <s v="Female"/>
    <x v="3"/>
    <d v="2023-06-22T00:00:00"/>
    <n v="22"/>
    <x v="9"/>
    <x v="0"/>
    <x v="0"/>
    <n v="139"/>
    <x v="7"/>
    <x v="137"/>
    <x v="117"/>
    <x v="136"/>
    <n v="139"/>
    <x v="10"/>
    <d v="2023-09-08T00:00:00"/>
    <n v="8"/>
    <n v="85"/>
    <n v="17"/>
    <x v="0"/>
    <n v="132.66"/>
    <n v="0"/>
    <n v="132.66"/>
    <n v="33.659999999999997"/>
  </r>
  <r>
    <n v="139"/>
    <d v="2025-06-04T00:00:00"/>
    <d v="1900-01-05T00:00:00"/>
    <n v="7"/>
    <x v="13"/>
    <s v="Female"/>
    <x v="2"/>
    <d v="2025-06-04T00:00:00"/>
    <n v="4"/>
    <x v="9"/>
    <x v="2"/>
    <x v="2"/>
    <n v="140"/>
    <x v="2"/>
    <x v="138"/>
    <x v="113"/>
    <x v="137"/>
    <n v="140"/>
    <x v="2"/>
    <d v="2023-07-07T00:00:00"/>
    <n v="4"/>
    <n v="218"/>
    <n v="1"/>
    <x v="0"/>
    <n v="212.04"/>
    <n v="0.05"/>
    <n v="212.04"/>
    <n v="54.359999999999985"/>
  </r>
  <r>
    <n v="140"/>
    <d v="2024-03-13T00:00:00"/>
    <d v="1900-01-20T00:00:00"/>
    <n v="7"/>
    <x v="12"/>
    <s v="Male"/>
    <x v="3"/>
    <d v="2024-03-13T00:00:00"/>
    <n v="13"/>
    <x v="8"/>
    <x v="1"/>
    <x v="0"/>
    <n v="141"/>
    <x v="7"/>
    <x v="139"/>
    <x v="118"/>
    <x v="138"/>
    <n v="141"/>
    <x v="9"/>
    <d v="2023-02-13T00:00:00"/>
    <n v="1"/>
    <n v="10"/>
    <n v="2"/>
    <x v="0"/>
    <n v="67.849999999999994"/>
    <n v="0"/>
    <n v="67.849999999999994"/>
    <n v="8.8499999999999943"/>
  </r>
  <r>
    <n v="141"/>
    <d v="2024-07-28T00:00:00"/>
    <d v="1900-01-15T00:00:00"/>
    <n v="12"/>
    <x v="14"/>
    <s v="Male"/>
    <x v="1"/>
    <d v="2024-07-28T00:00:00"/>
    <n v="28"/>
    <x v="2"/>
    <x v="1"/>
    <x v="1"/>
    <n v="142"/>
    <x v="5"/>
    <x v="140"/>
    <x v="48"/>
    <x v="139"/>
    <n v="142"/>
    <x v="5"/>
    <d v="2024-11-14T00:00:00"/>
    <n v="4"/>
    <n v="119"/>
    <n v="62"/>
    <x v="3"/>
    <n v="64.447999999999993"/>
    <n v="0.05"/>
    <n v="128.89599999999999"/>
    <n v="36.464000000000027"/>
  </r>
  <r>
    <n v="142"/>
    <d v="2024-12-25T00:00:00"/>
    <d v="1900-01-10T00:00:00"/>
    <n v="2"/>
    <x v="54"/>
    <s v="Female"/>
    <x v="1"/>
    <d v="2024-12-25T00:00:00"/>
    <n v="25"/>
    <x v="7"/>
    <x v="1"/>
    <x v="2"/>
    <n v="143"/>
    <x v="3"/>
    <x v="141"/>
    <x v="119"/>
    <x v="140"/>
    <n v="143"/>
    <x v="10"/>
    <d v="2023-09-15T00:00:00"/>
    <n v="4"/>
    <n v="80"/>
    <n v="86"/>
    <x v="0"/>
    <n v="999.68"/>
    <n v="0.2"/>
    <n v="999.68"/>
    <n v="619.51999999999975"/>
  </r>
  <r>
    <n v="143"/>
    <d v="2025-08-08T00:00:00"/>
    <d v="1900-01-03T00:00:00"/>
    <n v="5"/>
    <x v="21"/>
    <s v="Male"/>
    <x v="1"/>
    <d v="2025-08-08T00:00:00"/>
    <n v="8"/>
    <x v="11"/>
    <x v="2"/>
    <x v="2"/>
    <n v="144"/>
    <x v="1"/>
    <x v="142"/>
    <x v="120"/>
    <x v="141"/>
    <n v="144"/>
    <x v="11"/>
    <d v="2023-05-21T00:00:00"/>
    <n v="4"/>
    <n v="189"/>
    <n v="81"/>
    <x v="0"/>
    <n v="175.54000000000002"/>
    <n v="0"/>
    <n v="175.54000000000002"/>
    <n v="44.54000000000002"/>
  </r>
  <r>
    <n v="144"/>
    <d v="2025-04-19T00:00:00"/>
    <d v="1900-01-07T00:00:00"/>
    <n v="9"/>
    <x v="76"/>
    <s v="Female"/>
    <x v="1"/>
    <d v="2025-04-19T00:00:00"/>
    <n v="19"/>
    <x v="10"/>
    <x v="2"/>
    <x v="2"/>
    <n v="145"/>
    <x v="4"/>
    <x v="143"/>
    <x v="77"/>
    <x v="83"/>
    <n v="145"/>
    <x v="0"/>
    <d v="2024-03-18T00:00:00"/>
    <n v="4"/>
    <n v="214"/>
    <n v="78"/>
    <x v="0"/>
    <n v="212.55299999999997"/>
    <n v="0.05"/>
    <n v="212.55299999999997"/>
    <n v="36.926999999999992"/>
  </r>
  <r>
    <n v="145"/>
    <d v="2025-12-03T00:00:00"/>
    <d v="1899-12-30T00:00:00"/>
    <n v="6"/>
    <x v="48"/>
    <s v="Male"/>
    <x v="0"/>
    <d v="2025-12-03T00:00:00"/>
    <n v="3"/>
    <x v="7"/>
    <x v="2"/>
    <x v="2"/>
    <n v="146"/>
    <x v="1"/>
    <x v="144"/>
    <x v="121"/>
    <x v="142"/>
    <n v="146"/>
    <x v="5"/>
    <d v="2024-11-03T00:00:00"/>
    <n v="3"/>
    <n v="182"/>
    <n v="73"/>
    <x v="0"/>
    <n v="57.000000000000007"/>
    <n v="0"/>
    <n v="57.000000000000007"/>
    <n v="7.0000000000000071"/>
  </r>
  <r>
    <n v="146"/>
    <d v="2024-05-16T00:00:00"/>
    <d v="1900-01-18T00:00:00"/>
    <n v="12"/>
    <x v="74"/>
    <s v="Female"/>
    <x v="1"/>
    <d v="2024-05-16T00:00:00"/>
    <n v="16"/>
    <x v="3"/>
    <x v="1"/>
    <x v="0"/>
    <n v="147"/>
    <x v="6"/>
    <x v="145"/>
    <x v="122"/>
    <x v="143"/>
    <n v="147"/>
    <x v="8"/>
    <d v="2023-01-06T00:00:00"/>
    <n v="5"/>
    <n v="32"/>
    <n v="97"/>
    <x v="0"/>
    <n v="328.13"/>
    <n v="0.05"/>
    <n v="328.13"/>
    <n v="48.670000000000073"/>
  </r>
  <r>
    <n v="147"/>
    <d v="2024-06-29T00:00:00"/>
    <d v="1900-01-16T00:00:00"/>
    <n v="7"/>
    <x v="80"/>
    <s v="Male"/>
    <x v="1"/>
    <d v="2024-06-29T00:00:00"/>
    <n v="29"/>
    <x v="9"/>
    <x v="1"/>
    <x v="1"/>
    <n v="148"/>
    <x v="3"/>
    <x v="146"/>
    <x v="123"/>
    <x v="144"/>
    <n v="148"/>
    <x v="6"/>
    <d v="2023-10-24T00:00:00"/>
    <n v="3"/>
    <n v="210"/>
    <n v="15"/>
    <x v="0"/>
    <n v="702.88"/>
    <n v="0.2"/>
    <n v="702.88"/>
    <n v="290.31999999999994"/>
  </r>
  <r>
    <n v="148"/>
    <d v="2023-06-10T00:00:00"/>
    <d v="1900-01-29T00:00:00"/>
    <n v="8"/>
    <x v="81"/>
    <s v="Female"/>
    <x v="2"/>
    <d v="2023-06-10T00:00:00"/>
    <n v="10"/>
    <x v="9"/>
    <x v="0"/>
    <x v="0"/>
    <n v="149"/>
    <x v="2"/>
    <x v="147"/>
    <x v="31"/>
    <x v="145"/>
    <n v="149"/>
    <x v="11"/>
    <d v="2024-05-28T00:00:00"/>
    <n v="3"/>
    <n v="97"/>
    <n v="45"/>
    <x v="0"/>
    <n v="57.199999999999996"/>
    <n v="0"/>
    <n v="57.199999999999996"/>
    <n v="17.199999999999996"/>
  </r>
  <r>
    <n v="149"/>
    <d v="2023-10-26T00:00:00"/>
    <d v="1900-01-24T00:00:00"/>
    <n v="7"/>
    <x v="59"/>
    <s v="Male"/>
    <x v="3"/>
    <d v="2023-10-26T00:00:00"/>
    <n v="26"/>
    <x v="6"/>
    <x v="0"/>
    <x v="0"/>
    <n v="150"/>
    <x v="4"/>
    <x v="148"/>
    <x v="124"/>
    <x v="146"/>
    <n v="150"/>
    <x v="1"/>
    <d v="2023-08-14T00:00:00"/>
    <n v="1"/>
    <n v="6"/>
    <n v="58"/>
    <x v="0"/>
    <n v="123.71000000000001"/>
    <n v="0"/>
    <n v="123.71000000000001"/>
    <n v="34.710000000000008"/>
  </r>
  <r>
    <n v="150"/>
    <d v="2025-05-11T00:00:00"/>
    <d v="1900-01-06T00:00:00"/>
    <n v="10"/>
    <x v="26"/>
    <s v="Female"/>
    <x v="2"/>
    <d v="2025-05-11T00:00:00"/>
    <n v="11"/>
    <x v="3"/>
    <x v="2"/>
    <x v="2"/>
    <n v="151"/>
    <x v="7"/>
    <x v="149"/>
    <x v="117"/>
    <x v="147"/>
    <n v="151"/>
    <x v="10"/>
    <d v="2023-09-27T00:00:00"/>
    <n v="1"/>
    <n v="194"/>
    <n v="17"/>
    <x v="0"/>
    <n v="123.75"/>
    <n v="0"/>
    <n v="123.75"/>
    <n v="24.75"/>
  </r>
  <r>
    <n v="151"/>
    <d v="2023-01-07T00:00:00"/>
    <d v="1900-02-03T00:00:00"/>
    <n v="10"/>
    <x v="29"/>
    <s v="Male"/>
    <x v="0"/>
    <d v="2023-01-07T00:00:00"/>
    <n v="7"/>
    <x v="5"/>
    <x v="0"/>
    <x v="3"/>
    <n v="152"/>
    <x v="4"/>
    <x v="150"/>
    <x v="125"/>
    <x v="148"/>
    <n v="152"/>
    <x v="8"/>
    <d v="2025-01-03T00:00:00"/>
    <n v="4"/>
    <n v="179"/>
    <n v="76"/>
    <x v="0"/>
    <n v="37.25"/>
    <n v="0"/>
    <n v="37.25"/>
    <n v="12.25"/>
  </r>
  <r>
    <n v="152"/>
    <d v="2023-06-04T00:00:00"/>
    <d v="1900-01-29T00:00:00"/>
    <n v="4"/>
    <x v="33"/>
    <s v="Male"/>
    <x v="0"/>
    <d v="2023-06-04T00:00:00"/>
    <n v="4"/>
    <x v="9"/>
    <x v="0"/>
    <x v="1"/>
    <n v="153"/>
    <x v="6"/>
    <x v="151"/>
    <x v="39"/>
    <x v="149"/>
    <n v="153"/>
    <x v="6"/>
    <d v="2024-10-25T00:00:00"/>
    <n v="1"/>
    <n v="31"/>
    <n v="43"/>
    <x v="3"/>
    <n v="259.16000000000003"/>
    <n v="0.05"/>
    <n v="518.32000000000005"/>
    <n v="132.88"/>
  </r>
  <r>
    <n v="153"/>
    <d v="2024-05-10T00:00:00"/>
    <d v="1900-01-18T00:00:00"/>
    <n v="2"/>
    <x v="4"/>
    <s v="Female"/>
    <x v="3"/>
    <d v="2024-05-10T00:00:00"/>
    <n v="10"/>
    <x v="3"/>
    <x v="1"/>
    <x v="2"/>
    <n v="154"/>
    <x v="7"/>
    <x v="152"/>
    <x v="120"/>
    <x v="150"/>
    <n v="154"/>
    <x v="4"/>
    <d v="2023-12-23T00:00:00"/>
    <n v="5"/>
    <n v="5"/>
    <n v="16"/>
    <x v="0"/>
    <n v="148.02999999999997"/>
    <n v="0"/>
    <n v="148.02999999999997"/>
    <n v="17.029999999999973"/>
  </r>
  <r>
    <n v="154"/>
    <d v="2023-07-09T00:00:00"/>
    <d v="1900-01-28T00:00:00"/>
    <n v="11"/>
    <x v="47"/>
    <s v="Male"/>
    <x v="1"/>
    <d v="2023-07-09T00:00:00"/>
    <n v="9"/>
    <x v="2"/>
    <x v="0"/>
    <x v="3"/>
    <n v="155"/>
    <x v="0"/>
    <x v="153"/>
    <x v="126"/>
    <x v="151"/>
    <n v="155"/>
    <x v="7"/>
    <d v="2023-04-18T00:00:00"/>
    <n v="3"/>
    <n v="133"/>
    <n v="96"/>
    <x v="0"/>
    <n v="302.78399999999999"/>
    <n v="0.05"/>
    <n v="302.78399999999999"/>
    <n v="85.656000000000063"/>
  </r>
  <r>
    <n v="155"/>
    <d v="2024-07-30T00:00:00"/>
    <d v="1900-01-15T00:00:00"/>
    <n v="8"/>
    <x v="82"/>
    <s v="Female"/>
    <x v="3"/>
    <d v="2024-07-30T00:00:00"/>
    <n v="30"/>
    <x v="2"/>
    <x v="1"/>
    <x v="1"/>
    <n v="156"/>
    <x v="7"/>
    <x v="154"/>
    <x v="37"/>
    <x v="152"/>
    <n v="156"/>
    <x v="11"/>
    <d v="2025-05-12T00:00:00"/>
    <n v="2"/>
    <n v="84"/>
    <n v="19"/>
    <x v="0"/>
    <n v="153.9"/>
    <n v="0"/>
    <n v="153.9"/>
    <n v="18.900000000000006"/>
  </r>
  <r>
    <n v="156"/>
    <d v="2025-12-18T00:00:00"/>
    <d v="1899-12-30T00:00:00"/>
    <n v="3"/>
    <x v="83"/>
    <s v="Female"/>
    <x v="2"/>
    <d v="2025-12-18T00:00:00"/>
    <n v="18"/>
    <x v="7"/>
    <x v="2"/>
    <x v="2"/>
    <n v="157"/>
    <x v="2"/>
    <x v="155"/>
    <x v="127"/>
    <x v="153"/>
    <n v="157"/>
    <x v="11"/>
    <d v="2023-05-11T00:00:00"/>
    <n v="8"/>
    <n v="192"/>
    <n v="28"/>
    <x v="3"/>
    <n v="217.25549999999998"/>
    <n v="0.05"/>
    <n v="434.51099999999997"/>
    <n v="102.24900000000002"/>
  </r>
  <r>
    <n v="157"/>
    <d v="2023-01-10T00:00:00"/>
    <d v="1900-02-03T00:00:00"/>
    <n v="6"/>
    <x v="27"/>
    <s v="Male"/>
    <x v="2"/>
    <d v="2023-01-10T00:00:00"/>
    <n v="10"/>
    <x v="5"/>
    <x v="0"/>
    <x v="1"/>
    <n v="158"/>
    <x v="4"/>
    <x v="156"/>
    <x v="128"/>
    <x v="154"/>
    <n v="158"/>
    <x v="2"/>
    <d v="2025-07-07T00:00:00"/>
    <n v="6"/>
    <n v="184"/>
    <n v="23"/>
    <x v="0"/>
    <n v="194.57900000000001"/>
    <n v="0.05"/>
    <n v="194.57900000000001"/>
    <n v="61.061000000000035"/>
  </r>
  <r>
    <n v="158"/>
    <d v="2024-01-22T00:00:00"/>
    <d v="1900-01-22T00:00:00"/>
    <n v="2"/>
    <x v="32"/>
    <s v="Female"/>
    <x v="0"/>
    <d v="2024-01-22T00:00:00"/>
    <n v="22"/>
    <x v="5"/>
    <x v="1"/>
    <x v="2"/>
    <n v="159"/>
    <x v="2"/>
    <x v="157"/>
    <x v="68"/>
    <x v="155"/>
    <n v="159"/>
    <x v="1"/>
    <d v="2023-08-12T00:00:00"/>
    <n v="8"/>
    <n v="126"/>
    <n v="62"/>
    <x v="3"/>
    <n v="29.126999999999999"/>
    <n v="0.05"/>
    <n v="58.253999999999998"/>
    <n v="22.38600000000001"/>
  </r>
  <r>
    <n v="159"/>
    <d v="2025-06-24T00:00:00"/>
    <d v="1900-01-04T00:00:00"/>
    <n v="5"/>
    <x v="56"/>
    <s v="Male"/>
    <x v="0"/>
    <d v="2025-06-24T00:00:00"/>
    <n v="24"/>
    <x v="9"/>
    <x v="2"/>
    <x v="2"/>
    <n v="160"/>
    <x v="2"/>
    <x v="158"/>
    <x v="129"/>
    <x v="156"/>
    <n v="160"/>
    <x v="6"/>
    <d v="2025-10-28T00:00:00"/>
    <n v="4"/>
    <n v="40"/>
    <n v="56"/>
    <x v="4"/>
    <n v="63.222499999999997"/>
    <n v="0.05"/>
    <n v="252.89"/>
    <n v="59.509999999999991"/>
  </r>
  <r>
    <n v="160"/>
    <d v="2023-01-07T00:00:00"/>
    <d v="1900-02-03T00:00:00"/>
    <n v="10"/>
    <x v="29"/>
    <s v="Male"/>
    <x v="0"/>
    <d v="2023-01-07T00:00:00"/>
    <n v="7"/>
    <x v="5"/>
    <x v="0"/>
    <x v="3"/>
    <n v="161"/>
    <x v="6"/>
    <x v="159"/>
    <x v="112"/>
    <x v="157"/>
    <n v="161"/>
    <x v="0"/>
    <d v="2023-03-30T00:00:00"/>
    <n v="5"/>
    <n v="103"/>
    <n v="71"/>
    <x v="0"/>
    <n v="60.269999999999996"/>
    <n v="0"/>
    <n v="60.269999999999996"/>
    <n v="11.269999999999996"/>
  </r>
  <r>
    <n v="161"/>
    <d v="2024-04-23T00:00:00"/>
    <d v="1900-01-18T00:00:00"/>
    <n v="13"/>
    <x v="40"/>
    <s v="Female"/>
    <x v="0"/>
    <d v="2024-04-23T00:00:00"/>
    <n v="23"/>
    <x v="10"/>
    <x v="1"/>
    <x v="0"/>
    <n v="162"/>
    <x v="0"/>
    <x v="160"/>
    <x v="130"/>
    <x v="158"/>
    <n v="162"/>
    <x v="2"/>
    <d v="2025-07-27T00:00:00"/>
    <n v="1"/>
    <n v="129"/>
    <n v="88"/>
    <x v="0"/>
    <n v="376.80800000000005"/>
    <n v="0.05"/>
    <n v="376.80800000000005"/>
    <n v="120.47200000000004"/>
  </r>
  <r>
    <n v="162"/>
    <d v="2024-06-17T00:00:00"/>
    <d v="1900-01-17T00:00:00"/>
    <n v="10"/>
    <x v="35"/>
    <s v="Female"/>
    <x v="0"/>
    <d v="2024-06-17T00:00:00"/>
    <n v="17"/>
    <x v="9"/>
    <x v="1"/>
    <x v="0"/>
    <n v="163"/>
    <x v="5"/>
    <x v="161"/>
    <x v="131"/>
    <x v="159"/>
    <n v="163"/>
    <x v="11"/>
    <d v="2023-05-05T00:00:00"/>
    <n v="8"/>
    <n v="137"/>
    <n v="57"/>
    <x v="0"/>
    <n v="192.62199999999999"/>
    <n v="0.05"/>
    <n v="192.62199999999999"/>
    <n v="75.897999999999996"/>
  </r>
  <r>
    <n v="163"/>
    <d v="2025-12-07T00:00:00"/>
    <d v="1899-12-30T00:00:00"/>
    <n v="3"/>
    <x v="84"/>
    <s v="Male"/>
    <x v="0"/>
    <d v="2025-12-07T00:00:00"/>
    <n v="7"/>
    <x v="7"/>
    <x v="2"/>
    <x v="2"/>
    <n v="164"/>
    <x v="2"/>
    <x v="162"/>
    <x v="132"/>
    <x v="160"/>
    <n v="164"/>
    <x v="7"/>
    <d v="2025-04-02T00:00:00"/>
    <n v="7"/>
    <n v="109"/>
    <n v="55"/>
    <x v="3"/>
    <n v="43.775999999999996"/>
    <n v="0.05"/>
    <n v="87.551999999999992"/>
    <n v="24.768000000000001"/>
  </r>
  <r>
    <n v="164"/>
    <d v="2024-05-08T00:00:00"/>
    <d v="1900-01-18T00:00:00"/>
    <n v="5"/>
    <x v="85"/>
    <s v="Female"/>
    <x v="0"/>
    <d v="2024-05-08T00:00:00"/>
    <n v="8"/>
    <x v="3"/>
    <x v="1"/>
    <x v="1"/>
    <n v="165"/>
    <x v="2"/>
    <x v="163"/>
    <x v="15"/>
    <x v="161"/>
    <n v="165"/>
    <x v="1"/>
    <d v="2023-08-10T00:00:00"/>
    <n v="8"/>
    <n v="120"/>
    <n v="89"/>
    <x v="0"/>
    <n v="128.62"/>
    <n v="0"/>
    <n v="128.62"/>
    <n v="19.620000000000005"/>
  </r>
  <r>
    <n v="165"/>
    <d v="2025-08-08T00:00:00"/>
    <d v="1900-01-03T00:00:00"/>
    <n v="5"/>
    <x v="21"/>
    <s v="Male"/>
    <x v="1"/>
    <d v="2025-08-08T00:00:00"/>
    <n v="8"/>
    <x v="11"/>
    <x v="2"/>
    <x v="2"/>
    <n v="166"/>
    <x v="1"/>
    <x v="164"/>
    <x v="133"/>
    <x v="162"/>
    <n v="166"/>
    <x v="3"/>
    <d v="2025-06-27T00:00:00"/>
    <n v="2"/>
    <n v="134"/>
    <n v="65"/>
    <x v="0"/>
    <n v="413.50400000000002"/>
    <n v="0.2"/>
    <n v="413.50400000000002"/>
    <n v="256.25599999999997"/>
  </r>
  <r>
    <n v="166"/>
    <d v="2023-01-28T00:00:00"/>
    <d v="1900-02-02T00:00:00"/>
    <n v="2"/>
    <x v="71"/>
    <s v="Female"/>
    <x v="1"/>
    <d v="2023-01-28T00:00:00"/>
    <n v="28"/>
    <x v="5"/>
    <x v="0"/>
    <x v="2"/>
    <n v="167"/>
    <x v="8"/>
    <x v="165"/>
    <x v="134"/>
    <x v="163"/>
    <n v="167"/>
    <x v="3"/>
    <d v="2023-06-15T00:00:00"/>
    <n v="6"/>
    <n v="71"/>
    <n v="11"/>
    <x v="0"/>
    <n v="76.88"/>
    <n v="0"/>
    <n v="76.88"/>
    <n v="14.879999999999995"/>
  </r>
  <r>
    <n v="167"/>
    <d v="2023-05-07T00:00:00"/>
    <d v="1900-01-30T00:00:00"/>
    <n v="3"/>
    <x v="86"/>
    <s v="Male"/>
    <x v="1"/>
    <d v="2023-05-07T00:00:00"/>
    <n v="7"/>
    <x v="3"/>
    <x v="0"/>
    <x v="1"/>
    <n v="168"/>
    <x v="2"/>
    <x v="166"/>
    <x v="135"/>
    <x v="164"/>
    <n v="168"/>
    <x v="6"/>
    <d v="2023-10-31T00:00:00"/>
    <n v="2"/>
    <n v="49"/>
    <n v="62"/>
    <x v="0"/>
    <n v="276.01300000000003"/>
    <n v="0.05"/>
    <n v="276.01300000000003"/>
    <n v="106.06700000000001"/>
  </r>
  <r>
    <n v="168"/>
    <d v="2025-04-13T00:00:00"/>
    <d v="1900-01-07T00:00:00"/>
    <n v="4"/>
    <x v="38"/>
    <s v="Male"/>
    <x v="2"/>
    <d v="2025-04-13T00:00:00"/>
    <n v="13"/>
    <x v="10"/>
    <x v="2"/>
    <x v="2"/>
    <n v="169"/>
    <x v="7"/>
    <x v="167"/>
    <x v="136"/>
    <x v="165"/>
    <n v="169"/>
    <x v="10"/>
    <d v="2023-09-16T00:00:00"/>
    <n v="5"/>
    <n v="21"/>
    <n v="60"/>
    <x v="0"/>
    <n v="212.32499999999999"/>
    <n v="0.05"/>
    <n v="212.32499999999999"/>
    <n v="84.675000000000011"/>
  </r>
  <r>
    <n v="169"/>
    <d v="2024-04-23T00:00:00"/>
    <d v="1900-01-18T00:00:00"/>
    <n v="13"/>
    <x v="40"/>
    <s v="Female"/>
    <x v="0"/>
    <d v="2024-04-23T00:00:00"/>
    <n v="23"/>
    <x v="10"/>
    <x v="1"/>
    <x v="0"/>
    <n v="170"/>
    <x v="2"/>
    <x v="168"/>
    <x v="125"/>
    <x v="166"/>
    <n v="170"/>
    <x v="6"/>
    <d v="2024-10-27T00:00:00"/>
    <n v="7"/>
    <n v="151"/>
    <n v="48"/>
    <x v="3"/>
    <n v="26.6"/>
    <n v="0.05"/>
    <n v="53.2"/>
    <n v="8.8000000000000114"/>
  </r>
  <r>
    <n v="170"/>
    <d v="2024-01-22T00:00:00"/>
    <d v="1900-01-22T00:00:00"/>
    <n v="1"/>
    <x v="87"/>
    <s v="Male"/>
    <x v="1"/>
    <d v="2024-01-22T00:00:00"/>
    <n v="22"/>
    <x v="5"/>
    <x v="1"/>
    <x v="2"/>
    <n v="171"/>
    <x v="2"/>
    <x v="169"/>
    <x v="31"/>
    <x v="167"/>
    <n v="171"/>
    <x v="1"/>
    <d v="2024-08-26T00:00:00"/>
    <n v="8"/>
    <n v="190"/>
    <n v="63"/>
    <x v="0"/>
    <n v="56"/>
    <n v="0"/>
    <n v="56"/>
    <n v="16"/>
  </r>
  <r>
    <n v="171"/>
    <d v="2024-03-18T00:00:00"/>
    <d v="1900-01-20T00:00:00"/>
    <n v="2"/>
    <x v="46"/>
    <s v="Female"/>
    <x v="2"/>
    <d v="2024-03-18T00:00:00"/>
    <n v="18"/>
    <x v="8"/>
    <x v="1"/>
    <x v="2"/>
    <n v="172"/>
    <x v="0"/>
    <x v="170"/>
    <x v="137"/>
    <x v="168"/>
    <n v="172"/>
    <x v="5"/>
    <d v="2025-11-01T00:00:00"/>
    <n v="7"/>
    <n v="74"/>
    <n v="86"/>
    <x v="0"/>
    <n v="106.47"/>
    <n v="0"/>
    <n v="106.47"/>
    <n v="15.469999999999999"/>
  </r>
  <r>
    <n v="172"/>
    <d v="2024-06-17T00:00:00"/>
    <d v="1900-01-17T00:00:00"/>
    <n v="10"/>
    <x v="35"/>
    <s v="Female"/>
    <x v="0"/>
    <d v="2024-06-17T00:00:00"/>
    <n v="17"/>
    <x v="9"/>
    <x v="1"/>
    <x v="0"/>
    <n v="173"/>
    <x v="1"/>
    <x v="171"/>
    <x v="138"/>
    <x v="169"/>
    <n v="173"/>
    <x v="2"/>
    <d v="2023-07-23T00:00:00"/>
    <n v="2"/>
    <n v="128"/>
    <n v="49"/>
    <x v="0"/>
    <n v="440.64"/>
    <n v="0.2"/>
    <n v="440.64"/>
    <n v="201.95999999999992"/>
  </r>
  <r>
    <n v="173"/>
    <d v="2024-12-26T00:00:00"/>
    <d v="1900-01-10T00:00:00"/>
    <n v="3"/>
    <x v="68"/>
    <s v="Female"/>
    <x v="3"/>
    <d v="2024-12-26T00:00:00"/>
    <n v="26"/>
    <x v="7"/>
    <x v="1"/>
    <x v="2"/>
    <n v="174"/>
    <x v="4"/>
    <x v="172"/>
    <x v="139"/>
    <x v="170"/>
    <n v="174"/>
    <x v="0"/>
    <d v="2024-03-16T00:00:00"/>
    <n v="7"/>
    <n v="216"/>
    <n v="15"/>
    <x v="0"/>
    <n v="23.76"/>
    <n v="0"/>
    <n v="23.76"/>
    <n v="5.7600000000000016"/>
  </r>
  <r>
    <n v="174"/>
    <d v="2024-05-16T00:00:00"/>
    <d v="1900-01-18T00:00:00"/>
    <n v="12"/>
    <x v="74"/>
    <s v="Male"/>
    <x v="1"/>
    <d v="2024-05-16T00:00:00"/>
    <n v="16"/>
    <x v="3"/>
    <x v="1"/>
    <x v="0"/>
    <n v="175"/>
    <x v="7"/>
    <x v="173"/>
    <x v="68"/>
    <x v="171"/>
    <n v="175"/>
    <x v="2"/>
    <d v="2025-07-13T00:00:00"/>
    <n v="4"/>
    <n v="162"/>
    <n v="94"/>
    <x v="3"/>
    <n v="29.525999999999996"/>
    <n v="0.05"/>
    <n v="59.051999999999992"/>
    <n v="23.268000000000001"/>
  </r>
  <r>
    <n v="175"/>
    <d v="2023-08-16T00:00:00"/>
    <d v="1900-01-27T00:00:00"/>
    <n v="4"/>
    <x v="88"/>
    <s v="Male"/>
    <x v="2"/>
    <d v="2023-08-16T00:00:00"/>
    <n v="16"/>
    <x v="11"/>
    <x v="0"/>
    <x v="1"/>
    <n v="176"/>
    <x v="2"/>
    <x v="174"/>
    <x v="140"/>
    <x v="172"/>
    <n v="176"/>
    <x v="7"/>
    <d v="2025-04-27T00:00:00"/>
    <n v="6"/>
    <n v="5"/>
    <n v="75"/>
    <x v="0"/>
    <n v="152.44"/>
    <n v="0"/>
    <n v="152.44"/>
    <n v="49.44"/>
  </r>
  <r>
    <n v="176"/>
    <d v="2025-11-16T00:00:00"/>
    <d v="1899-12-31T00:00:00"/>
    <n v="3"/>
    <x v="89"/>
    <s v="Male"/>
    <x v="3"/>
    <d v="2025-11-16T00:00:00"/>
    <n v="16"/>
    <x v="4"/>
    <x v="2"/>
    <x v="2"/>
    <n v="177"/>
    <x v="6"/>
    <x v="175"/>
    <x v="141"/>
    <x v="173"/>
    <n v="177"/>
    <x v="2"/>
    <d v="2025-07-17T00:00:00"/>
    <n v="7"/>
    <n v="28"/>
    <n v="75"/>
    <x v="2"/>
    <n v="268.06150000000002"/>
    <n v="0.05"/>
    <n v="804.18450000000007"/>
    <n v="279.83550000000002"/>
  </r>
  <r>
    <n v="177"/>
    <d v="2023-01-07T00:00:00"/>
    <d v="1900-02-03T00:00:00"/>
    <n v="10"/>
    <x v="29"/>
    <s v="Female"/>
    <x v="0"/>
    <d v="2023-01-07T00:00:00"/>
    <n v="7"/>
    <x v="5"/>
    <x v="0"/>
    <x v="3"/>
    <n v="178"/>
    <x v="1"/>
    <x v="176"/>
    <x v="142"/>
    <x v="174"/>
    <n v="178"/>
    <x v="11"/>
    <d v="2025-05-01T00:00:00"/>
    <n v="2"/>
    <n v="171"/>
    <n v="47"/>
    <x v="0"/>
    <n v="329.68799999999993"/>
    <n v="0.05"/>
    <n v="329.68799999999993"/>
    <n v="123.392"/>
  </r>
  <r>
    <n v="178"/>
    <d v="2025-09-09T00:00:00"/>
    <d v="1900-01-02T00:00:00"/>
    <n v="3"/>
    <x v="5"/>
    <s v="Male"/>
    <x v="2"/>
    <d v="2025-09-09T00:00:00"/>
    <n v="9"/>
    <x v="0"/>
    <x v="2"/>
    <x v="2"/>
    <n v="179"/>
    <x v="5"/>
    <x v="177"/>
    <x v="143"/>
    <x v="175"/>
    <n v="179"/>
    <x v="6"/>
    <d v="2024-10-02T00:00:00"/>
    <n v="7"/>
    <n v="95"/>
    <n v="91"/>
    <x v="0"/>
    <n v="27.400000000000002"/>
    <n v="0"/>
    <n v="27.400000000000002"/>
    <n v="7.4000000000000021"/>
  </r>
  <r>
    <n v="179"/>
    <d v="2025-12-10T00:00:00"/>
    <d v="1899-12-30T00:00:00"/>
    <n v="2"/>
    <x v="90"/>
    <s v="Female"/>
    <x v="1"/>
    <d v="2025-12-10T00:00:00"/>
    <n v="10"/>
    <x v="7"/>
    <x v="2"/>
    <x v="2"/>
    <n v="180"/>
    <x v="3"/>
    <x v="178"/>
    <x v="144"/>
    <x v="176"/>
    <n v="180"/>
    <x v="6"/>
    <d v="2024-10-02T00:00:00"/>
    <n v="5"/>
    <n v="208"/>
    <n v="36"/>
    <x v="3"/>
    <n v="345.93299999999999"/>
    <n v="0.05"/>
    <n v="691.86599999999999"/>
    <n v="186.69399999999996"/>
  </r>
  <r>
    <n v="180"/>
    <d v="2024-06-06T00:00:00"/>
    <d v="1900-01-17T00:00:00"/>
    <n v="6"/>
    <x v="15"/>
    <s v="Male"/>
    <x v="0"/>
    <d v="2024-06-06T00:00:00"/>
    <n v="6"/>
    <x v="9"/>
    <x v="1"/>
    <x v="1"/>
    <n v="181"/>
    <x v="8"/>
    <x v="179"/>
    <x v="145"/>
    <x v="177"/>
    <n v="181"/>
    <x v="9"/>
    <d v="2025-02-05T00:00:00"/>
    <n v="3"/>
    <n v="84"/>
    <n v="37"/>
    <x v="0"/>
    <n v="148.73000000000002"/>
    <n v="0"/>
    <n v="148.73000000000002"/>
    <n v="41.730000000000018"/>
  </r>
  <r>
    <n v="181"/>
    <d v="2024-03-25T00:00:00"/>
    <d v="1900-01-19T00:00:00"/>
    <n v="8"/>
    <x v="25"/>
    <s v="Female"/>
    <x v="3"/>
    <d v="2024-03-25T00:00:00"/>
    <n v="25"/>
    <x v="8"/>
    <x v="1"/>
    <x v="0"/>
    <n v="182"/>
    <x v="0"/>
    <x v="180"/>
    <x v="146"/>
    <x v="178"/>
    <n v="182"/>
    <x v="1"/>
    <d v="2025-08-29T00:00:00"/>
    <n v="2"/>
    <n v="94"/>
    <n v="24"/>
    <x v="0"/>
    <n v="208.16399999999999"/>
    <n v="0.05"/>
    <n v="208.16399999999999"/>
    <n v="64.076000000000022"/>
  </r>
  <r>
    <n v="182"/>
    <d v="2023-02-15T00:00:00"/>
    <d v="1900-02-02T00:00:00"/>
    <n v="5"/>
    <x v="52"/>
    <s v="Female"/>
    <x v="2"/>
    <d v="2023-02-15T00:00:00"/>
    <n v="15"/>
    <x v="1"/>
    <x v="0"/>
    <x v="1"/>
    <n v="183"/>
    <x v="0"/>
    <x v="181"/>
    <x v="147"/>
    <x v="179"/>
    <n v="183"/>
    <x v="2"/>
    <d v="2023-07-06T00:00:00"/>
    <n v="2"/>
    <n v="110"/>
    <n v="58"/>
    <x v="3"/>
    <n v="277.2765"/>
    <n v="0.05"/>
    <n v="554.553"/>
    <n v="198.92700000000002"/>
  </r>
  <r>
    <n v="183"/>
    <d v="2023-02-18T00:00:00"/>
    <d v="1900-02-02T00:00:00"/>
    <n v="6"/>
    <x v="67"/>
    <s v="Female"/>
    <x v="3"/>
    <d v="2023-02-18T00:00:00"/>
    <n v="18"/>
    <x v="1"/>
    <x v="0"/>
    <x v="1"/>
    <n v="184"/>
    <x v="1"/>
    <x v="182"/>
    <x v="148"/>
    <x v="180"/>
    <n v="184"/>
    <x v="2"/>
    <d v="2023-07-10T00:00:00"/>
    <n v="7"/>
    <n v="47"/>
    <n v="14"/>
    <x v="0"/>
    <n v="460.48399999999992"/>
    <n v="0.05"/>
    <n v="460.48399999999992"/>
    <n v="176.95600000000002"/>
  </r>
  <r>
    <n v="184"/>
    <d v="2025-11-07T00:00:00"/>
    <d v="1899-12-31T00:00:00"/>
    <n v="14"/>
    <x v="6"/>
    <s v="Female"/>
    <x v="0"/>
    <d v="2025-11-07T00:00:00"/>
    <n v="7"/>
    <x v="4"/>
    <x v="2"/>
    <x v="2"/>
    <n v="185"/>
    <x v="2"/>
    <x v="183"/>
    <x v="69"/>
    <x v="181"/>
    <n v="185"/>
    <x v="2"/>
    <d v="2023-07-17T00:00:00"/>
    <n v="6"/>
    <n v="146"/>
    <n v="57"/>
    <x v="0"/>
    <n v="145.13999999999999"/>
    <n v="0"/>
    <n v="145.13999999999999"/>
    <n v="22.139999999999986"/>
  </r>
  <r>
    <n v="185"/>
    <d v="2024-04-16T00:00:00"/>
    <d v="1900-01-19T00:00:00"/>
    <n v="4"/>
    <x v="60"/>
    <s v="Female"/>
    <x v="1"/>
    <d v="2024-04-16T00:00:00"/>
    <n v="16"/>
    <x v="10"/>
    <x v="1"/>
    <x v="1"/>
    <n v="186"/>
    <x v="7"/>
    <x v="184"/>
    <x v="125"/>
    <x v="182"/>
    <n v="186"/>
    <x v="10"/>
    <d v="2023-09-24T00:00:00"/>
    <n v="1"/>
    <n v="131"/>
    <n v="67"/>
    <x v="0"/>
    <n v="30.5"/>
    <n v="0"/>
    <n v="30.5"/>
    <n v="5.5"/>
  </r>
  <r>
    <n v="186"/>
    <d v="2023-11-14T00:00:00"/>
    <d v="1900-01-24T00:00:00"/>
    <n v="4"/>
    <x v="51"/>
    <s v="Female"/>
    <x v="2"/>
    <d v="2023-11-14T00:00:00"/>
    <n v="14"/>
    <x v="4"/>
    <x v="0"/>
    <x v="1"/>
    <n v="187"/>
    <x v="1"/>
    <x v="185"/>
    <x v="149"/>
    <x v="183"/>
    <n v="187"/>
    <x v="5"/>
    <d v="2024-11-06T00:00:00"/>
    <n v="2"/>
    <n v="216"/>
    <n v="13"/>
    <x v="4"/>
    <n v="472.14999999999992"/>
    <n v="0.05"/>
    <n v="1888.5999999999997"/>
    <n v="667.39999999999964"/>
  </r>
  <r>
    <n v="187"/>
    <d v="2023-10-10T00:00:00"/>
    <d v="1900-01-25T00:00:00"/>
    <n v="4"/>
    <x v="91"/>
    <s v="Male"/>
    <x v="3"/>
    <d v="2023-10-10T00:00:00"/>
    <n v="10"/>
    <x v="6"/>
    <x v="0"/>
    <x v="1"/>
    <n v="188"/>
    <x v="6"/>
    <x v="186"/>
    <x v="150"/>
    <x v="184"/>
    <n v="188"/>
    <x v="7"/>
    <d v="2025-04-21T00:00:00"/>
    <n v="6"/>
    <n v="198"/>
    <n v="14"/>
    <x v="0"/>
    <n v="244.38749999999999"/>
    <n v="0.05"/>
    <n v="244.38749999999999"/>
    <n v="95.112500000000011"/>
  </r>
  <r>
    <n v="188"/>
    <d v="2023-04-14T00:00:00"/>
    <d v="1900-01-31T00:00:00"/>
    <n v="10"/>
    <x v="18"/>
    <s v="Male"/>
    <x v="3"/>
    <d v="2023-04-14T00:00:00"/>
    <n v="14"/>
    <x v="10"/>
    <x v="0"/>
    <x v="3"/>
    <n v="189"/>
    <x v="2"/>
    <x v="187"/>
    <x v="151"/>
    <x v="185"/>
    <n v="189"/>
    <x v="11"/>
    <d v="2025-05-16T00:00:00"/>
    <n v="1"/>
    <n v="91"/>
    <n v="37"/>
    <x v="3"/>
    <n v="65.891999999999996"/>
    <n v="0.05"/>
    <n v="131.78399999999999"/>
    <n v="43.656000000000006"/>
  </r>
  <r>
    <n v="189"/>
    <d v="2023-08-16T00:00:00"/>
    <d v="1900-01-27T00:00:00"/>
    <n v="4"/>
    <x v="88"/>
    <s v="Female"/>
    <x v="2"/>
    <d v="2023-08-16T00:00:00"/>
    <n v="16"/>
    <x v="11"/>
    <x v="0"/>
    <x v="1"/>
    <n v="190"/>
    <x v="0"/>
    <x v="188"/>
    <x v="152"/>
    <x v="186"/>
    <n v="190"/>
    <x v="1"/>
    <d v="2024-08-12T00:00:00"/>
    <n v="5"/>
    <n v="138"/>
    <n v="61"/>
    <x v="0"/>
    <n v="350.3125"/>
    <n v="0.05"/>
    <n v="350.3125"/>
    <n v="92.1875"/>
  </r>
  <r>
    <n v="190"/>
    <d v="2025-11-19T00:00:00"/>
    <d v="1899-12-31T00:00:00"/>
    <n v="2"/>
    <x v="92"/>
    <s v="Male"/>
    <x v="0"/>
    <d v="2025-11-19T00:00:00"/>
    <n v="19"/>
    <x v="4"/>
    <x v="2"/>
    <x v="2"/>
    <n v="191"/>
    <x v="3"/>
    <x v="189"/>
    <x v="153"/>
    <x v="187"/>
    <n v="191"/>
    <x v="4"/>
    <d v="2024-12-21T00:00:00"/>
    <n v="2"/>
    <n v="173"/>
    <n v="75"/>
    <x v="0"/>
    <n v="985.82400000000007"/>
    <n v="0.2"/>
    <n v="985.82400000000007"/>
    <n v="500.73599999999988"/>
  </r>
  <r>
    <n v="191"/>
    <d v="2025-06-24T00:00:00"/>
    <d v="1900-01-04T00:00:00"/>
    <n v="5"/>
    <x v="56"/>
    <s v="Male"/>
    <x v="0"/>
    <d v="2025-06-24T00:00:00"/>
    <n v="24"/>
    <x v="9"/>
    <x v="2"/>
    <x v="2"/>
    <n v="192"/>
    <x v="1"/>
    <x v="190"/>
    <x v="154"/>
    <x v="188"/>
    <n v="192"/>
    <x v="5"/>
    <d v="2025-11-05T00:00:00"/>
    <n v="4"/>
    <n v="122"/>
    <n v="10"/>
    <x v="3"/>
    <n v="304.55099999999999"/>
    <n v="0.05"/>
    <n v="609.10199999999998"/>
    <n v="125.21799999999996"/>
  </r>
  <r>
    <n v="192"/>
    <d v="2024-07-28T00:00:00"/>
    <d v="1900-01-15T00:00:00"/>
    <n v="12"/>
    <x v="14"/>
    <s v="Female"/>
    <x v="1"/>
    <d v="2024-07-28T00:00:00"/>
    <n v="28"/>
    <x v="2"/>
    <x v="1"/>
    <x v="1"/>
    <n v="193"/>
    <x v="7"/>
    <x v="191"/>
    <x v="74"/>
    <x v="189"/>
    <n v="193"/>
    <x v="5"/>
    <d v="2023-11-13T00:00:00"/>
    <n v="8"/>
    <n v="54"/>
    <n v="28"/>
    <x v="0"/>
    <n v="58.5"/>
    <n v="0"/>
    <n v="58.5"/>
    <n v="19.5"/>
  </r>
  <r>
    <n v="193"/>
    <d v="2024-05-19T00:00:00"/>
    <d v="1900-01-18T00:00:00"/>
    <n v="5"/>
    <x v="62"/>
    <s v="Male"/>
    <x v="0"/>
    <d v="2024-05-19T00:00:00"/>
    <n v="19"/>
    <x v="3"/>
    <x v="1"/>
    <x v="1"/>
    <n v="194"/>
    <x v="4"/>
    <x v="192"/>
    <x v="38"/>
    <x v="190"/>
    <n v="194"/>
    <x v="7"/>
    <d v="2024-04-04T00:00:00"/>
    <n v="2"/>
    <n v="150"/>
    <n v="92"/>
    <x v="0"/>
    <n v="108.36"/>
    <n v="0"/>
    <n v="108.36"/>
    <n v="24.36"/>
  </r>
  <r>
    <n v="194"/>
    <d v="2023-10-10T00:00:00"/>
    <d v="1900-01-25T00:00:00"/>
    <n v="4"/>
    <x v="91"/>
    <s v="Male"/>
    <x v="3"/>
    <d v="2023-10-10T00:00:00"/>
    <n v="10"/>
    <x v="6"/>
    <x v="0"/>
    <x v="1"/>
    <n v="195"/>
    <x v="4"/>
    <x v="193"/>
    <x v="155"/>
    <x v="191"/>
    <n v="195"/>
    <x v="4"/>
    <d v="2024-12-18T00:00:00"/>
    <n v="6"/>
    <n v="116"/>
    <n v="71"/>
    <x v="0"/>
    <n v="62.58"/>
    <n v="0"/>
    <n v="62.58"/>
    <n v="20.58"/>
  </r>
  <r>
    <n v="195"/>
    <d v="2024-07-28T00:00:00"/>
    <d v="1900-01-15T00:00:00"/>
    <n v="12"/>
    <x v="14"/>
    <s v="Male"/>
    <x v="1"/>
    <d v="2024-07-28T00:00:00"/>
    <n v="28"/>
    <x v="2"/>
    <x v="1"/>
    <x v="1"/>
    <n v="196"/>
    <x v="1"/>
    <x v="194"/>
    <x v="156"/>
    <x v="192"/>
    <n v="196"/>
    <x v="1"/>
    <d v="2023-08-24T00:00:00"/>
    <n v="5"/>
    <n v="62"/>
    <n v="31"/>
    <x v="0"/>
    <n v="467"/>
    <n v="0.2"/>
    <n v="467"/>
    <n v="233.5"/>
  </r>
  <r>
    <n v="196"/>
    <d v="2024-07-30T00:00:00"/>
    <d v="1900-01-15T00:00:00"/>
    <n v="8"/>
    <x v="82"/>
    <s v="Female"/>
    <x v="3"/>
    <d v="2024-07-30T00:00:00"/>
    <n v="30"/>
    <x v="2"/>
    <x v="1"/>
    <x v="1"/>
    <n v="197"/>
    <x v="1"/>
    <x v="195"/>
    <x v="157"/>
    <x v="193"/>
    <n v="197"/>
    <x v="7"/>
    <d v="2024-04-08T00:00:00"/>
    <n v="7"/>
    <n v="182"/>
    <n v="39"/>
    <x v="0"/>
    <n v="261.10749999999996"/>
    <n v="0.05"/>
    <n v="261.10749999999996"/>
    <n v="49.592499999999973"/>
  </r>
  <r>
    <n v="197"/>
    <d v="2025-12-03T00:00:00"/>
    <d v="1899-12-30T00:00:00"/>
    <n v="6"/>
    <x v="48"/>
    <s v="Female"/>
    <x v="0"/>
    <d v="2025-12-03T00:00:00"/>
    <n v="3"/>
    <x v="7"/>
    <x v="2"/>
    <x v="2"/>
    <n v="198"/>
    <x v="2"/>
    <x v="196"/>
    <x v="143"/>
    <x v="194"/>
    <n v="198"/>
    <x v="9"/>
    <d v="2023-02-23T00:00:00"/>
    <n v="5"/>
    <n v="63"/>
    <n v="69"/>
    <x v="0"/>
    <n v="24.4"/>
    <n v="0"/>
    <n v="24.4"/>
    <n v="4.3999999999999986"/>
  </r>
  <r>
    <n v="198"/>
    <d v="2023-12-19T00:00:00"/>
    <d v="1900-01-23T00:00:00"/>
    <n v="3"/>
    <x v="77"/>
    <s v="Female"/>
    <x v="3"/>
    <d v="2023-12-19T00:00:00"/>
    <n v="19"/>
    <x v="7"/>
    <x v="0"/>
    <x v="1"/>
    <n v="199"/>
    <x v="5"/>
    <x v="197"/>
    <x v="26"/>
    <x v="195"/>
    <n v="199"/>
    <x v="0"/>
    <d v="2023-03-01T00:00:00"/>
    <n v="3"/>
    <n v="110"/>
    <n v="41"/>
    <x v="0"/>
    <n v="111.75"/>
    <n v="0"/>
    <n v="111.75"/>
    <n v="36.75"/>
  </r>
  <r>
    <n v="199"/>
    <d v="2024-06-17T00:00:00"/>
    <d v="1900-01-17T00:00:00"/>
    <n v="10"/>
    <x v="35"/>
    <s v="Female"/>
    <x v="0"/>
    <d v="2024-06-17T00:00:00"/>
    <n v="17"/>
    <x v="9"/>
    <x v="1"/>
    <x v="0"/>
    <n v="200"/>
    <x v="6"/>
    <x v="198"/>
    <x v="50"/>
    <x v="196"/>
    <n v="200"/>
    <x v="2"/>
    <d v="2024-07-13T00:00:00"/>
    <n v="5"/>
    <n v="25"/>
    <n v="53"/>
    <x v="0"/>
    <n v="247.45600000000002"/>
    <n v="0.05"/>
    <n v="247.45600000000002"/>
    <n v="97.504000000000019"/>
  </r>
  <r>
    <n v="200"/>
    <d v="2025-11-07T00:00:00"/>
    <d v="1899-12-31T00:00:00"/>
    <n v="14"/>
    <x v="6"/>
    <s v="Female"/>
    <x v="0"/>
    <d v="2025-11-07T00:00:00"/>
    <n v="7"/>
    <x v="4"/>
    <x v="2"/>
    <x v="2"/>
    <n v="201"/>
    <x v="3"/>
    <x v="199"/>
    <x v="158"/>
    <x v="197"/>
    <n v="201"/>
    <x v="5"/>
    <d v="2024-11-26T00:00:00"/>
    <n v="6"/>
    <n v="62"/>
    <n v="95"/>
    <x v="0"/>
    <n v="691.82400000000007"/>
    <n v="0.2"/>
    <n v="691.82400000000007"/>
    <n v="428.73599999999988"/>
  </r>
  <r>
    <n v="201"/>
    <d v="2024-05-20T00:00:00"/>
    <d v="1900-01-18T00:00:00"/>
    <n v="5"/>
    <x v="93"/>
    <s v="Female"/>
    <x v="0"/>
    <d v="2024-05-20T00:00:00"/>
    <n v="20"/>
    <x v="3"/>
    <x v="1"/>
    <x v="1"/>
    <n v="202"/>
    <x v="7"/>
    <x v="200"/>
    <x v="124"/>
    <x v="198"/>
    <n v="202"/>
    <x v="8"/>
    <d v="2023-01-13T00:00:00"/>
    <n v="3"/>
    <n v="177"/>
    <n v="82"/>
    <x v="3"/>
    <n v="119.21549999999999"/>
    <n v="0.05"/>
    <n v="238.43099999999998"/>
    <n v="85.528999999999996"/>
  </r>
  <r>
    <n v="202"/>
    <d v="2024-03-13T00:00:00"/>
    <d v="1900-01-20T00:00:00"/>
    <n v="7"/>
    <x v="12"/>
    <s v="Male"/>
    <x v="3"/>
    <d v="2024-03-13T00:00:00"/>
    <n v="13"/>
    <x v="8"/>
    <x v="1"/>
    <x v="0"/>
    <n v="203"/>
    <x v="3"/>
    <x v="201"/>
    <x v="159"/>
    <x v="199"/>
    <n v="203"/>
    <x v="6"/>
    <d v="2023-10-21T00:00:00"/>
    <n v="7"/>
    <n v="201"/>
    <n v="96"/>
    <x v="0"/>
    <n v="492.63200000000006"/>
    <n v="0.2"/>
    <n v="492.63200000000006"/>
    <n v="275.94800000000009"/>
  </r>
  <r>
    <n v="203"/>
    <d v="2025-04-19T00:00:00"/>
    <d v="1900-01-07T00:00:00"/>
    <n v="9"/>
    <x v="76"/>
    <s v="Male"/>
    <x v="1"/>
    <d v="2025-04-19T00:00:00"/>
    <n v="19"/>
    <x v="10"/>
    <x v="2"/>
    <x v="2"/>
    <n v="204"/>
    <x v="6"/>
    <x v="202"/>
    <x v="109"/>
    <x v="85"/>
    <n v="204"/>
    <x v="11"/>
    <d v="2023-05-23T00:00:00"/>
    <n v="3"/>
    <n v="189"/>
    <n v="34"/>
    <x v="0"/>
    <n v="282.94799999999998"/>
    <n v="0.05"/>
    <n v="282.94799999999998"/>
    <n v="108.73199999999997"/>
  </r>
  <r>
    <n v="204"/>
    <d v="2023-04-17T00:00:00"/>
    <d v="1900-01-31T00:00:00"/>
    <n v="7"/>
    <x v="36"/>
    <s v="Male"/>
    <x v="1"/>
    <d v="2023-04-17T00:00:00"/>
    <n v="17"/>
    <x v="10"/>
    <x v="0"/>
    <x v="0"/>
    <n v="205"/>
    <x v="7"/>
    <x v="203"/>
    <x v="160"/>
    <x v="200"/>
    <n v="205"/>
    <x v="0"/>
    <d v="2023-03-04T00:00:00"/>
    <n v="2"/>
    <n v="44"/>
    <n v="59"/>
    <x v="0"/>
    <n v="15.62"/>
    <n v="0"/>
    <n v="15.62"/>
    <n v="4.6199999999999992"/>
  </r>
  <r>
    <n v="205"/>
    <d v="2024-07-30T00:00:00"/>
    <d v="1900-01-15T00:00:00"/>
    <n v="8"/>
    <x v="82"/>
    <s v="Male"/>
    <x v="3"/>
    <d v="2024-07-30T00:00:00"/>
    <n v="30"/>
    <x v="2"/>
    <x v="1"/>
    <x v="1"/>
    <n v="206"/>
    <x v="5"/>
    <x v="204"/>
    <x v="57"/>
    <x v="201"/>
    <n v="206"/>
    <x v="0"/>
    <d v="2024-03-16T00:00:00"/>
    <n v="7"/>
    <n v="194"/>
    <n v="95"/>
    <x v="3"/>
    <n v="85.765999999999991"/>
    <n v="0.05"/>
    <n v="171.53199999999998"/>
    <n v="67.588000000000022"/>
  </r>
  <r>
    <n v="206"/>
    <d v="2023-04-20T00:00:00"/>
    <d v="1900-01-31T00:00:00"/>
    <n v="2"/>
    <x v="55"/>
    <s v="Female"/>
    <x v="3"/>
    <d v="2023-04-20T00:00:00"/>
    <n v="20"/>
    <x v="10"/>
    <x v="0"/>
    <x v="2"/>
    <n v="207"/>
    <x v="2"/>
    <x v="205"/>
    <x v="57"/>
    <x v="202"/>
    <n v="207"/>
    <x v="11"/>
    <d v="2025-05-09T00:00:00"/>
    <n v="8"/>
    <n v="168"/>
    <n v="44"/>
    <x v="0"/>
    <n v="91.5"/>
    <n v="0"/>
    <n v="91.5"/>
    <n v="30.5"/>
  </r>
  <r>
    <n v="207"/>
    <d v="2023-06-19T00:00:00"/>
    <d v="1900-01-29T00:00:00"/>
    <n v="1"/>
    <x v="94"/>
    <s v="Female"/>
    <x v="3"/>
    <d v="2023-06-19T00:00:00"/>
    <n v="19"/>
    <x v="9"/>
    <x v="0"/>
    <x v="2"/>
    <n v="208"/>
    <x v="4"/>
    <x v="206"/>
    <x v="161"/>
    <x v="203"/>
    <n v="208"/>
    <x v="5"/>
    <d v="2024-11-29T00:00:00"/>
    <n v="3"/>
    <n v="112"/>
    <n v="89"/>
    <x v="0"/>
    <n v="240.42599999999999"/>
    <n v="0.05"/>
    <n v="240.42599999999999"/>
    <n v="94.73399999999998"/>
  </r>
  <r>
    <n v="208"/>
    <d v="2023-10-26T00:00:00"/>
    <d v="1900-01-24T00:00:00"/>
    <n v="7"/>
    <x v="59"/>
    <s v="Female"/>
    <x v="3"/>
    <d v="2023-10-26T00:00:00"/>
    <n v="26"/>
    <x v="6"/>
    <x v="0"/>
    <x v="0"/>
    <n v="209"/>
    <x v="6"/>
    <x v="207"/>
    <x v="143"/>
    <x v="204"/>
    <n v="209"/>
    <x v="8"/>
    <d v="2025-01-27T00:00:00"/>
    <n v="5"/>
    <n v="199"/>
    <n v="76"/>
    <x v="3"/>
    <n v="26.979999999999997"/>
    <n v="0.05"/>
    <n v="53.959999999999994"/>
    <n v="19.64"/>
  </r>
  <r>
    <n v="209"/>
    <d v="2024-05-16T00:00:00"/>
    <d v="1900-01-18T00:00:00"/>
    <n v="12"/>
    <x v="74"/>
    <s v="Female"/>
    <x v="1"/>
    <d v="2024-05-16T00:00:00"/>
    <n v="16"/>
    <x v="3"/>
    <x v="1"/>
    <x v="0"/>
    <n v="210"/>
    <x v="5"/>
    <x v="208"/>
    <x v="162"/>
    <x v="205"/>
    <n v="210"/>
    <x v="6"/>
    <d v="2024-10-26T00:00:00"/>
    <n v="2"/>
    <n v="34"/>
    <n v="69"/>
    <x v="0"/>
    <n v="144.48000000000002"/>
    <n v="0"/>
    <n v="144.48000000000002"/>
    <n v="32.480000000000018"/>
  </r>
  <r>
    <n v="210"/>
    <d v="2023-02-15T00:00:00"/>
    <d v="1900-02-02T00:00:00"/>
    <n v="5"/>
    <x v="52"/>
    <s v="Female"/>
    <x v="2"/>
    <d v="2023-02-15T00:00:00"/>
    <n v="15"/>
    <x v="1"/>
    <x v="0"/>
    <x v="1"/>
    <n v="211"/>
    <x v="2"/>
    <x v="209"/>
    <x v="163"/>
    <x v="206"/>
    <n v="211"/>
    <x v="7"/>
    <d v="2023-04-18T00:00:00"/>
    <n v="3"/>
    <n v="23"/>
    <n v="95"/>
    <x v="0"/>
    <n v="191.1875"/>
    <n v="0.05"/>
    <n v="191.1875"/>
    <n v="50.3125"/>
  </r>
  <r>
    <n v="211"/>
    <d v="2024-07-28T00:00:00"/>
    <d v="1900-01-15T00:00:00"/>
    <n v="12"/>
    <x v="14"/>
    <s v="Female"/>
    <x v="1"/>
    <d v="2024-07-28T00:00:00"/>
    <n v="28"/>
    <x v="2"/>
    <x v="1"/>
    <x v="1"/>
    <n v="212"/>
    <x v="4"/>
    <x v="210"/>
    <x v="164"/>
    <x v="207"/>
    <n v="212"/>
    <x v="5"/>
    <d v="2023-11-19T00:00:00"/>
    <n v="1"/>
    <n v="162"/>
    <n v="17"/>
    <x v="0"/>
    <n v="36.68"/>
    <n v="0"/>
    <n v="36.68"/>
    <n v="8.68"/>
  </r>
  <r>
    <n v="212"/>
    <d v="2023-06-10T00:00:00"/>
    <d v="1900-01-29T00:00:00"/>
    <n v="8"/>
    <x v="81"/>
    <s v="Male"/>
    <x v="2"/>
    <d v="2023-06-10T00:00:00"/>
    <n v="10"/>
    <x v="9"/>
    <x v="0"/>
    <x v="0"/>
    <n v="213"/>
    <x v="5"/>
    <x v="211"/>
    <x v="129"/>
    <x v="208"/>
    <n v="213"/>
    <x v="3"/>
    <d v="2023-06-17T00:00:00"/>
    <n v="5"/>
    <n v="29"/>
    <n v="5"/>
    <x v="0"/>
    <n v="82.5"/>
    <n v="0"/>
    <n v="82.5"/>
    <n v="27.5"/>
  </r>
  <r>
    <n v="213"/>
    <d v="2024-03-25T00:00:00"/>
    <d v="1900-01-19T00:00:00"/>
    <n v="8"/>
    <x v="25"/>
    <s v="Female"/>
    <x v="3"/>
    <d v="2024-03-25T00:00:00"/>
    <n v="25"/>
    <x v="8"/>
    <x v="1"/>
    <x v="0"/>
    <n v="214"/>
    <x v="5"/>
    <x v="212"/>
    <x v="15"/>
    <x v="209"/>
    <n v="214"/>
    <x v="3"/>
    <d v="2025-06-26T00:00:00"/>
    <n v="7"/>
    <n v="102"/>
    <n v="26"/>
    <x v="3"/>
    <n v="123.22450000000001"/>
    <n v="0.05"/>
    <n v="246.44900000000001"/>
    <n v="54.39100000000002"/>
  </r>
  <r>
    <n v="214"/>
    <d v="2023-01-07T00:00:00"/>
    <d v="1900-02-03T00:00:00"/>
    <n v="10"/>
    <x v="29"/>
    <s v="Male"/>
    <x v="0"/>
    <d v="2023-01-07T00:00:00"/>
    <n v="7"/>
    <x v="5"/>
    <x v="0"/>
    <x v="3"/>
    <n v="215"/>
    <x v="4"/>
    <x v="213"/>
    <x v="87"/>
    <x v="210"/>
    <n v="215"/>
    <x v="10"/>
    <d v="2025-09-21T00:00:00"/>
    <n v="8"/>
    <n v="190"/>
    <n v="95"/>
    <x v="3"/>
    <n v="24.034999999999997"/>
    <n v="0.05"/>
    <n v="48.069999999999993"/>
    <n v="9.1299999999999955"/>
  </r>
  <r>
    <n v="215"/>
    <d v="2025-01-08T00:00:00"/>
    <d v="1900-01-10T00:00:00"/>
    <n v="5"/>
    <x v="95"/>
    <s v="Male"/>
    <x v="1"/>
    <d v="2025-01-08T00:00:00"/>
    <n v="8"/>
    <x v="5"/>
    <x v="2"/>
    <x v="2"/>
    <n v="216"/>
    <x v="6"/>
    <x v="214"/>
    <x v="165"/>
    <x v="211"/>
    <n v="216"/>
    <x v="7"/>
    <d v="2025-04-28T00:00:00"/>
    <n v="5"/>
    <n v="182"/>
    <n v="46"/>
    <x v="0"/>
    <n v="15.6"/>
    <n v="0"/>
    <n v="15.6"/>
    <n v="2.5999999999999996"/>
  </r>
  <r>
    <n v="216"/>
    <d v="2024-03-25T00:00:00"/>
    <d v="1900-01-19T00:00:00"/>
    <n v="8"/>
    <x v="25"/>
    <s v="Male"/>
    <x v="3"/>
    <d v="2024-03-25T00:00:00"/>
    <n v="25"/>
    <x v="8"/>
    <x v="1"/>
    <x v="0"/>
    <n v="217"/>
    <x v="7"/>
    <x v="215"/>
    <x v="49"/>
    <x v="212"/>
    <n v="217"/>
    <x v="0"/>
    <d v="2024-03-17T00:00:00"/>
    <n v="2"/>
    <n v="24"/>
    <n v="19"/>
    <x v="0"/>
    <n v="67.83"/>
    <n v="0"/>
    <n v="67.83"/>
    <n v="10.829999999999998"/>
  </r>
  <r>
    <n v="217"/>
    <d v="2023-04-05T00:00:00"/>
    <d v="1900-01-31T00:00:00"/>
    <n v="2"/>
    <x v="96"/>
    <s v="Female"/>
    <x v="3"/>
    <d v="2023-04-05T00:00:00"/>
    <n v="5"/>
    <x v="10"/>
    <x v="0"/>
    <x v="2"/>
    <n v="218"/>
    <x v="6"/>
    <x v="216"/>
    <x v="166"/>
    <x v="213"/>
    <n v="218"/>
    <x v="4"/>
    <d v="2024-12-07T00:00:00"/>
    <n v="7"/>
    <n v="145"/>
    <n v="65"/>
    <x v="0"/>
    <n v="173.73999999999998"/>
    <n v="0"/>
    <n v="173.73999999999998"/>
    <n v="27.739999999999981"/>
  </r>
  <r>
    <n v="218"/>
    <d v="2025-04-19T00:00:00"/>
    <d v="1900-01-07T00:00:00"/>
    <n v="9"/>
    <x v="76"/>
    <s v="Male"/>
    <x v="1"/>
    <d v="2025-04-19T00:00:00"/>
    <n v="19"/>
    <x v="10"/>
    <x v="2"/>
    <x v="2"/>
    <n v="219"/>
    <x v="8"/>
    <x v="217"/>
    <x v="89"/>
    <x v="214"/>
    <n v="219"/>
    <x v="1"/>
    <d v="2023-08-16T00:00:00"/>
    <n v="5"/>
    <n v="206"/>
    <n v="86"/>
    <x v="3"/>
    <n v="693.28"/>
    <n v="0.2"/>
    <n v="1386.56"/>
    <n v="841.83999999999969"/>
  </r>
  <r>
    <n v="219"/>
    <d v="2024-01-27T00:00:00"/>
    <d v="1900-01-21T00:00:00"/>
    <n v="2"/>
    <x v="30"/>
    <s v="Female"/>
    <x v="2"/>
    <d v="2024-01-27T00:00:00"/>
    <n v="27"/>
    <x v="5"/>
    <x v="1"/>
    <x v="2"/>
    <n v="220"/>
    <x v="8"/>
    <x v="218"/>
    <x v="138"/>
    <x v="215"/>
    <n v="220"/>
    <x v="10"/>
    <d v="2025-09-23T00:00:00"/>
    <n v="5"/>
    <n v="33"/>
    <n v="13"/>
    <x v="2"/>
    <n v="473.68800000000005"/>
    <n v="0.2"/>
    <n v="1421.0640000000001"/>
    <n v="754.59600000000012"/>
  </r>
  <r>
    <n v="220"/>
    <d v="2023-09-29T00:00:00"/>
    <d v="1900-01-25T00:00:00"/>
    <n v="9"/>
    <x v="0"/>
    <s v="Male"/>
    <x v="2"/>
    <d v="2023-09-29T00:00:00"/>
    <n v="29"/>
    <x v="0"/>
    <x v="0"/>
    <x v="0"/>
    <n v="221"/>
    <x v="4"/>
    <x v="219"/>
    <x v="48"/>
    <x v="216"/>
    <n v="221"/>
    <x v="7"/>
    <d v="2023-04-04T00:00:00"/>
    <n v="4"/>
    <n v="108"/>
    <n v="33"/>
    <x v="3"/>
    <n v="60.92349999999999"/>
    <n v="0.05"/>
    <n v="121.84699999999998"/>
    <n v="28.673000000000002"/>
  </r>
  <r>
    <n v="221"/>
    <d v="2024-03-25T00:00:00"/>
    <d v="1900-01-19T00:00:00"/>
    <n v="8"/>
    <x v="25"/>
    <s v="Male"/>
    <x v="3"/>
    <d v="2024-03-25T00:00:00"/>
    <n v="25"/>
    <x v="8"/>
    <x v="1"/>
    <x v="0"/>
    <n v="222"/>
    <x v="1"/>
    <x v="220"/>
    <x v="15"/>
    <x v="217"/>
    <n v="222"/>
    <x v="0"/>
    <d v="2025-03-20T00:00:00"/>
    <n v="1"/>
    <n v="147"/>
    <n v="30"/>
    <x v="0"/>
    <n v="139.52000000000001"/>
    <n v="0"/>
    <n v="139.52000000000001"/>
    <n v="30.52000000000001"/>
  </r>
  <r>
    <n v="222"/>
    <d v="2023-07-09T00:00:00"/>
    <d v="1900-01-28T00:00:00"/>
    <n v="11"/>
    <x v="47"/>
    <s v="Female"/>
    <x v="1"/>
    <d v="2023-07-09T00:00:00"/>
    <n v="9"/>
    <x v="2"/>
    <x v="0"/>
    <x v="3"/>
    <n v="223"/>
    <x v="1"/>
    <x v="221"/>
    <x v="167"/>
    <x v="218"/>
    <n v="223"/>
    <x v="8"/>
    <d v="2023-01-16T00:00:00"/>
    <n v="4"/>
    <n v="68"/>
    <n v="84"/>
    <x v="0"/>
    <n v="457.80799999999999"/>
    <n v="0.2"/>
    <n v="457.80799999999999"/>
    <n v="283.71199999999999"/>
  </r>
  <r>
    <n v="223"/>
    <d v="2025-04-03T00:00:00"/>
    <d v="1900-01-07T00:00:00"/>
    <n v="12"/>
    <x v="22"/>
    <s v="Female"/>
    <x v="3"/>
    <d v="2025-04-03T00:00:00"/>
    <n v="3"/>
    <x v="10"/>
    <x v="2"/>
    <x v="2"/>
    <n v="224"/>
    <x v="3"/>
    <x v="222"/>
    <x v="168"/>
    <x v="219"/>
    <n v="224"/>
    <x v="10"/>
    <d v="2024-09-09T00:00:00"/>
    <n v="4"/>
    <n v="217"/>
    <n v="74"/>
    <x v="0"/>
    <n v="758.91200000000003"/>
    <n v="0.2"/>
    <n v="758.91200000000003"/>
    <n v="354.36799999999994"/>
  </r>
  <r>
    <n v="224"/>
    <d v="2023-01-11T00:00:00"/>
    <d v="1900-02-03T00:00:00"/>
    <n v="9"/>
    <x v="16"/>
    <s v="Female"/>
    <x v="3"/>
    <d v="2023-01-11T00:00:00"/>
    <n v="11"/>
    <x v="5"/>
    <x v="0"/>
    <x v="0"/>
    <n v="225"/>
    <x v="4"/>
    <x v="223"/>
    <x v="169"/>
    <x v="220"/>
    <n v="225"/>
    <x v="6"/>
    <d v="2023-10-09T00:00:00"/>
    <n v="5"/>
    <n v="67"/>
    <n v="96"/>
    <x v="0"/>
    <n v="85.15"/>
    <n v="0"/>
    <n v="85.15"/>
    <n v="20.150000000000006"/>
  </r>
  <r>
    <n v="225"/>
    <d v="2025-11-07T00:00:00"/>
    <d v="1899-12-31T00:00:00"/>
    <n v="14"/>
    <x v="6"/>
    <s v="Female"/>
    <x v="0"/>
    <d v="2025-11-07T00:00:00"/>
    <n v="7"/>
    <x v="4"/>
    <x v="2"/>
    <x v="2"/>
    <n v="226"/>
    <x v="4"/>
    <x v="224"/>
    <x v="54"/>
    <x v="221"/>
    <n v="226"/>
    <x v="1"/>
    <d v="2024-08-15T00:00:00"/>
    <n v="6"/>
    <n v="55"/>
    <n v="8"/>
    <x v="0"/>
    <n v="187.96"/>
    <n v="0"/>
    <n v="187.96"/>
    <n v="60.960000000000008"/>
  </r>
  <r>
    <n v="226"/>
    <d v="2023-06-10T00:00:00"/>
    <d v="1900-01-29T00:00:00"/>
    <n v="8"/>
    <x v="81"/>
    <s v="Male"/>
    <x v="2"/>
    <d v="2023-06-10T00:00:00"/>
    <n v="10"/>
    <x v="9"/>
    <x v="0"/>
    <x v="0"/>
    <n v="227"/>
    <x v="8"/>
    <x v="225"/>
    <x v="170"/>
    <x v="222"/>
    <n v="227"/>
    <x v="10"/>
    <d v="2023-09-03T00:00:00"/>
    <n v="1"/>
    <n v="14"/>
    <n v="62"/>
    <x v="0"/>
    <n v="712.81600000000003"/>
    <n v="0.2"/>
    <n v="712.81600000000003"/>
    <n v="471.22399999999993"/>
  </r>
  <r>
    <n v="227"/>
    <d v="2024-04-18T00:00:00"/>
    <d v="1900-01-19T00:00:00"/>
    <n v="7"/>
    <x v="28"/>
    <s v="Male"/>
    <x v="0"/>
    <d v="2024-04-18T00:00:00"/>
    <n v="18"/>
    <x v="10"/>
    <x v="1"/>
    <x v="0"/>
    <n v="228"/>
    <x v="8"/>
    <x v="226"/>
    <x v="171"/>
    <x v="223"/>
    <n v="228"/>
    <x v="6"/>
    <d v="2025-10-15T00:00:00"/>
    <n v="7"/>
    <n v="132"/>
    <n v="77"/>
    <x v="0"/>
    <n v="643.63200000000006"/>
    <n v="0.2"/>
    <n v="643.63200000000006"/>
    <n v="382.44799999999987"/>
  </r>
  <r>
    <n v="228"/>
    <d v="2024-07-28T00:00:00"/>
    <d v="1900-01-15T00:00:00"/>
    <n v="12"/>
    <x v="14"/>
    <s v="Female"/>
    <x v="1"/>
    <d v="2024-07-28T00:00:00"/>
    <n v="28"/>
    <x v="2"/>
    <x v="1"/>
    <x v="1"/>
    <n v="229"/>
    <x v="4"/>
    <x v="227"/>
    <x v="51"/>
    <x v="224"/>
    <n v="229"/>
    <x v="4"/>
    <d v="2023-12-26T00:00:00"/>
    <n v="3"/>
    <n v="149"/>
    <n v="19"/>
    <x v="3"/>
    <n v="88.359499999999997"/>
    <n v="0.05"/>
    <n v="176.71899999999999"/>
    <n v="53.321000000000026"/>
  </r>
  <r>
    <n v="229"/>
    <d v="2023-10-26T00:00:00"/>
    <d v="1900-01-24T00:00:00"/>
    <n v="7"/>
    <x v="59"/>
    <s v="Male"/>
    <x v="3"/>
    <d v="2023-10-26T00:00:00"/>
    <n v="26"/>
    <x v="6"/>
    <x v="0"/>
    <x v="0"/>
    <n v="230"/>
    <x v="0"/>
    <x v="228"/>
    <x v="172"/>
    <x v="225"/>
    <n v="230"/>
    <x v="9"/>
    <d v="2025-02-17T00:00:00"/>
    <n v="4"/>
    <n v="22"/>
    <n v="94"/>
    <x v="0"/>
    <n v="438.06400000000008"/>
    <n v="0.2"/>
    <n v="438.06400000000008"/>
    <n v="239.096"/>
  </r>
  <r>
    <n v="230"/>
    <d v="2023-10-26T00:00:00"/>
    <d v="1900-01-24T00:00:00"/>
    <n v="7"/>
    <x v="59"/>
    <s v="Female"/>
    <x v="3"/>
    <d v="2023-10-26T00:00:00"/>
    <n v="26"/>
    <x v="6"/>
    <x v="0"/>
    <x v="0"/>
    <n v="231"/>
    <x v="3"/>
    <x v="229"/>
    <x v="173"/>
    <x v="226"/>
    <n v="231"/>
    <x v="6"/>
    <d v="2025-10-21T00:00:00"/>
    <n v="6"/>
    <n v="204"/>
    <n v="63"/>
    <x v="3"/>
    <n v="249.50800000000004"/>
    <n v="0.05"/>
    <n v="499.01600000000008"/>
    <n v="159.5440000000001"/>
  </r>
  <r>
    <n v="231"/>
    <d v="2024-07-28T00:00:00"/>
    <d v="1900-01-15T00:00:00"/>
    <n v="12"/>
    <x v="14"/>
    <s v="Female"/>
    <x v="1"/>
    <d v="2024-07-28T00:00:00"/>
    <n v="28"/>
    <x v="2"/>
    <x v="1"/>
    <x v="1"/>
    <n v="232"/>
    <x v="8"/>
    <x v="230"/>
    <x v="174"/>
    <x v="227"/>
    <n v="232"/>
    <x v="11"/>
    <d v="2023-05-28T00:00:00"/>
    <n v="7"/>
    <n v="29"/>
    <n v="4"/>
    <x v="0"/>
    <n v="255.64499999999995"/>
    <n v="0.05"/>
    <n v="255.64499999999995"/>
    <n v="52.55499999999995"/>
  </r>
  <r>
    <n v="232"/>
    <d v="2023-01-11T00:00:00"/>
    <d v="1900-02-03T00:00:00"/>
    <n v="9"/>
    <x v="16"/>
    <s v="Female"/>
    <x v="3"/>
    <d v="2023-01-11T00:00:00"/>
    <n v="11"/>
    <x v="5"/>
    <x v="0"/>
    <x v="0"/>
    <n v="233"/>
    <x v="8"/>
    <x v="231"/>
    <x v="175"/>
    <x v="228"/>
    <n v="233"/>
    <x v="0"/>
    <d v="2023-03-28T00:00:00"/>
    <n v="7"/>
    <n v="116"/>
    <n v="97"/>
    <x v="0"/>
    <n v="261.74400000000003"/>
    <n v="0.05"/>
    <n v="261.74400000000003"/>
    <n v="43.296000000000049"/>
  </r>
  <r>
    <n v="233"/>
    <d v="2023-10-10T00:00:00"/>
    <d v="1900-01-25T00:00:00"/>
    <n v="4"/>
    <x v="91"/>
    <s v="Male"/>
    <x v="3"/>
    <d v="2023-10-10T00:00:00"/>
    <n v="10"/>
    <x v="6"/>
    <x v="0"/>
    <x v="1"/>
    <n v="234"/>
    <x v="0"/>
    <x v="232"/>
    <x v="42"/>
    <x v="229"/>
    <n v="234"/>
    <x v="9"/>
    <d v="2023-02-08T00:00:00"/>
    <n v="8"/>
    <n v="182"/>
    <n v="54"/>
    <x v="3"/>
    <n v="62.414999999999999"/>
    <n v="0.05"/>
    <n v="124.83"/>
    <n v="47.97"/>
  </r>
  <r>
    <n v="234"/>
    <d v="2024-05-20T00:00:00"/>
    <d v="1900-01-18T00:00:00"/>
    <n v="5"/>
    <x v="93"/>
    <s v="Male"/>
    <x v="0"/>
    <d v="2024-05-20T00:00:00"/>
    <n v="20"/>
    <x v="3"/>
    <x v="1"/>
    <x v="1"/>
    <n v="235"/>
    <x v="0"/>
    <x v="233"/>
    <x v="94"/>
    <x v="230"/>
    <n v="235"/>
    <x v="3"/>
    <d v="2023-06-09T00:00:00"/>
    <n v="6"/>
    <n v="27"/>
    <n v="46"/>
    <x v="0"/>
    <n v="49.699999999999996"/>
    <n v="0"/>
    <n v="49.699999999999996"/>
    <n v="14.699999999999996"/>
  </r>
  <r>
    <n v="235"/>
    <d v="2023-08-20T00:00:00"/>
    <d v="1900-01-27T00:00:00"/>
    <n v="2"/>
    <x v="97"/>
    <s v="Male"/>
    <x v="1"/>
    <d v="2023-08-20T00:00:00"/>
    <n v="20"/>
    <x v="11"/>
    <x v="0"/>
    <x v="2"/>
    <n v="236"/>
    <x v="0"/>
    <x v="234"/>
    <x v="128"/>
    <x v="231"/>
    <n v="236"/>
    <x v="11"/>
    <d v="2025-05-29T00:00:00"/>
    <n v="7"/>
    <n v="114"/>
    <n v="14"/>
    <x v="3"/>
    <n v="217.98699999999999"/>
    <n v="0.05"/>
    <n v="435.97399999999999"/>
    <n v="173.86600000000004"/>
  </r>
  <r>
    <n v="236"/>
    <d v="2023-07-16T00:00:00"/>
    <d v="1900-01-28T00:00:00"/>
    <n v="4"/>
    <x v="98"/>
    <s v="Male"/>
    <x v="0"/>
    <d v="2023-07-16T00:00:00"/>
    <n v="16"/>
    <x v="2"/>
    <x v="0"/>
    <x v="1"/>
    <n v="237"/>
    <x v="6"/>
    <x v="235"/>
    <x v="176"/>
    <x v="232"/>
    <n v="237"/>
    <x v="11"/>
    <d v="2025-05-05T00:00:00"/>
    <n v="5"/>
    <n v="179"/>
    <n v="73"/>
    <x v="0"/>
    <n v="289.75"/>
    <n v="0.05"/>
    <n v="289.75"/>
    <n v="76.25"/>
  </r>
  <r>
    <n v="237"/>
    <d v="2023-07-16T00:00:00"/>
    <d v="1900-01-28T00:00:00"/>
    <n v="4"/>
    <x v="98"/>
    <s v="Female"/>
    <x v="0"/>
    <d v="2023-07-16T00:00:00"/>
    <n v="16"/>
    <x v="2"/>
    <x v="0"/>
    <x v="1"/>
    <n v="238"/>
    <x v="5"/>
    <x v="236"/>
    <x v="177"/>
    <x v="233"/>
    <n v="238"/>
    <x v="1"/>
    <d v="2023-08-24T00:00:00"/>
    <n v="7"/>
    <n v="108"/>
    <n v="42"/>
    <x v="0"/>
    <n v="136.29999999999998"/>
    <n v="0"/>
    <n v="136.29999999999998"/>
    <n v="42.299999999999983"/>
  </r>
  <r>
    <n v="238"/>
    <d v="2023-11-17T00:00:00"/>
    <d v="1900-01-24T00:00:00"/>
    <n v="2"/>
    <x v="99"/>
    <s v="Female"/>
    <x v="0"/>
    <d v="2023-11-17T00:00:00"/>
    <n v="17"/>
    <x v="4"/>
    <x v="0"/>
    <x v="2"/>
    <n v="239"/>
    <x v="6"/>
    <x v="237"/>
    <x v="178"/>
    <x v="234"/>
    <n v="239"/>
    <x v="9"/>
    <d v="2023-02-12T00:00:00"/>
    <n v="6"/>
    <n v="185"/>
    <n v="30"/>
    <x v="3"/>
    <n v="223.535"/>
    <n v="0.05"/>
    <n v="447.07"/>
    <n v="132.13000000000005"/>
  </r>
  <r>
    <n v="239"/>
    <d v="2025-11-07T00:00:00"/>
    <d v="1899-12-31T00:00:00"/>
    <n v="14"/>
    <x v="6"/>
    <s v="Male"/>
    <x v="0"/>
    <d v="2025-11-07T00:00:00"/>
    <n v="7"/>
    <x v="4"/>
    <x v="2"/>
    <x v="2"/>
    <n v="240"/>
    <x v="8"/>
    <x v="238"/>
    <x v="179"/>
    <x v="235"/>
    <n v="240"/>
    <x v="4"/>
    <d v="2023-12-18T00:00:00"/>
    <n v="8"/>
    <n v="2"/>
    <n v="59"/>
    <x v="3"/>
    <n v="473.67949999999996"/>
    <n v="0.05"/>
    <n v="947.35899999999992"/>
    <n v="209.0809999999999"/>
  </r>
  <r>
    <n v="240"/>
    <d v="2025-10-05T00:00:00"/>
    <d v="1900-01-01T00:00:00"/>
    <n v="5"/>
    <x v="53"/>
    <s v="Female"/>
    <x v="3"/>
    <d v="2025-10-05T00:00:00"/>
    <n v="5"/>
    <x v="6"/>
    <x v="2"/>
    <x v="2"/>
    <n v="241"/>
    <x v="4"/>
    <x v="239"/>
    <x v="120"/>
    <x v="236"/>
    <n v="241"/>
    <x v="8"/>
    <d v="2025-01-11T00:00:00"/>
    <n v="2"/>
    <n v="149"/>
    <n v="17"/>
    <x v="0"/>
    <n v="159.82"/>
    <n v="0"/>
    <n v="159.82"/>
    <n v="28.819999999999993"/>
  </r>
  <r>
    <n v="241"/>
    <d v="2024-05-08T00:00:00"/>
    <d v="1900-01-18T00:00:00"/>
    <n v="5"/>
    <x v="85"/>
    <s v="Male"/>
    <x v="0"/>
    <d v="2024-05-08T00:00:00"/>
    <n v="8"/>
    <x v="3"/>
    <x v="1"/>
    <x v="1"/>
    <n v="242"/>
    <x v="4"/>
    <x v="240"/>
    <x v="91"/>
    <x v="237"/>
    <n v="242"/>
    <x v="3"/>
    <d v="2025-06-13T00:00:00"/>
    <n v="2"/>
    <n v="202"/>
    <n v="55"/>
    <x v="0"/>
    <n v="199.12"/>
    <n v="0.05"/>
    <n v="199.12"/>
    <n v="60.080000000000041"/>
  </r>
  <r>
    <n v="242"/>
    <d v="2024-07-01T00:00:00"/>
    <d v="1900-01-16T00:00:00"/>
    <n v="1"/>
    <x v="100"/>
    <s v="Male"/>
    <x v="2"/>
    <d v="2024-07-01T00:00:00"/>
    <n v="1"/>
    <x v="2"/>
    <x v="1"/>
    <x v="2"/>
    <n v="243"/>
    <x v="1"/>
    <x v="241"/>
    <x v="180"/>
    <x v="238"/>
    <n v="243"/>
    <x v="11"/>
    <d v="2024-05-13T00:00:00"/>
    <n v="7"/>
    <n v="168"/>
    <n v="16"/>
    <x v="0"/>
    <n v="296.78000000000003"/>
    <n v="0.05"/>
    <n v="296.78000000000003"/>
    <n v="44.020000000000039"/>
  </r>
  <r>
    <n v="243"/>
    <d v="2024-07-28T00:00:00"/>
    <d v="1900-01-15T00:00:00"/>
    <n v="12"/>
    <x v="14"/>
    <s v="Male"/>
    <x v="1"/>
    <d v="2024-07-28T00:00:00"/>
    <n v="28"/>
    <x v="2"/>
    <x v="1"/>
    <x v="1"/>
    <n v="244"/>
    <x v="0"/>
    <x v="242"/>
    <x v="181"/>
    <x v="239"/>
    <n v="244"/>
    <x v="0"/>
    <d v="2025-03-31T00:00:00"/>
    <n v="2"/>
    <n v="165"/>
    <n v="83"/>
    <x v="2"/>
    <n v="272.11799999999999"/>
    <n v="0.05"/>
    <n v="816.35400000000004"/>
    <n v="251.286"/>
  </r>
  <r>
    <n v="244"/>
    <d v="2024-05-16T00:00:00"/>
    <d v="1900-01-18T00:00:00"/>
    <n v="12"/>
    <x v="74"/>
    <s v="Male"/>
    <x v="1"/>
    <d v="2024-05-16T00:00:00"/>
    <n v="16"/>
    <x v="3"/>
    <x v="1"/>
    <x v="0"/>
    <n v="245"/>
    <x v="6"/>
    <x v="243"/>
    <x v="80"/>
    <x v="240"/>
    <n v="245"/>
    <x v="0"/>
    <d v="2025-03-21T00:00:00"/>
    <n v="5"/>
    <n v="205"/>
    <n v="25"/>
    <x v="0"/>
    <n v="43.66"/>
    <n v="0"/>
    <n v="43.66"/>
    <n v="6.6599999999999966"/>
  </r>
  <r>
    <n v="245"/>
    <d v="2023-08-16T00:00:00"/>
    <d v="1900-01-27T00:00:00"/>
    <n v="4"/>
    <x v="88"/>
    <s v="Male"/>
    <x v="2"/>
    <d v="2023-08-16T00:00:00"/>
    <n v="16"/>
    <x v="11"/>
    <x v="0"/>
    <x v="1"/>
    <n v="246"/>
    <x v="4"/>
    <x v="244"/>
    <x v="143"/>
    <x v="241"/>
    <n v="246"/>
    <x v="5"/>
    <d v="2024-11-26T00:00:00"/>
    <n v="4"/>
    <n v="216"/>
    <n v="40"/>
    <x v="0"/>
    <n v="25.6"/>
    <n v="0"/>
    <n v="25.6"/>
    <n v="5.6000000000000014"/>
  </r>
  <r>
    <n v="246"/>
    <d v="2023-03-16T00:00:00"/>
    <d v="1900-02-01T00:00:00"/>
    <n v="1"/>
    <x v="101"/>
    <s v="Male"/>
    <x v="0"/>
    <d v="2023-03-16T00:00:00"/>
    <n v="16"/>
    <x v="8"/>
    <x v="0"/>
    <x v="2"/>
    <n v="247"/>
    <x v="7"/>
    <x v="245"/>
    <x v="108"/>
    <x v="242"/>
    <n v="247"/>
    <x v="5"/>
    <d v="2024-11-13T00:00:00"/>
    <n v="3"/>
    <n v="5"/>
    <n v="78"/>
    <x v="0"/>
    <n v="170.79999999999998"/>
    <n v="0"/>
    <n v="170.79999999999998"/>
    <n v="48.799999999999983"/>
  </r>
  <r>
    <n v="247"/>
    <d v="2024-06-29T00:00:00"/>
    <d v="1900-01-16T00:00:00"/>
    <n v="7"/>
    <x v="80"/>
    <s v="Male"/>
    <x v="1"/>
    <d v="2024-06-29T00:00:00"/>
    <n v="29"/>
    <x v="9"/>
    <x v="1"/>
    <x v="1"/>
    <n v="248"/>
    <x v="3"/>
    <x v="246"/>
    <x v="182"/>
    <x v="243"/>
    <n v="248"/>
    <x v="3"/>
    <d v="2023-06-06T00:00:00"/>
    <n v="2"/>
    <n v="85"/>
    <n v="30"/>
    <x v="0"/>
    <n v="608.52800000000002"/>
    <n v="0.2"/>
    <n v="608.52800000000002"/>
    <n v="391.79199999999992"/>
  </r>
  <r>
    <n v="248"/>
    <d v="2023-11-20T00:00:00"/>
    <d v="1900-01-24T00:00:00"/>
    <n v="1"/>
    <x v="102"/>
    <s v="Female"/>
    <x v="0"/>
    <d v="2023-11-20T00:00:00"/>
    <n v="20"/>
    <x v="4"/>
    <x v="0"/>
    <x v="2"/>
    <n v="249"/>
    <x v="0"/>
    <x v="247"/>
    <x v="183"/>
    <x v="244"/>
    <n v="249"/>
    <x v="5"/>
    <d v="2025-11-10T00:00:00"/>
    <n v="4"/>
    <n v="158"/>
    <n v="73"/>
    <x v="0"/>
    <n v="73.319999999999993"/>
    <n v="0"/>
    <n v="73.319999999999993"/>
    <n v="21.319999999999993"/>
  </r>
  <r>
    <n v="249"/>
    <d v="2025-08-08T00:00:00"/>
    <d v="1900-01-03T00:00:00"/>
    <n v="5"/>
    <x v="21"/>
    <s v="Female"/>
    <x v="1"/>
    <d v="2025-08-08T00:00:00"/>
    <n v="8"/>
    <x v="11"/>
    <x v="2"/>
    <x v="2"/>
    <n v="250"/>
    <x v="8"/>
    <x v="248"/>
    <x v="97"/>
    <x v="245"/>
    <n v="250"/>
    <x v="4"/>
    <d v="2024-12-16T00:00:00"/>
    <n v="6"/>
    <n v="139"/>
    <n v="7"/>
    <x v="0"/>
    <n v="154.79999999999998"/>
    <n v="0"/>
    <n v="154.79999999999998"/>
    <n v="25.799999999999983"/>
  </r>
  <r>
    <n v="250"/>
    <d v="2023-04-25T00:00:00"/>
    <d v="1900-01-30T00:00:00"/>
    <n v="2"/>
    <x v="57"/>
    <s v="Female"/>
    <x v="0"/>
    <d v="2023-04-25T00:00:00"/>
    <n v="25"/>
    <x v="10"/>
    <x v="0"/>
    <x v="2"/>
    <n v="251"/>
    <x v="6"/>
    <x v="249"/>
    <x v="184"/>
    <x v="246"/>
    <n v="251"/>
    <x v="6"/>
    <d v="2023-10-30T00:00:00"/>
    <n v="4"/>
    <n v="67"/>
    <n v="45"/>
    <x v="0"/>
    <n v="315.60899999999998"/>
    <n v="0.05"/>
    <n v="315.60899999999998"/>
    <n v="54.83099999999996"/>
  </r>
  <r>
    <n v="251"/>
    <d v="2025-11-19T00:00:00"/>
    <d v="1899-12-31T00:00:00"/>
    <n v="2"/>
    <x v="92"/>
    <s v="Male"/>
    <x v="0"/>
    <d v="2025-11-19T00:00:00"/>
    <n v="19"/>
    <x v="4"/>
    <x v="2"/>
    <x v="2"/>
    <n v="252"/>
    <x v="0"/>
    <x v="250"/>
    <x v="4"/>
    <x v="247"/>
    <n v="252"/>
    <x v="2"/>
    <d v="2023-07-30T00:00:00"/>
    <n v="3"/>
    <n v="31"/>
    <n v="5"/>
    <x v="2"/>
    <n v="121.73299999999998"/>
    <n v="0.05"/>
    <n v="365.19899999999996"/>
    <n v="145.64099999999999"/>
  </r>
  <r>
    <n v="252"/>
    <d v="2024-05-19T00:00:00"/>
    <d v="1900-01-18T00:00:00"/>
    <n v="5"/>
    <x v="62"/>
    <s v="Female"/>
    <x v="0"/>
    <d v="2024-05-19T00:00:00"/>
    <n v="19"/>
    <x v="3"/>
    <x v="1"/>
    <x v="1"/>
    <n v="253"/>
    <x v="8"/>
    <x v="251"/>
    <x v="29"/>
    <x v="248"/>
    <n v="253"/>
    <x v="3"/>
    <d v="2024-06-08T00:00:00"/>
    <n v="4"/>
    <n v="191"/>
    <n v="1"/>
    <x v="0"/>
    <n v="134.4"/>
    <n v="0"/>
    <n v="134.4"/>
    <n v="14.400000000000006"/>
  </r>
  <r>
    <n v="253"/>
    <d v="2025-12-07T00:00:00"/>
    <d v="1899-12-30T00:00:00"/>
    <n v="3"/>
    <x v="84"/>
    <s v="Female"/>
    <x v="0"/>
    <d v="2025-12-07T00:00:00"/>
    <n v="7"/>
    <x v="7"/>
    <x v="2"/>
    <x v="2"/>
    <n v="254"/>
    <x v="7"/>
    <x v="252"/>
    <x v="185"/>
    <x v="249"/>
    <n v="254"/>
    <x v="4"/>
    <d v="2023-12-22T00:00:00"/>
    <n v="3"/>
    <n v="95"/>
    <n v="36"/>
    <x v="0"/>
    <n v="29.67"/>
    <n v="0"/>
    <n v="29.67"/>
    <n v="6.6700000000000017"/>
  </r>
  <r>
    <n v="254"/>
    <d v="2025-01-12T00:00:00"/>
    <d v="1900-01-10T00:00:00"/>
    <n v="7"/>
    <x v="8"/>
    <s v="Female"/>
    <x v="1"/>
    <d v="2025-01-12T00:00:00"/>
    <n v="12"/>
    <x v="5"/>
    <x v="2"/>
    <x v="2"/>
    <n v="255"/>
    <x v="7"/>
    <x v="253"/>
    <x v="186"/>
    <x v="250"/>
    <n v="255"/>
    <x v="3"/>
    <d v="2023-06-04T00:00:00"/>
    <n v="3"/>
    <n v="47"/>
    <n v="29"/>
    <x v="0"/>
    <n v="155.4"/>
    <n v="0"/>
    <n v="155.4"/>
    <n v="15.400000000000006"/>
  </r>
  <r>
    <n v="255"/>
    <d v="2025-08-08T00:00:00"/>
    <d v="1900-01-03T00:00:00"/>
    <n v="5"/>
    <x v="21"/>
    <s v="Male"/>
    <x v="1"/>
    <d v="2025-08-08T00:00:00"/>
    <n v="8"/>
    <x v="11"/>
    <x v="2"/>
    <x v="2"/>
    <n v="256"/>
    <x v="7"/>
    <x v="254"/>
    <x v="51"/>
    <x v="251"/>
    <n v="256"/>
    <x v="6"/>
    <d v="2025-10-08T00:00:00"/>
    <n v="8"/>
    <n v="77"/>
    <n v="34"/>
    <x v="0"/>
    <n v="103.66"/>
    <n v="0"/>
    <n v="103.66"/>
    <n v="32.659999999999997"/>
  </r>
  <r>
    <n v="256"/>
    <d v="2024-05-16T00:00:00"/>
    <d v="1900-01-18T00:00:00"/>
    <n v="12"/>
    <x v="74"/>
    <s v="Female"/>
    <x v="1"/>
    <d v="2024-05-16T00:00:00"/>
    <n v="16"/>
    <x v="3"/>
    <x v="1"/>
    <x v="0"/>
    <n v="257"/>
    <x v="4"/>
    <x v="255"/>
    <x v="169"/>
    <x v="252"/>
    <n v="257"/>
    <x v="2"/>
    <d v="2025-07-08T00:00:00"/>
    <n v="6"/>
    <n v="183"/>
    <n v="91"/>
    <x v="0"/>
    <n v="83.2"/>
    <n v="0"/>
    <n v="83.2"/>
    <n v="18.200000000000003"/>
  </r>
  <r>
    <n v="257"/>
    <d v="2024-12-28T00:00:00"/>
    <d v="1900-01-10T00:00:00"/>
    <n v="8"/>
    <x v="41"/>
    <s v="Female"/>
    <x v="1"/>
    <d v="2024-12-28T00:00:00"/>
    <n v="28"/>
    <x v="7"/>
    <x v="1"/>
    <x v="2"/>
    <n v="258"/>
    <x v="4"/>
    <x v="256"/>
    <x v="121"/>
    <x v="253"/>
    <n v="258"/>
    <x v="6"/>
    <d v="2024-10-09T00:00:00"/>
    <n v="3"/>
    <n v="58"/>
    <n v="74"/>
    <x v="0"/>
    <n v="74.5"/>
    <n v="0"/>
    <n v="74.5"/>
    <n v="24.5"/>
  </r>
  <r>
    <n v="258"/>
    <d v="2025-04-03T00:00:00"/>
    <d v="1900-01-07T00:00:00"/>
    <n v="12"/>
    <x v="22"/>
    <s v="Female"/>
    <x v="3"/>
    <d v="2025-04-03T00:00:00"/>
    <n v="3"/>
    <x v="10"/>
    <x v="2"/>
    <x v="2"/>
    <n v="259"/>
    <x v="1"/>
    <x v="257"/>
    <x v="92"/>
    <x v="254"/>
    <n v="259"/>
    <x v="3"/>
    <d v="2025-06-19T00:00:00"/>
    <n v="2"/>
    <n v="216"/>
    <n v="40"/>
    <x v="0"/>
    <n v="83.52"/>
    <n v="0"/>
    <n v="83.52"/>
    <n v="25.519999999999996"/>
  </r>
  <r>
    <n v="259"/>
    <d v="2023-01-11T00:00:00"/>
    <d v="1900-02-03T00:00:00"/>
    <n v="9"/>
    <x v="16"/>
    <s v="Male"/>
    <x v="3"/>
    <d v="2023-01-11T00:00:00"/>
    <n v="11"/>
    <x v="5"/>
    <x v="0"/>
    <x v="0"/>
    <n v="260"/>
    <x v="3"/>
    <x v="258"/>
    <x v="187"/>
    <x v="255"/>
    <n v="260"/>
    <x v="1"/>
    <d v="2025-08-18T00:00:00"/>
    <n v="8"/>
    <n v="80"/>
    <n v="57"/>
    <x v="0"/>
    <n v="988.12800000000016"/>
    <n v="0.2"/>
    <n v="988.12800000000016"/>
    <n v="636.19200000000001"/>
  </r>
  <r>
    <n v="260"/>
    <d v="2024-07-13T00:00:00"/>
    <d v="1900-01-16T00:00:00"/>
    <n v="6"/>
    <x v="7"/>
    <s v="Female"/>
    <x v="1"/>
    <d v="2024-07-13T00:00:00"/>
    <n v="13"/>
    <x v="2"/>
    <x v="1"/>
    <x v="1"/>
    <n v="261"/>
    <x v="6"/>
    <x v="259"/>
    <x v="188"/>
    <x v="256"/>
    <n v="261"/>
    <x v="10"/>
    <d v="2024-09-12T00:00:00"/>
    <n v="5"/>
    <n v="36"/>
    <n v="34"/>
    <x v="0"/>
    <n v="378.67950000000002"/>
    <n v="0.05"/>
    <n v="378.67950000000002"/>
    <n v="109.54050000000001"/>
  </r>
  <r>
    <n v="261"/>
    <d v="2024-07-13T00:00:00"/>
    <d v="1900-01-16T00:00:00"/>
    <n v="6"/>
    <x v="7"/>
    <s v="Female"/>
    <x v="1"/>
    <d v="2024-07-13T00:00:00"/>
    <n v="13"/>
    <x v="2"/>
    <x v="1"/>
    <x v="1"/>
    <n v="262"/>
    <x v="2"/>
    <x v="260"/>
    <x v="189"/>
    <x v="257"/>
    <n v="262"/>
    <x v="7"/>
    <d v="2023-04-26T00:00:00"/>
    <n v="6"/>
    <n v="25"/>
    <n v="80"/>
    <x v="2"/>
    <n v="149.435"/>
    <n v="0.05"/>
    <n v="448.30500000000001"/>
    <n v="132.49500000000006"/>
  </r>
  <r>
    <n v="262"/>
    <d v="2025-10-05T00:00:00"/>
    <d v="1900-01-01T00:00:00"/>
    <n v="5"/>
    <x v="53"/>
    <s v="Female"/>
    <x v="3"/>
    <d v="2025-10-05T00:00:00"/>
    <n v="5"/>
    <x v="6"/>
    <x v="2"/>
    <x v="2"/>
    <n v="263"/>
    <x v="8"/>
    <x v="261"/>
    <x v="73"/>
    <x v="258"/>
    <n v="263"/>
    <x v="5"/>
    <d v="2025-11-05T00:00:00"/>
    <n v="2"/>
    <n v="211"/>
    <n v="13"/>
    <x v="0"/>
    <n v="633.05600000000004"/>
    <n v="0.2"/>
    <n v="633.05600000000004"/>
    <n v="407.58399999999983"/>
  </r>
  <r>
    <n v="263"/>
    <d v="2025-01-08T00:00:00"/>
    <d v="1900-01-10T00:00:00"/>
    <n v="5"/>
    <x v="95"/>
    <s v="Male"/>
    <x v="1"/>
    <d v="2025-01-08T00:00:00"/>
    <n v="8"/>
    <x v="5"/>
    <x v="2"/>
    <x v="2"/>
    <n v="264"/>
    <x v="6"/>
    <x v="262"/>
    <x v="174"/>
    <x v="259"/>
    <n v="264"/>
    <x v="10"/>
    <d v="2024-09-27T00:00:00"/>
    <n v="8"/>
    <n v="14"/>
    <n v="31"/>
    <x v="0"/>
    <n v="257.83"/>
    <n v="0.05"/>
    <n v="257.83"/>
    <n v="54.96999999999997"/>
  </r>
  <r>
    <n v="264"/>
    <d v="2025-11-07T00:00:00"/>
    <d v="1899-12-31T00:00:00"/>
    <n v="14"/>
    <x v="6"/>
    <s v="Female"/>
    <x v="0"/>
    <d v="2025-11-07T00:00:00"/>
    <n v="7"/>
    <x v="4"/>
    <x v="2"/>
    <x v="2"/>
    <n v="265"/>
    <x v="2"/>
    <x v="263"/>
    <x v="190"/>
    <x v="260"/>
    <n v="265"/>
    <x v="2"/>
    <d v="2025-07-14T00:00:00"/>
    <n v="1"/>
    <n v="183"/>
    <n v="70"/>
    <x v="0"/>
    <n v="101.08000000000001"/>
    <n v="0"/>
    <n v="101.08000000000001"/>
    <n v="25.080000000000013"/>
  </r>
  <r>
    <n v="265"/>
    <d v="2024-06-29T00:00:00"/>
    <d v="1900-01-16T00:00:00"/>
    <n v="7"/>
    <x v="80"/>
    <s v="Female"/>
    <x v="1"/>
    <d v="2024-06-29T00:00:00"/>
    <n v="29"/>
    <x v="9"/>
    <x v="1"/>
    <x v="1"/>
    <n v="266"/>
    <x v="2"/>
    <x v="264"/>
    <x v="191"/>
    <x v="261"/>
    <n v="266"/>
    <x v="7"/>
    <d v="2023-04-27T00:00:00"/>
    <n v="6"/>
    <n v="26"/>
    <n v="100"/>
    <x v="0"/>
    <n v="305.46299999999997"/>
    <n v="0.05"/>
    <n v="305.46299999999997"/>
    <n v="104.61699999999996"/>
  </r>
  <r>
    <n v="266"/>
    <d v="2025-11-07T00:00:00"/>
    <d v="1899-12-31T00:00:00"/>
    <n v="14"/>
    <x v="6"/>
    <s v="Male"/>
    <x v="0"/>
    <d v="2025-11-07T00:00:00"/>
    <n v="7"/>
    <x v="4"/>
    <x v="2"/>
    <x v="2"/>
    <n v="267"/>
    <x v="4"/>
    <x v="265"/>
    <x v="192"/>
    <x v="262"/>
    <n v="267"/>
    <x v="1"/>
    <d v="2024-08-10T00:00:00"/>
    <n v="2"/>
    <n v="155"/>
    <n v="99"/>
    <x v="0"/>
    <n v="228.44650000000001"/>
    <n v="0.05"/>
    <n v="228.44650000000001"/>
    <n v="79.49350000000004"/>
  </r>
  <r>
    <n v="267"/>
    <d v="2025-04-13T00:00:00"/>
    <d v="1900-01-07T00:00:00"/>
    <n v="4"/>
    <x v="38"/>
    <s v="Female"/>
    <x v="2"/>
    <d v="2025-04-13T00:00:00"/>
    <n v="13"/>
    <x v="10"/>
    <x v="2"/>
    <x v="2"/>
    <n v="268"/>
    <x v="1"/>
    <x v="266"/>
    <x v="189"/>
    <x v="263"/>
    <n v="268"/>
    <x v="2"/>
    <d v="2023-07-04T00:00:00"/>
    <n v="7"/>
    <n v="72"/>
    <n v="38"/>
    <x v="0"/>
    <n v="163.35000000000002"/>
    <n v="0"/>
    <n v="163.35000000000002"/>
    <n v="42.350000000000023"/>
  </r>
  <r>
    <n v="268"/>
    <d v="2024-07-30T00:00:00"/>
    <d v="1900-01-15T00:00:00"/>
    <n v="8"/>
    <x v="82"/>
    <s v="Male"/>
    <x v="3"/>
    <d v="2024-07-30T00:00:00"/>
    <n v="30"/>
    <x v="2"/>
    <x v="1"/>
    <x v="1"/>
    <n v="269"/>
    <x v="1"/>
    <x v="267"/>
    <x v="193"/>
    <x v="264"/>
    <n v="269"/>
    <x v="1"/>
    <d v="2025-08-05T00:00:00"/>
    <n v="1"/>
    <n v="27"/>
    <n v="80"/>
    <x v="0"/>
    <n v="410.37149999999997"/>
    <n v="0.05"/>
    <n v="410.37149999999997"/>
    <n v="90.568499999999972"/>
  </r>
  <r>
    <n v="269"/>
    <d v="2024-07-30T00:00:00"/>
    <d v="1900-01-15T00:00:00"/>
    <n v="8"/>
    <x v="82"/>
    <s v="Male"/>
    <x v="3"/>
    <d v="2024-07-30T00:00:00"/>
    <n v="30"/>
    <x v="2"/>
    <x v="1"/>
    <x v="1"/>
    <n v="270"/>
    <x v="0"/>
    <x v="268"/>
    <x v="194"/>
    <x v="265"/>
    <n v="270"/>
    <x v="2"/>
    <d v="2025-07-10T00:00:00"/>
    <n v="4"/>
    <n v="131"/>
    <n v="100"/>
    <x v="2"/>
    <n v="439.06149999999997"/>
    <n v="0.05"/>
    <n v="1317.1844999999998"/>
    <n v="228.83549999999985"/>
  </r>
  <r>
    <n v="270"/>
    <d v="2023-07-24T00:00:00"/>
    <d v="1900-01-27T00:00:00"/>
    <n v="1"/>
    <x v="103"/>
    <s v="Male"/>
    <x v="1"/>
    <d v="2023-07-24T00:00:00"/>
    <n v="24"/>
    <x v="2"/>
    <x v="0"/>
    <x v="2"/>
    <n v="271"/>
    <x v="3"/>
    <x v="269"/>
    <x v="195"/>
    <x v="266"/>
    <n v="271"/>
    <x v="6"/>
    <d v="2024-10-20T00:00:00"/>
    <n v="8"/>
    <n v="12"/>
    <n v="75"/>
    <x v="3"/>
    <n v="717.40800000000002"/>
    <n v="0.2"/>
    <n v="1434.816"/>
    <n v="880.22399999999971"/>
  </r>
  <r>
    <n v="271"/>
    <d v="2023-07-10T00:00:00"/>
    <d v="1900-01-28T00:00:00"/>
    <n v="5"/>
    <x v="11"/>
    <s v="Male"/>
    <x v="0"/>
    <d v="2023-07-10T00:00:00"/>
    <n v="10"/>
    <x v="2"/>
    <x v="0"/>
    <x v="1"/>
    <n v="272"/>
    <x v="3"/>
    <x v="270"/>
    <x v="196"/>
    <x v="267"/>
    <n v="272"/>
    <x v="6"/>
    <d v="2025-10-23T00:00:00"/>
    <n v="3"/>
    <n v="108"/>
    <n v="7"/>
    <x v="0"/>
    <n v="845.18400000000008"/>
    <n v="0.2"/>
    <n v="845.18400000000008"/>
    <n v="415.77600000000007"/>
  </r>
  <r>
    <n v="272"/>
    <d v="2024-04-16T00:00:00"/>
    <d v="1900-01-19T00:00:00"/>
    <n v="4"/>
    <x v="60"/>
    <s v="Female"/>
    <x v="1"/>
    <d v="2024-04-16T00:00:00"/>
    <n v="16"/>
    <x v="10"/>
    <x v="1"/>
    <x v="1"/>
    <n v="273"/>
    <x v="2"/>
    <x v="271"/>
    <x v="190"/>
    <x v="268"/>
    <n v="273"/>
    <x v="11"/>
    <d v="2023-05-07T00:00:00"/>
    <n v="8"/>
    <n v="119"/>
    <n v="22"/>
    <x v="3"/>
    <n v="83.029999999999987"/>
    <n v="0.05"/>
    <n v="166.05999999999997"/>
    <n v="31.539999999999992"/>
  </r>
  <r>
    <n v="273"/>
    <d v="2023-09-29T00:00:00"/>
    <d v="1900-01-25T00:00:00"/>
    <n v="9"/>
    <x v="0"/>
    <s v="Male"/>
    <x v="2"/>
    <d v="2023-09-29T00:00:00"/>
    <n v="29"/>
    <x v="0"/>
    <x v="0"/>
    <x v="0"/>
    <n v="274"/>
    <x v="4"/>
    <x v="272"/>
    <x v="197"/>
    <x v="269"/>
    <n v="274"/>
    <x v="2"/>
    <d v="2023-07-31T00:00:00"/>
    <n v="6"/>
    <n v="76"/>
    <n v="87"/>
    <x v="0"/>
    <n v="179.35999999999999"/>
    <n v="0"/>
    <n v="179.35999999999999"/>
    <n v="27.359999999999985"/>
  </r>
  <r>
    <n v="274"/>
    <d v="2023-07-09T00:00:00"/>
    <d v="1900-01-28T00:00:00"/>
    <n v="11"/>
    <x v="47"/>
    <s v="Female"/>
    <x v="1"/>
    <d v="2023-07-09T00:00:00"/>
    <n v="9"/>
    <x v="2"/>
    <x v="0"/>
    <x v="3"/>
    <n v="275"/>
    <x v="5"/>
    <x v="273"/>
    <x v="160"/>
    <x v="270"/>
    <n v="275"/>
    <x v="3"/>
    <d v="2023-06-22T00:00:00"/>
    <n v="3"/>
    <n v="26"/>
    <n v="81"/>
    <x v="2"/>
    <n v="15.570499999999999"/>
    <n v="0.05"/>
    <n v="46.711500000000001"/>
    <n v="18.628500000000006"/>
  </r>
  <r>
    <n v="275"/>
    <d v="2023-06-22T00:00:00"/>
    <d v="1900-01-29T00:00:00"/>
    <n v="9"/>
    <x v="79"/>
    <s v="Female"/>
    <x v="3"/>
    <d v="2023-06-22T00:00:00"/>
    <n v="22"/>
    <x v="9"/>
    <x v="0"/>
    <x v="0"/>
    <n v="276"/>
    <x v="6"/>
    <x v="274"/>
    <x v="198"/>
    <x v="271"/>
    <n v="276"/>
    <x v="0"/>
    <d v="2023-03-22T00:00:00"/>
    <n v="4"/>
    <n v="130"/>
    <n v="43"/>
    <x v="0"/>
    <n v="347.54799999999994"/>
    <n v="0.05"/>
    <n v="347.54799999999994"/>
    <n v="115.13200000000001"/>
  </r>
  <r>
    <n v="276"/>
    <d v="2025-10-19T00:00:00"/>
    <d v="1900-01-01T00:00:00"/>
    <n v="5"/>
    <x v="39"/>
    <s v="Female"/>
    <x v="2"/>
    <d v="2025-10-19T00:00:00"/>
    <n v="19"/>
    <x v="6"/>
    <x v="2"/>
    <x v="2"/>
    <n v="277"/>
    <x v="3"/>
    <x v="275"/>
    <x v="199"/>
    <x v="272"/>
    <n v="277"/>
    <x v="3"/>
    <d v="2025-06-15T00:00:00"/>
    <n v="8"/>
    <n v="119"/>
    <n v="31"/>
    <x v="3"/>
    <n v="434.81499999999994"/>
    <n v="0.05"/>
    <n v="869.62999999999988"/>
    <n v="165.17000000000007"/>
  </r>
  <r>
    <n v="277"/>
    <d v="2023-06-22T00:00:00"/>
    <d v="1900-01-29T00:00:00"/>
    <n v="9"/>
    <x v="79"/>
    <s v="Male"/>
    <x v="3"/>
    <d v="2023-06-22T00:00:00"/>
    <n v="22"/>
    <x v="9"/>
    <x v="0"/>
    <x v="0"/>
    <n v="278"/>
    <x v="5"/>
    <x v="276"/>
    <x v="92"/>
    <x v="273"/>
    <n v="278"/>
    <x v="5"/>
    <d v="2023-11-22T00:00:00"/>
    <n v="6"/>
    <n v="82"/>
    <n v="52"/>
    <x v="0"/>
    <n v="64.960000000000008"/>
    <n v="0"/>
    <n v="64.960000000000008"/>
    <n v="6.960000000000008"/>
  </r>
  <r>
    <n v="278"/>
    <d v="2023-11-17T00:00:00"/>
    <d v="1900-01-24T00:00:00"/>
    <n v="2"/>
    <x v="99"/>
    <s v="Male"/>
    <x v="0"/>
    <d v="2023-11-17T00:00:00"/>
    <n v="17"/>
    <x v="4"/>
    <x v="0"/>
    <x v="2"/>
    <n v="279"/>
    <x v="0"/>
    <x v="277"/>
    <x v="116"/>
    <x v="274"/>
    <n v="279"/>
    <x v="9"/>
    <d v="2025-02-02T00:00:00"/>
    <n v="5"/>
    <n v="204"/>
    <n v="100"/>
    <x v="0"/>
    <n v="134.62"/>
    <n v="0"/>
    <n v="134.62"/>
    <n v="28.620000000000005"/>
  </r>
  <r>
    <n v="279"/>
    <d v="2025-12-22T00:00:00"/>
    <d v="1899-12-30T00:00:00"/>
    <n v="4"/>
    <x v="66"/>
    <s v="Female"/>
    <x v="3"/>
    <d v="2025-12-22T00:00:00"/>
    <n v="22"/>
    <x v="7"/>
    <x v="2"/>
    <x v="2"/>
    <n v="280"/>
    <x v="0"/>
    <x v="278"/>
    <x v="164"/>
    <x v="275"/>
    <n v="280"/>
    <x v="0"/>
    <d v="2025-03-04T00:00:00"/>
    <n v="7"/>
    <n v="127"/>
    <n v="68"/>
    <x v="0"/>
    <n v="39.479999999999997"/>
    <n v="0"/>
    <n v="39.479999999999997"/>
    <n v="11.479999999999997"/>
  </r>
  <r>
    <n v="280"/>
    <d v="2024-01-12T00:00:00"/>
    <d v="1900-01-22T00:00:00"/>
    <n v="1"/>
    <x v="104"/>
    <s v="Male"/>
    <x v="0"/>
    <d v="2024-01-12T00:00:00"/>
    <n v="12"/>
    <x v="5"/>
    <x v="1"/>
    <x v="2"/>
    <n v="281"/>
    <x v="7"/>
    <x v="279"/>
    <x v="200"/>
    <x v="276"/>
    <n v="281"/>
    <x v="5"/>
    <d v="2024-11-23T00:00:00"/>
    <n v="1"/>
    <n v="173"/>
    <n v="8"/>
    <x v="0"/>
    <n v="45.26"/>
    <n v="0"/>
    <n v="45.26"/>
    <n v="14.259999999999998"/>
  </r>
  <r>
    <n v="281"/>
    <d v="2023-02-18T00:00:00"/>
    <d v="1900-02-02T00:00:00"/>
    <n v="6"/>
    <x v="67"/>
    <s v="Female"/>
    <x v="3"/>
    <d v="2023-02-18T00:00:00"/>
    <n v="18"/>
    <x v="1"/>
    <x v="0"/>
    <x v="1"/>
    <n v="282"/>
    <x v="5"/>
    <x v="280"/>
    <x v="114"/>
    <x v="277"/>
    <n v="282"/>
    <x v="5"/>
    <d v="2024-11-16T00:00:00"/>
    <n v="2"/>
    <n v="103"/>
    <n v="47"/>
    <x v="0"/>
    <n v="108"/>
    <n v="0"/>
    <n v="108"/>
    <n v="28"/>
  </r>
  <r>
    <n v="282"/>
    <d v="2025-04-19T00:00:00"/>
    <d v="1900-01-07T00:00:00"/>
    <n v="9"/>
    <x v="76"/>
    <s v="Female"/>
    <x v="1"/>
    <d v="2025-04-19T00:00:00"/>
    <n v="19"/>
    <x v="10"/>
    <x v="2"/>
    <x v="2"/>
    <n v="283"/>
    <x v="6"/>
    <x v="281"/>
    <x v="201"/>
    <x v="278"/>
    <n v="283"/>
    <x v="5"/>
    <d v="2024-11-06T00:00:00"/>
    <n v="2"/>
    <n v="88"/>
    <n v="67"/>
    <x v="0"/>
    <n v="402.22999999999996"/>
    <n v="0.05"/>
    <n v="402.22999999999996"/>
    <n v="154.57"/>
  </r>
  <r>
    <n v="283"/>
    <d v="2025-10-02T00:00:00"/>
    <d v="1900-01-01T00:00:00"/>
    <n v="3"/>
    <x v="70"/>
    <s v="Male"/>
    <x v="1"/>
    <d v="2025-10-02T00:00:00"/>
    <n v="2"/>
    <x v="6"/>
    <x v="2"/>
    <x v="2"/>
    <n v="284"/>
    <x v="3"/>
    <x v="282"/>
    <x v="202"/>
    <x v="279"/>
    <n v="284"/>
    <x v="0"/>
    <d v="2025-03-02T00:00:00"/>
    <n v="5"/>
    <n v="190"/>
    <n v="93"/>
    <x v="0"/>
    <n v="504.57600000000002"/>
    <n v="0.2"/>
    <n v="504.57600000000002"/>
    <n v="318.86400000000003"/>
  </r>
  <r>
    <n v="284"/>
    <d v="2024-03-25T00:00:00"/>
    <d v="1900-01-19T00:00:00"/>
    <n v="8"/>
    <x v="25"/>
    <s v="Male"/>
    <x v="3"/>
    <d v="2024-03-25T00:00:00"/>
    <n v="25"/>
    <x v="8"/>
    <x v="1"/>
    <x v="0"/>
    <n v="285"/>
    <x v="3"/>
    <x v="283"/>
    <x v="203"/>
    <x v="280"/>
    <n v="285"/>
    <x v="11"/>
    <d v="2024-05-31T00:00:00"/>
    <n v="3"/>
    <n v="148"/>
    <n v="77"/>
    <x v="0"/>
    <n v="799.56799999999998"/>
    <n v="0.2"/>
    <n v="799.56799999999998"/>
    <n v="352.35199999999986"/>
  </r>
  <r>
    <n v="285"/>
    <d v="2023-10-23T00:00:00"/>
    <d v="1900-01-24T00:00:00"/>
    <n v="2"/>
    <x v="31"/>
    <s v="Male"/>
    <x v="0"/>
    <d v="2023-10-23T00:00:00"/>
    <n v="23"/>
    <x v="6"/>
    <x v="0"/>
    <x v="2"/>
    <n v="286"/>
    <x v="3"/>
    <x v="284"/>
    <x v="204"/>
    <x v="281"/>
    <n v="286"/>
    <x v="5"/>
    <d v="2024-11-13T00:00:00"/>
    <n v="2"/>
    <n v="35"/>
    <n v="83"/>
    <x v="0"/>
    <n v="446.16000000000008"/>
    <n v="0.2"/>
    <n v="446.16000000000008"/>
    <n v="162.24"/>
  </r>
  <r>
    <n v="286"/>
    <d v="2023-09-29T00:00:00"/>
    <d v="1900-01-25T00:00:00"/>
    <n v="9"/>
    <x v="0"/>
    <s v="Male"/>
    <x v="2"/>
    <d v="2023-09-29T00:00:00"/>
    <n v="29"/>
    <x v="0"/>
    <x v="0"/>
    <x v="0"/>
    <n v="287"/>
    <x v="8"/>
    <x v="285"/>
    <x v="205"/>
    <x v="282"/>
    <n v="287"/>
    <x v="6"/>
    <d v="2023-10-17T00:00:00"/>
    <n v="6"/>
    <n v="80"/>
    <n v="7"/>
    <x v="0"/>
    <n v="485.07200000000006"/>
    <n v="0.2"/>
    <n v="485.07200000000006"/>
    <n v="230.60800000000006"/>
  </r>
  <r>
    <n v="287"/>
    <d v="2025-12-07T00:00:00"/>
    <d v="1899-12-30T00:00:00"/>
    <n v="3"/>
    <x v="84"/>
    <s v="Male"/>
    <x v="0"/>
    <d v="2025-12-07T00:00:00"/>
    <n v="7"/>
    <x v="7"/>
    <x v="2"/>
    <x v="2"/>
    <n v="288"/>
    <x v="0"/>
    <x v="286"/>
    <x v="206"/>
    <x v="283"/>
    <n v="288"/>
    <x v="10"/>
    <d v="2024-09-27T00:00:00"/>
    <n v="7"/>
    <n v="217"/>
    <n v="90"/>
    <x v="3"/>
    <n v="465.91800000000001"/>
    <n v="0.05"/>
    <n v="931.83600000000001"/>
    <n v="297.92400000000021"/>
  </r>
  <r>
    <n v="288"/>
    <d v="2024-05-19T00:00:00"/>
    <d v="1900-01-18T00:00:00"/>
    <n v="5"/>
    <x v="62"/>
    <s v="Female"/>
    <x v="0"/>
    <d v="2024-05-19T00:00:00"/>
    <n v="19"/>
    <x v="3"/>
    <x v="1"/>
    <x v="1"/>
    <n v="289"/>
    <x v="0"/>
    <x v="287"/>
    <x v="207"/>
    <x v="284"/>
    <n v="289"/>
    <x v="10"/>
    <d v="2023-09-22T00:00:00"/>
    <n v="2"/>
    <n v="167"/>
    <n v="10"/>
    <x v="0"/>
    <n v="403.959"/>
    <n v="0.05"/>
    <n v="403.959"/>
    <n v="73.481000000000051"/>
  </r>
  <r>
    <n v="289"/>
    <d v="2025-11-07T00:00:00"/>
    <d v="1899-12-31T00:00:00"/>
    <n v="14"/>
    <x v="6"/>
    <s v="Female"/>
    <x v="0"/>
    <d v="2025-11-07T00:00:00"/>
    <n v="7"/>
    <x v="4"/>
    <x v="2"/>
    <x v="2"/>
    <n v="290"/>
    <x v="4"/>
    <x v="288"/>
    <x v="92"/>
    <x v="285"/>
    <n v="290"/>
    <x v="10"/>
    <d v="2024-09-26T00:00:00"/>
    <n v="7"/>
    <n v="135"/>
    <n v="72"/>
    <x v="0"/>
    <n v="84.1"/>
    <n v="0"/>
    <n v="84.1"/>
    <n v="26.099999999999994"/>
  </r>
  <r>
    <n v="290"/>
    <d v="2024-06-01T00:00:00"/>
    <d v="1900-01-17T00:00:00"/>
    <n v="2"/>
    <x v="105"/>
    <s v="Female"/>
    <x v="0"/>
    <d v="2024-06-01T00:00:00"/>
    <n v="1"/>
    <x v="9"/>
    <x v="1"/>
    <x v="2"/>
    <n v="291"/>
    <x v="3"/>
    <x v="289"/>
    <x v="63"/>
    <x v="286"/>
    <n v="291"/>
    <x v="5"/>
    <d v="2024-11-03T00:00:00"/>
    <n v="3"/>
    <n v="216"/>
    <n v="24"/>
    <x v="1"/>
    <n v="139.19400000000002"/>
    <n v="0.05"/>
    <n v="695.97"/>
    <n v="214.23000000000002"/>
  </r>
  <r>
    <n v="291"/>
    <d v="2023-08-20T00:00:00"/>
    <d v="1900-01-27T00:00:00"/>
    <n v="2"/>
    <x v="97"/>
    <s v="Male"/>
    <x v="1"/>
    <d v="2023-08-20T00:00:00"/>
    <n v="20"/>
    <x v="11"/>
    <x v="0"/>
    <x v="2"/>
    <n v="292"/>
    <x v="5"/>
    <x v="290"/>
    <x v="208"/>
    <x v="287"/>
    <n v="292"/>
    <x v="2"/>
    <d v="2023-07-11T00:00:00"/>
    <n v="7"/>
    <n v="130"/>
    <n v="74"/>
    <x v="0"/>
    <n v="135"/>
    <n v="0"/>
    <n v="135"/>
    <n v="27"/>
  </r>
  <r>
    <n v="292"/>
    <d v="2023-02-15T00:00:00"/>
    <d v="1900-02-02T00:00:00"/>
    <n v="5"/>
    <x v="52"/>
    <s v="Female"/>
    <x v="2"/>
    <d v="2023-02-15T00:00:00"/>
    <n v="15"/>
    <x v="1"/>
    <x v="0"/>
    <x v="1"/>
    <n v="293"/>
    <x v="0"/>
    <x v="291"/>
    <x v="209"/>
    <x v="288"/>
    <n v="293"/>
    <x v="5"/>
    <d v="2025-11-07T00:00:00"/>
    <n v="6"/>
    <n v="42"/>
    <n v="26"/>
    <x v="3"/>
    <n v="306.3655"/>
    <n v="0.05"/>
    <n v="612.73099999999999"/>
    <n v="135.22900000000004"/>
  </r>
  <r>
    <n v="293"/>
    <d v="2024-05-16T00:00:00"/>
    <d v="1900-01-18T00:00:00"/>
    <n v="12"/>
    <x v="74"/>
    <s v="Male"/>
    <x v="1"/>
    <d v="2024-05-16T00:00:00"/>
    <n v="16"/>
    <x v="3"/>
    <x v="1"/>
    <x v="0"/>
    <n v="294"/>
    <x v="7"/>
    <x v="292"/>
    <x v="4"/>
    <x v="289"/>
    <n v="294"/>
    <x v="9"/>
    <d v="2023-02-07T00:00:00"/>
    <n v="6"/>
    <n v="101"/>
    <n v="27"/>
    <x v="0"/>
    <n v="110.08"/>
    <n v="0"/>
    <n v="110.08"/>
    <n v="24.08"/>
  </r>
  <r>
    <n v="294"/>
    <d v="2024-02-17T00:00:00"/>
    <d v="1900-01-21T00:00:00"/>
    <n v="1"/>
    <x v="106"/>
    <s v="Male"/>
    <x v="3"/>
    <d v="2024-02-17T00:00:00"/>
    <n v="17"/>
    <x v="1"/>
    <x v="1"/>
    <x v="2"/>
    <n v="295"/>
    <x v="5"/>
    <x v="293"/>
    <x v="139"/>
    <x v="102"/>
    <n v="295"/>
    <x v="10"/>
    <d v="2024-09-24T00:00:00"/>
    <n v="3"/>
    <n v="34"/>
    <n v="19"/>
    <x v="0"/>
    <n v="20.7"/>
    <n v="0"/>
    <n v="20.7"/>
    <n v="2.6999999999999993"/>
  </r>
  <r>
    <n v="295"/>
    <d v="2025-05-11T00:00:00"/>
    <d v="1900-01-06T00:00:00"/>
    <n v="10"/>
    <x v="26"/>
    <s v="Female"/>
    <x v="2"/>
    <d v="2025-05-11T00:00:00"/>
    <n v="11"/>
    <x v="3"/>
    <x v="2"/>
    <x v="2"/>
    <n v="296"/>
    <x v="8"/>
    <x v="294"/>
    <x v="210"/>
    <x v="290"/>
    <n v="296"/>
    <x v="0"/>
    <d v="2024-03-14T00:00:00"/>
    <n v="6"/>
    <n v="8"/>
    <n v="82"/>
    <x v="0"/>
    <n v="527.40800000000002"/>
    <n v="0.2"/>
    <n v="527.40800000000002"/>
    <n v="237.11199999999997"/>
  </r>
  <r>
    <n v="296"/>
    <d v="2025-12-18T00:00:00"/>
    <d v="1899-12-30T00:00:00"/>
    <n v="3"/>
    <x v="83"/>
    <s v="Female"/>
    <x v="2"/>
    <d v="2025-12-18T00:00:00"/>
    <n v="18"/>
    <x v="7"/>
    <x v="2"/>
    <x v="2"/>
    <n v="297"/>
    <x v="7"/>
    <x v="295"/>
    <x v="9"/>
    <x v="291"/>
    <n v="297"/>
    <x v="10"/>
    <d v="2025-09-22T00:00:00"/>
    <n v="4"/>
    <n v="201"/>
    <n v="32"/>
    <x v="0"/>
    <n v="176.9"/>
    <n v="0"/>
    <n v="176.9"/>
    <n v="31.900000000000006"/>
  </r>
  <r>
    <n v="297"/>
    <d v="2024-04-22T00:00:00"/>
    <d v="1900-01-19T00:00:00"/>
    <n v="2"/>
    <x v="69"/>
    <s v="Male"/>
    <x v="0"/>
    <d v="2024-04-22T00:00:00"/>
    <n v="22"/>
    <x v="10"/>
    <x v="1"/>
    <x v="2"/>
    <n v="298"/>
    <x v="5"/>
    <x v="296"/>
    <x v="104"/>
    <x v="118"/>
    <n v="298"/>
    <x v="7"/>
    <d v="2024-04-08T00:00:00"/>
    <n v="3"/>
    <n v="114"/>
    <n v="92"/>
    <x v="0"/>
    <n v="109.06"/>
    <n v="0"/>
    <n v="109.06"/>
    <n v="27.060000000000002"/>
  </r>
  <r>
    <n v="298"/>
    <d v="2025-05-11T00:00:00"/>
    <d v="1900-01-06T00:00:00"/>
    <n v="2"/>
    <x v="73"/>
    <s v="Male"/>
    <x v="3"/>
    <d v="2025-05-11T00:00:00"/>
    <n v="11"/>
    <x v="3"/>
    <x v="2"/>
    <x v="2"/>
    <n v="299"/>
    <x v="4"/>
    <x v="297"/>
    <x v="211"/>
    <x v="292"/>
    <n v="299"/>
    <x v="5"/>
    <d v="2023-11-14T00:00:00"/>
    <n v="2"/>
    <n v="54"/>
    <n v="81"/>
    <x v="0"/>
    <n v="233.41499999999999"/>
    <n v="0.05"/>
    <n v="233.41499999999999"/>
    <n v="62.985000000000014"/>
  </r>
  <r>
    <n v="299"/>
    <d v="2025-08-17T00:00:00"/>
    <d v="1900-01-03T00:00:00"/>
    <n v="3"/>
    <x v="65"/>
    <s v="Male"/>
    <x v="0"/>
    <d v="2025-08-17T00:00:00"/>
    <n v="17"/>
    <x v="11"/>
    <x v="2"/>
    <x v="2"/>
    <n v="300"/>
    <x v="1"/>
    <x v="298"/>
    <x v="212"/>
    <x v="293"/>
    <n v="300"/>
    <x v="1"/>
    <d v="2024-08-28T00:00:00"/>
    <n v="2"/>
    <n v="72"/>
    <n v="22"/>
    <x v="3"/>
    <n v="147.34500000000003"/>
    <n v="0.05"/>
    <n v="294.69000000000005"/>
    <n v="43.710000000000036"/>
  </r>
  <r>
    <n v="300"/>
    <d v="2025-04-19T00:00:00"/>
    <d v="1900-01-07T00:00:00"/>
    <n v="9"/>
    <x v="76"/>
    <s v="Male"/>
    <x v="1"/>
    <d v="2025-04-19T00:00:00"/>
    <n v="19"/>
    <x v="10"/>
    <x v="2"/>
    <x v="2"/>
    <n v="301"/>
    <x v="1"/>
    <x v="299"/>
    <x v="163"/>
    <x v="294"/>
    <n v="301"/>
    <x v="5"/>
    <d v="2025-11-05T00:00:00"/>
    <n v="1"/>
    <n v="136"/>
    <n v="19"/>
    <x v="0"/>
    <n v="194.2465"/>
    <n v="0.05"/>
    <n v="194.2465"/>
    <n v="53.6935"/>
  </r>
  <r>
    <n v="301"/>
    <d v="2023-06-22T00:00:00"/>
    <d v="1900-01-29T00:00:00"/>
    <n v="9"/>
    <x v="79"/>
    <s v="Female"/>
    <x v="3"/>
    <d v="2023-06-22T00:00:00"/>
    <n v="22"/>
    <x v="9"/>
    <x v="0"/>
    <x v="0"/>
    <n v="302"/>
    <x v="2"/>
    <x v="300"/>
    <x v="104"/>
    <x v="295"/>
    <n v="302"/>
    <x v="5"/>
    <d v="2024-11-20T00:00:00"/>
    <n v="3"/>
    <n v="11"/>
    <n v="21"/>
    <x v="0"/>
    <n v="119.72"/>
    <n v="0"/>
    <n v="119.72"/>
    <n v="37.72"/>
  </r>
  <r>
    <n v="302"/>
    <d v="2023-10-03T00:00:00"/>
    <d v="1900-01-25T00:00:00"/>
    <n v="8"/>
    <x v="19"/>
    <s v="Male"/>
    <x v="0"/>
    <d v="2023-10-03T00:00:00"/>
    <n v="3"/>
    <x v="6"/>
    <x v="0"/>
    <x v="0"/>
    <n v="303"/>
    <x v="0"/>
    <x v="301"/>
    <x v="213"/>
    <x v="296"/>
    <n v="303"/>
    <x v="9"/>
    <d v="2025-02-10T00:00:00"/>
    <n v="3"/>
    <n v="136"/>
    <n v="4"/>
    <x v="0"/>
    <n v="336.48999999999995"/>
    <n v="0.05"/>
    <n v="336.48999999999995"/>
    <n v="63.910000000000025"/>
  </r>
  <r>
    <n v="303"/>
    <d v="2024-05-16T00:00:00"/>
    <d v="1900-01-18T00:00:00"/>
    <n v="12"/>
    <x v="74"/>
    <s v="Male"/>
    <x v="1"/>
    <d v="2024-05-16T00:00:00"/>
    <n v="16"/>
    <x v="3"/>
    <x v="1"/>
    <x v="0"/>
    <n v="304"/>
    <x v="0"/>
    <x v="302"/>
    <x v="214"/>
    <x v="297"/>
    <n v="304"/>
    <x v="5"/>
    <d v="2023-11-29T00:00:00"/>
    <n v="3"/>
    <n v="180"/>
    <n v="19"/>
    <x v="0"/>
    <n v="423.12"/>
    <n v="0.2"/>
    <n v="423.12"/>
    <n v="224.67999999999995"/>
  </r>
  <r>
    <n v="304"/>
    <d v="2023-09-29T00:00:00"/>
    <d v="1900-01-25T00:00:00"/>
    <n v="9"/>
    <x v="0"/>
    <s v="Female"/>
    <x v="2"/>
    <d v="2023-09-29T00:00:00"/>
    <n v="29"/>
    <x v="0"/>
    <x v="0"/>
    <x v="0"/>
    <n v="305"/>
    <x v="4"/>
    <x v="303"/>
    <x v="15"/>
    <x v="298"/>
    <n v="305"/>
    <x v="4"/>
    <d v="2023-12-06T00:00:00"/>
    <n v="8"/>
    <n v="141"/>
    <n v="13"/>
    <x v="3"/>
    <n v="148.07650000000001"/>
    <n v="0.05"/>
    <n v="296.15300000000002"/>
    <n v="109.327"/>
  </r>
  <r>
    <n v="305"/>
    <d v="2024-07-28T00:00:00"/>
    <d v="1900-01-15T00:00:00"/>
    <n v="12"/>
    <x v="14"/>
    <s v="Female"/>
    <x v="1"/>
    <d v="2024-07-28T00:00:00"/>
    <n v="28"/>
    <x v="2"/>
    <x v="1"/>
    <x v="1"/>
    <n v="306"/>
    <x v="5"/>
    <x v="304"/>
    <x v="215"/>
    <x v="299"/>
    <n v="306"/>
    <x v="0"/>
    <d v="2023-03-31T00:00:00"/>
    <n v="7"/>
    <n v="109"/>
    <n v="97"/>
    <x v="0"/>
    <n v="134.56"/>
    <n v="0"/>
    <n v="134.56"/>
    <n v="18.560000000000002"/>
  </r>
  <r>
    <n v="306"/>
    <d v="2025-12-10T00:00:00"/>
    <d v="1899-12-30T00:00:00"/>
    <n v="2"/>
    <x v="90"/>
    <s v="Male"/>
    <x v="1"/>
    <d v="2025-12-10T00:00:00"/>
    <n v="10"/>
    <x v="7"/>
    <x v="2"/>
    <x v="2"/>
    <n v="307"/>
    <x v="4"/>
    <x v="305"/>
    <x v="216"/>
    <x v="300"/>
    <n v="307"/>
    <x v="8"/>
    <d v="2025-01-16T00:00:00"/>
    <n v="4"/>
    <n v="145"/>
    <n v="20"/>
    <x v="0"/>
    <n v="250.70499999999996"/>
    <n v="0.05"/>
    <n v="250.70499999999996"/>
    <n v="95.09499999999997"/>
  </r>
  <r>
    <n v="307"/>
    <d v="2024-12-28T00:00:00"/>
    <d v="1900-01-10T00:00:00"/>
    <n v="8"/>
    <x v="41"/>
    <s v="Male"/>
    <x v="1"/>
    <d v="2024-12-28T00:00:00"/>
    <n v="28"/>
    <x v="7"/>
    <x v="1"/>
    <x v="2"/>
    <n v="308"/>
    <x v="3"/>
    <x v="306"/>
    <x v="217"/>
    <x v="301"/>
    <n v="308"/>
    <x v="3"/>
    <d v="2025-06-28T00:00:00"/>
    <n v="5"/>
    <n v="114"/>
    <n v="17"/>
    <x v="3"/>
    <n v="844"/>
    <n v="0.2"/>
    <n v="1688"/>
    <n v="844"/>
  </r>
  <r>
    <n v="308"/>
    <d v="2025-10-02T00:00:00"/>
    <d v="1900-01-01T00:00:00"/>
    <n v="3"/>
    <x v="70"/>
    <s v="Male"/>
    <x v="1"/>
    <d v="2025-10-02T00:00:00"/>
    <n v="2"/>
    <x v="6"/>
    <x v="2"/>
    <x v="2"/>
    <n v="309"/>
    <x v="3"/>
    <x v="307"/>
    <x v="218"/>
    <x v="302"/>
    <n v="309"/>
    <x v="2"/>
    <d v="2025-07-08T00:00:00"/>
    <n v="4"/>
    <n v="50"/>
    <n v="62"/>
    <x v="0"/>
    <n v="970.14400000000012"/>
    <n v="0.2"/>
    <n v="970.14400000000012"/>
    <n v="461.21600000000012"/>
  </r>
  <r>
    <n v="309"/>
    <d v="2024-05-08T00:00:00"/>
    <d v="1900-01-18T00:00:00"/>
    <n v="5"/>
    <x v="85"/>
    <s v="Female"/>
    <x v="0"/>
    <d v="2024-05-08T00:00:00"/>
    <n v="8"/>
    <x v="3"/>
    <x v="1"/>
    <x v="1"/>
    <n v="310"/>
    <x v="4"/>
    <x v="308"/>
    <x v="7"/>
    <x v="303"/>
    <n v="310"/>
    <x v="11"/>
    <d v="2024-05-04T00:00:00"/>
    <n v="5"/>
    <n v="215"/>
    <n v="40"/>
    <x v="3"/>
    <n v="206.24499999999998"/>
    <n v="0.05"/>
    <n v="412.48999999999995"/>
    <n v="121.91000000000003"/>
  </r>
  <r>
    <n v="310"/>
    <d v="2025-01-08T00:00:00"/>
    <d v="1900-01-10T00:00:00"/>
    <n v="5"/>
    <x v="95"/>
    <s v="Male"/>
    <x v="1"/>
    <d v="2025-01-08T00:00:00"/>
    <n v="8"/>
    <x v="5"/>
    <x v="2"/>
    <x v="2"/>
    <n v="311"/>
    <x v="2"/>
    <x v="309"/>
    <x v="219"/>
    <x v="304"/>
    <n v="311"/>
    <x v="1"/>
    <d v="2025-08-18T00:00:00"/>
    <n v="4"/>
    <n v="19"/>
    <n v="32"/>
    <x v="0"/>
    <n v="126.65"/>
    <n v="0"/>
    <n v="126.65"/>
    <n v="41.650000000000006"/>
  </r>
  <r>
    <n v="311"/>
    <d v="2024-07-30T00:00:00"/>
    <d v="1900-01-15T00:00:00"/>
    <n v="8"/>
    <x v="82"/>
    <s v="Female"/>
    <x v="3"/>
    <d v="2024-07-30T00:00:00"/>
    <n v="30"/>
    <x v="2"/>
    <x v="1"/>
    <x v="1"/>
    <n v="312"/>
    <x v="8"/>
    <x v="310"/>
    <x v="220"/>
    <x v="305"/>
    <n v="312"/>
    <x v="8"/>
    <d v="2025-01-23T00:00:00"/>
    <n v="8"/>
    <n v="48"/>
    <n v="72"/>
    <x v="0"/>
    <n v="292.97999999999996"/>
    <n v="0.05"/>
    <n v="292.97999999999996"/>
    <n v="66.819999999999993"/>
  </r>
  <r>
    <n v="312"/>
    <d v="2023-07-09T00:00:00"/>
    <d v="1900-01-28T00:00:00"/>
    <n v="11"/>
    <x v="47"/>
    <s v="Female"/>
    <x v="1"/>
    <d v="2023-07-09T00:00:00"/>
    <n v="9"/>
    <x v="2"/>
    <x v="0"/>
    <x v="3"/>
    <n v="313"/>
    <x v="4"/>
    <x v="311"/>
    <x v="41"/>
    <x v="306"/>
    <n v="313"/>
    <x v="1"/>
    <d v="2025-08-03T00:00:00"/>
    <n v="5"/>
    <n v="137"/>
    <n v="97"/>
    <x v="0"/>
    <n v="50.43"/>
    <n v="0"/>
    <n v="50.43"/>
    <n v="9.43"/>
  </r>
  <r>
    <n v="313"/>
    <d v="2023-05-07T00:00:00"/>
    <d v="1900-01-30T00:00:00"/>
    <n v="3"/>
    <x v="86"/>
    <s v="Female"/>
    <x v="1"/>
    <d v="2023-05-07T00:00:00"/>
    <n v="7"/>
    <x v="3"/>
    <x v="0"/>
    <x v="1"/>
    <n v="314"/>
    <x v="0"/>
    <x v="312"/>
    <x v="221"/>
    <x v="307"/>
    <n v="314"/>
    <x v="9"/>
    <d v="2025-02-21T00:00:00"/>
    <n v="7"/>
    <n v="47"/>
    <n v="36"/>
    <x v="0"/>
    <n v="423.45300000000003"/>
    <n v="0.05"/>
    <n v="423.45300000000003"/>
    <n v="77.0270000000001"/>
  </r>
  <r>
    <n v="314"/>
    <d v="2024-06-17T00:00:00"/>
    <d v="1900-01-17T00:00:00"/>
    <n v="10"/>
    <x v="35"/>
    <s v="Male"/>
    <x v="0"/>
    <d v="2024-06-17T00:00:00"/>
    <n v="17"/>
    <x v="9"/>
    <x v="1"/>
    <x v="0"/>
    <n v="315"/>
    <x v="2"/>
    <x v="313"/>
    <x v="45"/>
    <x v="308"/>
    <n v="315"/>
    <x v="5"/>
    <d v="2023-11-28T00:00:00"/>
    <n v="4"/>
    <n v="45"/>
    <n v="9"/>
    <x v="4"/>
    <n v="60.609999999999992"/>
    <n v="0.05"/>
    <n v="242.43999999999997"/>
    <n v="91.95999999999998"/>
  </r>
  <r>
    <n v="315"/>
    <d v="2025-01-08T00:00:00"/>
    <d v="1900-01-10T00:00:00"/>
    <n v="5"/>
    <x v="95"/>
    <s v="Female"/>
    <x v="1"/>
    <d v="2025-01-08T00:00:00"/>
    <n v="8"/>
    <x v="5"/>
    <x v="2"/>
    <x v="2"/>
    <n v="316"/>
    <x v="8"/>
    <x v="314"/>
    <x v="222"/>
    <x v="309"/>
    <n v="316"/>
    <x v="6"/>
    <d v="2023-10-11T00:00:00"/>
    <n v="5"/>
    <n v="146"/>
    <n v="100"/>
    <x v="0"/>
    <n v="635.904"/>
    <n v="0.2"/>
    <n v="635.904"/>
    <n v="332.85599999999999"/>
  </r>
  <r>
    <n v="316"/>
    <d v="2024-12-26T00:00:00"/>
    <d v="1900-01-10T00:00:00"/>
    <n v="3"/>
    <x v="68"/>
    <s v="Female"/>
    <x v="3"/>
    <d v="2024-12-26T00:00:00"/>
    <n v="26"/>
    <x v="7"/>
    <x v="1"/>
    <x v="2"/>
    <n v="317"/>
    <x v="2"/>
    <x v="315"/>
    <x v="48"/>
    <x v="96"/>
    <n v="317"/>
    <x v="7"/>
    <d v="2023-04-17T00:00:00"/>
    <n v="8"/>
    <n v="163"/>
    <n v="71"/>
    <x v="0"/>
    <n v="75.789999999999992"/>
    <n v="0"/>
    <n v="75.789999999999992"/>
    <n v="22.789999999999992"/>
  </r>
  <r>
    <n v="317"/>
    <d v="2024-05-20T00:00:00"/>
    <d v="1900-01-18T00:00:00"/>
    <n v="5"/>
    <x v="93"/>
    <s v="Male"/>
    <x v="0"/>
    <d v="2024-05-20T00:00:00"/>
    <n v="20"/>
    <x v="3"/>
    <x v="1"/>
    <x v="1"/>
    <n v="318"/>
    <x v="3"/>
    <x v="316"/>
    <x v="99"/>
    <x v="310"/>
    <n v="318"/>
    <x v="8"/>
    <d v="2025-01-30T00:00:00"/>
    <n v="2"/>
    <n v="180"/>
    <n v="80"/>
    <x v="0"/>
    <n v="421.51499999999999"/>
    <n v="0.05"/>
    <n v="421.51499999999999"/>
    <n v="159.88499999999999"/>
  </r>
  <r>
    <n v="318"/>
    <d v="2025-04-19T00:00:00"/>
    <d v="1900-01-07T00:00:00"/>
    <n v="9"/>
    <x v="76"/>
    <s v="Female"/>
    <x v="1"/>
    <d v="2025-04-19T00:00:00"/>
    <n v="19"/>
    <x v="10"/>
    <x v="2"/>
    <x v="2"/>
    <n v="319"/>
    <x v="6"/>
    <x v="317"/>
    <x v="223"/>
    <x v="311"/>
    <n v="319"/>
    <x v="10"/>
    <d v="2023-09-13T00:00:00"/>
    <n v="5"/>
    <n v="198"/>
    <n v="97"/>
    <x v="0"/>
    <n v="405.08000000000004"/>
    <n v="0.05"/>
    <n v="405.08000000000004"/>
    <n v="119.72000000000003"/>
  </r>
  <r>
    <n v="319"/>
    <d v="2025-04-19T00:00:00"/>
    <d v="1900-01-07T00:00:00"/>
    <n v="9"/>
    <x v="76"/>
    <s v="Male"/>
    <x v="1"/>
    <d v="2025-04-19T00:00:00"/>
    <n v="19"/>
    <x v="10"/>
    <x v="2"/>
    <x v="2"/>
    <n v="320"/>
    <x v="2"/>
    <x v="318"/>
    <x v="63"/>
    <x v="312"/>
    <n v="320"/>
    <x v="3"/>
    <d v="2023-06-21T00:00:00"/>
    <n v="3"/>
    <n v="6"/>
    <n v="48"/>
    <x v="0"/>
    <n v="126.54000000000002"/>
    <n v="0"/>
    <n v="126.54000000000002"/>
    <n v="15.54000000000002"/>
  </r>
  <r>
    <n v="320"/>
    <d v="2024-12-28T00:00:00"/>
    <d v="1900-01-10T00:00:00"/>
    <n v="8"/>
    <x v="41"/>
    <s v="Female"/>
    <x v="1"/>
    <d v="2024-12-28T00:00:00"/>
    <n v="28"/>
    <x v="7"/>
    <x v="1"/>
    <x v="2"/>
    <n v="321"/>
    <x v="7"/>
    <x v="319"/>
    <x v="96"/>
    <x v="313"/>
    <n v="321"/>
    <x v="2"/>
    <d v="2024-07-12T00:00:00"/>
    <n v="8"/>
    <n v="217"/>
    <n v="69"/>
    <x v="0"/>
    <n v="180.70000000000002"/>
    <n v="0"/>
    <n v="180.70000000000002"/>
    <n v="41.700000000000017"/>
  </r>
  <r>
    <n v="321"/>
    <d v="2024-06-29T00:00:00"/>
    <d v="1900-01-16T00:00:00"/>
    <n v="7"/>
    <x v="80"/>
    <s v="Male"/>
    <x v="1"/>
    <d v="2024-06-29T00:00:00"/>
    <n v="29"/>
    <x v="9"/>
    <x v="1"/>
    <x v="1"/>
    <n v="322"/>
    <x v="4"/>
    <x v="320"/>
    <x v="224"/>
    <x v="314"/>
    <n v="322"/>
    <x v="6"/>
    <d v="2023-10-29T00:00:00"/>
    <n v="7"/>
    <n v="8"/>
    <n v="73"/>
    <x v="0"/>
    <n v="162.84"/>
    <n v="0"/>
    <n v="162.84"/>
    <n v="24.840000000000003"/>
  </r>
  <r>
    <n v="322"/>
    <d v="2024-04-18T00:00:00"/>
    <d v="1900-01-19T00:00:00"/>
    <n v="7"/>
    <x v="28"/>
    <s v="Female"/>
    <x v="0"/>
    <d v="2024-04-18T00:00:00"/>
    <n v="18"/>
    <x v="10"/>
    <x v="1"/>
    <x v="0"/>
    <n v="323"/>
    <x v="0"/>
    <x v="321"/>
    <x v="225"/>
    <x v="315"/>
    <n v="323"/>
    <x v="2"/>
    <d v="2023-07-07T00:00:00"/>
    <n v="4"/>
    <n v="84"/>
    <n v="16"/>
    <x v="0"/>
    <n v="362.80500000000001"/>
    <n v="0.05"/>
    <n v="362.80500000000001"/>
    <n v="115.99500000000006"/>
  </r>
  <r>
    <n v="323"/>
    <d v="2024-03-02T00:00:00"/>
    <d v="1900-01-20T00:00:00"/>
    <n v="4"/>
    <x v="23"/>
    <s v="Female"/>
    <x v="1"/>
    <d v="2024-03-02T00:00:00"/>
    <n v="2"/>
    <x v="8"/>
    <x v="1"/>
    <x v="1"/>
    <n v="324"/>
    <x v="2"/>
    <x v="322"/>
    <x v="226"/>
    <x v="316"/>
    <n v="324"/>
    <x v="2"/>
    <d v="2025-07-12T00:00:00"/>
    <n v="6"/>
    <n v="59"/>
    <n v="66"/>
    <x v="0"/>
    <n v="230.39399999999998"/>
    <n v="0.05"/>
    <n v="230.39399999999998"/>
    <n v="82.645999999999987"/>
  </r>
  <r>
    <n v="324"/>
    <d v="2023-04-14T00:00:00"/>
    <d v="1900-01-31T00:00:00"/>
    <n v="10"/>
    <x v="18"/>
    <s v="Female"/>
    <x v="3"/>
    <d v="2023-04-14T00:00:00"/>
    <n v="14"/>
    <x v="10"/>
    <x v="0"/>
    <x v="3"/>
    <n v="325"/>
    <x v="3"/>
    <x v="323"/>
    <x v="227"/>
    <x v="317"/>
    <n v="325"/>
    <x v="9"/>
    <d v="2023-02-24T00:00:00"/>
    <n v="7"/>
    <n v="28"/>
    <n v="44"/>
    <x v="0"/>
    <n v="555.29600000000005"/>
    <n v="0.2"/>
    <n v="555.29600000000005"/>
    <n v="363.94399999999996"/>
  </r>
  <r>
    <n v="325"/>
    <d v="2025-03-16T00:00:00"/>
    <d v="1900-01-08T00:00:00"/>
    <n v="2"/>
    <x v="64"/>
    <s v="Male"/>
    <x v="0"/>
    <d v="2025-03-16T00:00:00"/>
    <n v="16"/>
    <x v="8"/>
    <x v="2"/>
    <x v="2"/>
    <n v="326"/>
    <x v="7"/>
    <x v="324"/>
    <x v="228"/>
    <x v="318"/>
    <n v="326"/>
    <x v="7"/>
    <d v="2023-04-20T00:00:00"/>
    <n v="7"/>
    <n v="155"/>
    <n v="91"/>
    <x v="3"/>
    <n v="184.81300000000002"/>
    <n v="0.05"/>
    <n v="369.62600000000003"/>
    <n v="124.53400000000005"/>
  </r>
  <r>
    <n v="326"/>
    <d v="2024-03-07T00:00:00"/>
    <d v="1900-01-20T00:00:00"/>
    <n v="4"/>
    <x v="37"/>
    <s v="Male"/>
    <x v="3"/>
    <d v="2024-03-07T00:00:00"/>
    <n v="7"/>
    <x v="8"/>
    <x v="1"/>
    <x v="1"/>
    <n v="327"/>
    <x v="5"/>
    <x v="325"/>
    <x v="80"/>
    <x v="319"/>
    <n v="327"/>
    <x v="6"/>
    <d v="2025-10-25T00:00:00"/>
    <n v="6"/>
    <n v="2"/>
    <n v="42"/>
    <x v="3"/>
    <n v="43.585999999999999"/>
    <n v="0.05"/>
    <n v="87.171999999999997"/>
    <n v="22.348000000000013"/>
  </r>
  <r>
    <n v="327"/>
    <d v="2025-12-16T00:00:00"/>
    <d v="1899-12-30T00:00:00"/>
    <n v="6"/>
    <x v="10"/>
    <s v="Female"/>
    <x v="1"/>
    <d v="2025-12-16T00:00:00"/>
    <n v="16"/>
    <x v="7"/>
    <x v="2"/>
    <x v="2"/>
    <n v="328"/>
    <x v="6"/>
    <x v="326"/>
    <x v="229"/>
    <x v="320"/>
    <n v="328"/>
    <x v="7"/>
    <d v="2024-04-27T00:00:00"/>
    <n v="7"/>
    <n v="131"/>
    <n v="35"/>
    <x v="0"/>
    <n v="322.84799999999996"/>
    <n v="0.05"/>
    <n v="322.84799999999996"/>
    <n v="68.831999999999994"/>
  </r>
  <r>
    <n v="328"/>
    <d v="2025-06-24T00:00:00"/>
    <d v="1900-01-04T00:00:00"/>
    <n v="5"/>
    <x v="56"/>
    <s v="Male"/>
    <x v="0"/>
    <d v="2025-06-24T00:00:00"/>
    <n v="24"/>
    <x v="9"/>
    <x v="2"/>
    <x v="2"/>
    <n v="329"/>
    <x v="1"/>
    <x v="327"/>
    <x v="230"/>
    <x v="321"/>
    <n v="329"/>
    <x v="3"/>
    <d v="2023-06-17T00:00:00"/>
    <n v="6"/>
    <n v="16"/>
    <n v="92"/>
    <x v="3"/>
    <n v="512.16000000000008"/>
    <n v="0.2"/>
    <n v="1024.3200000000002"/>
    <n v="566.48"/>
  </r>
  <r>
    <n v="329"/>
    <d v="2023-09-29T00:00:00"/>
    <d v="1900-01-25T00:00:00"/>
    <n v="9"/>
    <x v="0"/>
    <s v="Male"/>
    <x v="2"/>
    <d v="2023-09-29T00:00:00"/>
    <n v="29"/>
    <x v="0"/>
    <x v="0"/>
    <x v="0"/>
    <n v="330"/>
    <x v="3"/>
    <x v="328"/>
    <x v="231"/>
    <x v="322"/>
    <n v="330"/>
    <x v="7"/>
    <d v="2024-04-04T00:00:00"/>
    <n v="1"/>
    <n v="197"/>
    <n v="65"/>
    <x v="0"/>
    <n v="337.28800000000001"/>
    <n v="0.05"/>
    <n v="337.28800000000001"/>
    <n v="55.79200000000003"/>
  </r>
  <r>
    <n v="330"/>
    <d v="2023-09-28T00:00:00"/>
    <d v="1900-01-25T00:00:00"/>
    <n v="2"/>
    <x v="45"/>
    <s v="Female"/>
    <x v="2"/>
    <d v="2023-09-28T00:00:00"/>
    <n v="28"/>
    <x v="0"/>
    <x v="0"/>
    <x v="2"/>
    <n v="331"/>
    <x v="8"/>
    <x v="329"/>
    <x v="232"/>
    <x v="323"/>
    <n v="331"/>
    <x v="6"/>
    <d v="2024-10-14T00:00:00"/>
    <n v="2"/>
    <n v="184"/>
    <n v="86"/>
    <x v="0"/>
    <n v="246.57249999999999"/>
    <n v="0.05"/>
    <n v="246.57249999999999"/>
    <n v="93.527500000000032"/>
  </r>
  <r>
    <n v="331"/>
    <d v="2025-12-16T00:00:00"/>
    <d v="1899-12-30T00:00:00"/>
    <n v="6"/>
    <x v="10"/>
    <s v="Male"/>
    <x v="1"/>
    <d v="2025-12-16T00:00:00"/>
    <n v="16"/>
    <x v="7"/>
    <x v="2"/>
    <x v="2"/>
    <n v="332"/>
    <x v="8"/>
    <x v="330"/>
    <x v="150"/>
    <x v="324"/>
    <n v="332"/>
    <x v="5"/>
    <d v="2024-11-17T00:00:00"/>
    <n v="3"/>
    <n v="146"/>
    <n v="21"/>
    <x v="0"/>
    <n v="194.25000000000003"/>
    <n v="0"/>
    <n v="194.25000000000003"/>
    <n v="19.250000000000028"/>
  </r>
  <r>
    <n v="332"/>
    <d v="2024-04-23T00:00:00"/>
    <d v="1900-01-18T00:00:00"/>
    <n v="13"/>
    <x v="40"/>
    <s v="Female"/>
    <x v="0"/>
    <d v="2024-04-23T00:00:00"/>
    <n v="23"/>
    <x v="10"/>
    <x v="1"/>
    <x v="0"/>
    <n v="333"/>
    <x v="7"/>
    <x v="331"/>
    <x v="45"/>
    <x v="325"/>
    <n v="333"/>
    <x v="6"/>
    <d v="2023-10-09T00:00:00"/>
    <n v="1"/>
    <n v="140"/>
    <n v="21"/>
    <x v="0"/>
    <n v="53.239999999999995"/>
    <n v="0"/>
    <n v="53.239999999999995"/>
    <n v="9.2399999999999949"/>
  </r>
  <r>
    <n v="333"/>
    <d v="2023-04-14T00:00:00"/>
    <d v="1900-01-31T00:00:00"/>
    <n v="10"/>
    <x v="18"/>
    <s v="Female"/>
    <x v="3"/>
    <d v="2023-04-14T00:00:00"/>
    <n v="14"/>
    <x v="10"/>
    <x v="0"/>
    <x v="3"/>
    <n v="334"/>
    <x v="6"/>
    <x v="332"/>
    <x v="233"/>
    <x v="326"/>
    <n v="334"/>
    <x v="1"/>
    <d v="2024-08-10T00:00:00"/>
    <n v="8"/>
    <n v="105"/>
    <n v="83"/>
    <x v="0"/>
    <n v="273.05849999999998"/>
    <n v="0.05"/>
    <n v="273.05849999999998"/>
    <n v="100.80150000000003"/>
  </r>
  <r>
    <n v="334"/>
    <d v="2024-04-23T00:00:00"/>
    <d v="1900-01-18T00:00:00"/>
    <n v="13"/>
    <x v="40"/>
    <s v="Male"/>
    <x v="0"/>
    <d v="2024-04-23T00:00:00"/>
    <n v="23"/>
    <x v="10"/>
    <x v="1"/>
    <x v="0"/>
    <n v="335"/>
    <x v="6"/>
    <x v="333"/>
    <x v="45"/>
    <x v="327"/>
    <n v="335"/>
    <x v="6"/>
    <d v="2023-10-12T00:00:00"/>
    <n v="8"/>
    <n v="119"/>
    <n v="62"/>
    <x v="1"/>
    <n v="53.503999999999998"/>
    <n v="0.05"/>
    <n v="267.52"/>
    <n v="75.680000000000007"/>
  </r>
  <r>
    <n v="335"/>
    <d v="2024-07-30T00:00:00"/>
    <d v="1900-01-15T00:00:00"/>
    <n v="8"/>
    <x v="82"/>
    <s v="Male"/>
    <x v="3"/>
    <d v="2024-07-30T00:00:00"/>
    <n v="30"/>
    <x v="2"/>
    <x v="1"/>
    <x v="1"/>
    <n v="336"/>
    <x v="2"/>
    <x v="334"/>
    <x v="234"/>
    <x v="328"/>
    <n v="336"/>
    <x v="2"/>
    <d v="2025-07-07T00:00:00"/>
    <n v="1"/>
    <n v="148"/>
    <n v="29"/>
    <x v="0"/>
    <n v="136.76999999999998"/>
    <n v="0"/>
    <n v="136.76999999999998"/>
    <n v="39.769999999999982"/>
  </r>
  <r>
    <n v="336"/>
    <d v="2023-04-17T00:00:00"/>
    <d v="1900-01-31T00:00:00"/>
    <n v="7"/>
    <x v="36"/>
    <s v="Female"/>
    <x v="1"/>
    <d v="2023-04-17T00:00:00"/>
    <n v="17"/>
    <x v="10"/>
    <x v="0"/>
    <x v="0"/>
    <n v="337"/>
    <x v="1"/>
    <x v="335"/>
    <x v="235"/>
    <x v="329"/>
    <n v="337"/>
    <x v="3"/>
    <d v="2023-06-12T00:00:00"/>
    <n v="1"/>
    <n v="178"/>
    <n v="74"/>
    <x v="0"/>
    <n v="545.928"/>
    <n v="0.2"/>
    <n v="545.928"/>
    <n v="289.89199999999994"/>
  </r>
  <r>
    <n v="337"/>
    <d v="2024-06-17T00:00:00"/>
    <d v="1900-01-17T00:00:00"/>
    <n v="10"/>
    <x v="35"/>
    <s v="Female"/>
    <x v="0"/>
    <d v="2024-06-17T00:00:00"/>
    <n v="17"/>
    <x v="9"/>
    <x v="1"/>
    <x v="0"/>
    <n v="338"/>
    <x v="1"/>
    <x v="336"/>
    <x v="140"/>
    <x v="330"/>
    <n v="338"/>
    <x v="3"/>
    <d v="2024-06-08T00:00:00"/>
    <n v="4"/>
    <n v="56"/>
    <n v="89"/>
    <x v="3"/>
    <n v="127.205"/>
    <n v="0.05"/>
    <n v="254.41"/>
    <n v="75.19"/>
  </r>
  <r>
    <n v="338"/>
    <d v="2024-03-07T00:00:00"/>
    <d v="1900-01-20T00:00:00"/>
    <n v="4"/>
    <x v="37"/>
    <s v="Male"/>
    <x v="3"/>
    <d v="2024-03-07T00:00:00"/>
    <n v="7"/>
    <x v="8"/>
    <x v="1"/>
    <x v="1"/>
    <n v="339"/>
    <x v="1"/>
    <x v="337"/>
    <x v="220"/>
    <x v="331"/>
    <n v="339"/>
    <x v="5"/>
    <d v="2023-11-03T00:00:00"/>
    <n v="7"/>
    <n v="79"/>
    <n v="52"/>
    <x v="0"/>
    <n v="297.863"/>
    <n v="0.05"/>
    <n v="297.863"/>
    <n v="72.217000000000041"/>
  </r>
  <r>
    <n v="339"/>
    <d v="2025-10-20T00:00:00"/>
    <d v="1900-01-01T00:00:00"/>
    <n v="3"/>
    <x v="42"/>
    <s v="Female"/>
    <x v="3"/>
    <d v="2025-10-20T00:00:00"/>
    <n v="20"/>
    <x v="6"/>
    <x v="2"/>
    <x v="2"/>
    <n v="340"/>
    <x v="0"/>
    <x v="338"/>
    <x v="236"/>
    <x v="332"/>
    <n v="340"/>
    <x v="1"/>
    <d v="2023-08-16T00:00:00"/>
    <n v="5"/>
    <n v="146"/>
    <n v="46"/>
    <x v="0"/>
    <n v="77.44"/>
    <n v="0"/>
    <n v="77.44"/>
    <n v="13.439999999999998"/>
  </r>
  <r>
    <n v="340"/>
    <d v="2024-04-18T00:00:00"/>
    <d v="1900-01-19T00:00:00"/>
    <n v="7"/>
    <x v="28"/>
    <s v="Male"/>
    <x v="0"/>
    <d v="2024-04-18T00:00:00"/>
    <n v="18"/>
    <x v="10"/>
    <x v="1"/>
    <x v="0"/>
    <n v="341"/>
    <x v="3"/>
    <x v="339"/>
    <x v="237"/>
    <x v="333"/>
    <n v="341"/>
    <x v="11"/>
    <d v="2024-05-01T00:00:00"/>
    <n v="5"/>
    <n v="62"/>
    <n v="31"/>
    <x v="0"/>
    <n v="509.76"/>
    <n v="0.2"/>
    <n v="509.76"/>
    <n v="233.63999999999987"/>
  </r>
  <r>
    <n v="341"/>
    <d v="2023-06-10T00:00:00"/>
    <d v="1900-01-29T00:00:00"/>
    <n v="8"/>
    <x v="81"/>
    <s v="Female"/>
    <x v="2"/>
    <d v="2023-06-10T00:00:00"/>
    <n v="10"/>
    <x v="9"/>
    <x v="0"/>
    <x v="0"/>
    <n v="342"/>
    <x v="8"/>
    <x v="340"/>
    <x v="238"/>
    <x v="334"/>
    <n v="342"/>
    <x v="10"/>
    <d v="2023-09-07T00:00:00"/>
    <n v="1"/>
    <n v="153"/>
    <n v="30"/>
    <x v="0"/>
    <n v="566.86399999999992"/>
    <n v="0.2"/>
    <n v="566.86399999999992"/>
    <n v="351.29599999999994"/>
  </r>
  <r>
    <n v="342"/>
    <d v="2024-10-27T00:00:00"/>
    <d v="1900-01-12T00:00:00"/>
    <n v="1"/>
    <x v="107"/>
    <s v="Male"/>
    <x v="1"/>
    <d v="2024-10-27T00:00:00"/>
    <n v="27"/>
    <x v="6"/>
    <x v="1"/>
    <x v="2"/>
    <n v="343"/>
    <x v="7"/>
    <x v="341"/>
    <x v="239"/>
    <x v="335"/>
    <n v="343"/>
    <x v="11"/>
    <d v="2024-05-03T00:00:00"/>
    <n v="7"/>
    <n v="89"/>
    <n v="77"/>
    <x v="0"/>
    <n v="142.5"/>
    <n v="0"/>
    <n v="142.5"/>
    <n v="47.5"/>
  </r>
  <r>
    <n v="343"/>
    <d v="2025-04-13T00:00:00"/>
    <d v="1900-01-07T00:00:00"/>
    <n v="4"/>
    <x v="38"/>
    <s v="Male"/>
    <x v="2"/>
    <d v="2025-04-13T00:00:00"/>
    <n v="13"/>
    <x v="10"/>
    <x v="2"/>
    <x v="2"/>
    <n v="344"/>
    <x v="1"/>
    <x v="342"/>
    <x v="240"/>
    <x v="336"/>
    <n v="344"/>
    <x v="2"/>
    <d v="2025-07-25T00:00:00"/>
    <n v="2"/>
    <n v="111"/>
    <n v="79"/>
    <x v="0"/>
    <n v="117.6"/>
    <n v="0"/>
    <n v="117.6"/>
    <n v="19.599999999999994"/>
  </r>
  <r>
    <n v="344"/>
    <d v="2025-11-16T00:00:00"/>
    <d v="1899-12-31T00:00:00"/>
    <n v="3"/>
    <x v="89"/>
    <s v="Male"/>
    <x v="3"/>
    <d v="2025-11-16T00:00:00"/>
    <n v="16"/>
    <x v="4"/>
    <x v="2"/>
    <x v="2"/>
    <n v="345"/>
    <x v="4"/>
    <x v="343"/>
    <x v="241"/>
    <x v="337"/>
    <n v="345"/>
    <x v="1"/>
    <d v="2023-08-16T00:00:00"/>
    <n v="8"/>
    <n v="191"/>
    <n v="75"/>
    <x v="0"/>
    <n v="129.63"/>
    <n v="0"/>
    <n v="129.63"/>
    <n v="42.629999999999995"/>
  </r>
  <r>
    <n v="345"/>
    <d v="2023-01-11T00:00:00"/>
    <d v="1900-02-03T00:00:00"/>
    <n v="9"/>
    <x v="16"/>
    <s v="Male"/>
    <x v="3"/>
    <d v="2023-01-11T00:00:00"/>
    <n v="11"/>
    <x v="5"/>
    <x v="0"/>
    <x v="0"/>
    <n v="346"/>
    <x v="5"/>
    <x v="344"/>
    <x v="18"/>
    <x v="338"/>
    <n v="346"/>
    <x v="9"/>
    <d v="2023-02-03T00:00:00"/>
    <n v="4"/>
    <n v="82"/>
    <n v="48"/>
    <x v="3"/>
    <n v="131.67000000000002"/>
    <n v="0.05"/>
    <n v="263.34000000000003"/>
    <n v="39.060000000000059"/>
  </r>
  <r>
    <n v="346"/>
    <d v="2023-08-16T00:00:00"/>
    <d v="1900-01-27T00:00:00"/>
    <n v="4"/>
    <x v="88"/>
    <s v="Male"/>
    <x v="2"/>
    <d v="2023-08-16T00:00:00"/>
    <n v="16"/>
    <x v="11"/>
    <x v="0"/>
    <x v="1"/>
    <n v="347"/>
    <x v="3"/>
    <x v="345"/>
    <x v="18"/>
    <x v="339"/>
    <n v="347"/>
    <x v="6"/>
    <d v="2023-10-22T00:00:00"/>
    <n v="5"/>
    <n v="169"/>
    <n v="87"/>
    <x v="0"/>
    <n v="186.48"/>
    <n v="0"/>
    <n v="186.48"/>
    <n v="60.47999999999999"/>
  </r>
  <r>
    <n v="347"/>
    <d v="2025-12-16T00:00:00"/>
    <d v="1899-12-30T00:00:00"/>
    <n v="6"/>
    <x v="10"/>
    <s v="Female"/>
    <x v="1"/>
    <d v="2025-12-16T00:00:00"/>
    <n v="16"/>
    <x v="7"/>
    <x v="2"/>
    <x v="2"/>
    <n v="348"/>
    <x v="6"/>
    <x v="346"/>
    <x v="242"/>
    <x v="340"/>
    <n v="348"/>
    <x v="11"/>
    <d v="2025-05-29T00:00:00"/>
    <n v="1"/>
    <n v="25"/>
    <n v="3"/>
    <x v="0"/>
    <n v="225.52049999999997"/>
    <n v="0.05"/>
    <n v="225.52049999999997"/>
    <n v="56.259500000000003"/>
  </r>
  <r>
    <n v="348"/>
    <d v="2024-03-13T00:00:00"/>
    <d v="1900-01-20T00:00:00"/>
    <n v="7"/>
    <x v="12"/>
    <s v="Female"/>
    <x v="3"/>
    <d v="2024-03-13T00:00:00"/>
    <n v="13"/>
    <x v="8"/>
    <x v="1"/>
    <x v="0"/>
    <n v="349"/>
    <x v="0"/>
    <x v="347"/>
    <x v="243"/>
    <x v="341"/>
    <n v="349"/>
    <x v="4"/>
    <d v="2024-12-23T00:00:00"/>
    <n v="4"/>
    <n v="178"/>
    <n v="21"/>
    <x v="0"/>
    <n v="453.37799999999999"/>
    <n v="0.05"/>
    <n v="453.37799999999999"/>
    <n v="113.10200000000003"/>
  </r>
  <r>
    <n v="349"/>
    <d v="2025-04-19T00:00:00"/>
    <d v="1900-01-07T00:00:00"/>
    <n v="9"/>
    <x v="76"/>
    <s v="Female"/>
    <x v="1"/>
    <d v="2025-04-19T00:00:00"/>
    <n v="19"/>
    <x v="10"/>
    <x v="2"/>
    <x v="2"/>
    <n v="350"/>
    <x v="3"/>
    <x v="348"/>
    <x v="244"/>
    <x v="342"/>
    <n v="350"/>
    <x v="11"/>
    <d v="2025-05-03T00:00:00"/>
    <n v="3"/>
    <n v="191"/>
    <n v="85"/>
    <x v="0"/>
    <n v="816.25600000000009"/>
    <n v="0.2"/>
    <n v="816.25600000000009"/>
    <n v="313.38400000000001"/>
  </r>
  <r>
    <n v="350"/>
    <d v="2023-04-17T00:00:00"/>
    <d v="1900-01-31T00:00:00"/>
    <n v="7"/>
    <x v="36"/>
    <s v="Male"/>
    <x v="1"/>
    <d v="2023-04-17T00:00:00"/>
    <n v="17"/>
    <x v="10"/>
    <x v="0"/>
    <x v="0"/>
    <n v="351"/>
    <x v="4"/>
    <x v="349"/>
    <x v="245"/>
    <x v="343"/>
    <n v="351"/>
    <x v="3"/>
    <d v="2023-06-25T00:00:00"/>
    <n v="6"/>
    <n v="59"/>
    <n v="33"/>
    <x v="0"/>
    <n v="88.2"/>
    <n v="0"/>
    <n v="88.2"/>
    <n v="18.200000000000003"/>
  </r>
  <r>
    <n v="351"/>
    <d v="2024-04-23T00:00:00"/>
    <d v="1900-01-18T00:00:00"/>
    <n v="13"/>
    <x v="40"/>
    <s v="Male"/>
    <x v="0"/>
    <d v="2024-04-23T00:00:00"/>
    <n v="23"/>
    <x v="10"/>
    <x v="1"/>
    <x v="0"/>
    <n v="352"/>
    <x v="0"/>
    <x v="350"/>
    <x v="109"/>
    <x v="344"/>
    <n v="352"/>
    <x v="11"/>
    <d v="2023-05-19T00:00:00"/>
    <n v="1"/>
    <n v="165"/>
    <n v="50"/>
    <x v="0"/>
    <n v="218.99399999999997"/>
    <n v="0.05"/>
    <n v="218.99399999999997"/>
    <n v="38.045999999999992"/>
  </r>
  <r>
    <n v="352"/>
    <d v="2024-05-08T00:00:00"/>
    <d v="1900-01-18T00:00:00"/>
    <n v="5"/>
    <x v="85"/>
    <s v="Male"/>
    <x v="0"/>
    <d v="2024-05-08T00:00:00"/>
    <n v="8"/>
    <x v="3"/>
    <x v="1"/>
    <x v="1"/>
    <n v="353"/>
    <x v="1"/>
    <x v="351"/>
    <x v="103"/>
    <x v="345"/>
    <n v="353"/>
    <x v="0"/>
    <d v="2025-03-10T00:00:00"/>
    <n v="8"/>
    <n v="137"/>
    <n v="39"/>
    <x v="0"/>
    <n v="350.01799999999997"/>
    <n v="0.05"/>
    <n v="350.01799999999997"/>
    <n v="84.862000000000023"/>
  </r>
  <r>
    <n v="353"/>
    <d v="2024-05-20T00:00:00"/>
    <d v="1900-01-18T00:00:00"/>
    <n v="5"/>
    <x v="93"/>
    <s v="Female"/>
    <x v="0"/>
    <d v="2024-05-20T00:00:00"/>
    <n v="20"/>
    <x v="3"/>
    <x v="1"/>
    <x v="1"/>
    <n v="354"/>
    <x v="7"/>
    <x v="352"/>
    <x v="4"/>
    <x v="346"/>
    <n v="354"/>
    <x v="0"/>
    <d v="2023-03-31T00:00:00"/>
    <n v="7"/>
    <n v="117"/>
    <n v="51"/>
    <x v="0"/>
    <n v="121.25999999999999"/>
    <n v="0"/>
    <n v="121.25999999999999"/>
    <n v="35.259999999999991"/>
  </r>
  <r>
    <n v="354"/>
    <d v="2023-01-07T00:00:00"/>
    <d v="1900-02-03T00:00:00"/>
    <n v="10"/>
    <x v="29"/>
    <s v="Female"/>
    <x v="0"/>
    <d v="2023-01-07T00:00:00"/>
    <n v="7"/>
    <x v="5"/>
    <x v="0"/>
    <x v="3"/>
    <n v="355"/>
    <x v="2"/>
    <x v="353"/>
    <x v="246"/>
    <x v="347"/>
    <n v="355"/>
    <x v="9"/>
    <d v="2025-02-03T00:00:00"/>
    <n v="5"/>
    <n v="131"/>
    <n v="25"/>
    <x v="0"/>
    <n v="141.36000000000001"/>
    <n v="0"/>
    <n v="141.36000000000001"/>
    <n v="17.360000000000014"/>
  </r>
  <r>
    <n v="355"/>
    <d v="2025-04-03T00:00:00"/>
    <d v="1900-01-07T00:00:00"/>
    <n v="12"/>
    <x v="22"/>
    <s v="Female"/>
    <x v="3"/>
    <d v="2025-04-03T00:00:00"/>
    <n v="3"/>
    <x v="10"/>
    <x v="2"/>
    <x v="2"/>
    <n v="356"/>
    <x v="5"/>
    <x v="354"/>
    <x v="97"/>
    <x v="348"/>
    <n v="356"/>
    <x v="9"/>
    <d v="2023-02-03T00:00:00"/>
    <n v="6"/>
    <n v="57"/>
    <n v="6"/>
    <x v="0"/>
    <n v="183.17999999999998"/>
    <n v="0"/>
    <n v="183.17999999999998"/>
    <n v="54.179999999999978"/>
  </r>
  <r>
    <n v="356"/>
    <d v="2025-10-20T00:00:00"/>
    <d v="1900-01-01T00:00:00"/>
    <n v="3"/>
    <x v="42"/>
    <s v="Female"/>
    <x v="3"/>
    <d v="2025-10-20T00:00:00"/>
    <n v="20"/>
    <x v="6"/>
    <x v="2"/>
    <x v="2"/>
    <n v="357"/>
    <x v="8"/>
    <x v="355"/>
    <x v="247"/>
    <x v="349"/>
    <n v="357"/>
    <x v="11"/>
    <d v="2023-05-19T00:00:00"/>
    <n v="6"/>
    <n v="161"/>
    <n v="35"/>
    <x v="3"/>
    <n v="306.45099999999996"/>
    <n v="0.05"/>
    <n v="612.90199999999993"/>
    <n v="169.41800000000001"/>
  </r>
  <r>
    <n v="357"/>
    <d v="2024-04-18T00:00:00"/>
    <d v="1900-01-19T00:00:00"/>
    <n v="7"/>
    <x v="28"/>
    <s v="Male"/>
    <x v="0"/>
    <d v="2024-04-18T00:00:00"/>
    <n v="18"/>
    <x v="10"/>
    <x v="1"/>
    <x v="0"/>
    <n v="358"/>
    <x v="2"/>
    <x v="356"/>
    <x v="248"/>
    <x v="350"/>
    <n v="358"/>
    <x v="11"/>
    <d v="2024-05-08T00:00:00"/>
    <n v="2"/>
    <n v="192"/>
    <n v="58"/>
    <x v="3"/>
    <n v="24.7285"/>
    <n v="0.05"/>
    <n v="49.457000000000001"/>
    <n v="16.663000000000004"/>
  </r>
  <r>
    <n v="358"/>
    <d v="2024-02-28T00:00:00"/>
    <d v="1900-01-20T00:00:00"/>
    <n v="3"/>
    <x v="108"/>
    <s v="Female"/>
    <x v="2"/>
    <d v="2024-02-28T00:00:00"/>
    <n v="28"/>
    <x v="1"/>
    <x v="1"/>
    <x v="1"/>
    <n v="359"/>
    <x v="3"/>
    <x v="357"/>
    <x v="249"/>
    <x v="351"/>
    <n v="359"/>
    <x v="5"/>
    <d v="2024-11-11T00:00:00"/>
    <n v="3"/>
    <n v="66"/>
    <n v="17"/>
    <x v="0"/>
    <n v="919.68"/>
    <n v="0.2"/>
    <n v="919.68"/>
    <n v="421.51999999999975"/>
  </r>
  <r>
    <n v="359"/>
    <d v="2023-02-15T00:00:00"/>
    <d v="1900-02-02T00:00:00"/>
    <n v="5"/>
    <x v="52"/>
    <s v="Female"/>
    <x v="2"/>
    <d v="2023-02-15T00:00:00"/>
    <n v="15"/>
    <x v="1"/>
    <x v="0"/>
    <x v="1"/>
    <n v="360"/>
    <x v="4"/>
    <x v="358"/>
    <x v="69"/>
    <x v="352"/>
    <n v="360"/>
    <x v="7"/>
    <d v="2023-04-01T00:00:00"/>
    <n v="6"/>
    <n v="67"/>
    <n v="68"/>
    <x v="2"/>
    <n v="147.23099999999999"/>
    <n v="0.05"/>
    <n v="441.69299999999998"/>
    <n v="119.18699999999995"/>
  </r>
  <r>
    <n v="360"/>
    <d v="2023-07-16T00:00:00"/>
    <d v="1900-01-28T00:00:00"/>
    <n v="4"/>
    <x v="98"/>
    <s v="Male"/>
    <x v="0"/>
    <d v="2023-07-16T00:00:00"/>
    <n v="16"/>
    <x v="2"/>
    <x v="0"/>
    <x v="1"/>
    <n v="361"/>
    <x v="7"/>
    <x v="359"/>
    <x v="250"/>
    <x v="353"/>
    <n v="361"/>
    <x v="5"/>
    <d v="2024-11-24T00:00:00"/>
    <n v="3"/>
    <n v="172"/>
    <n v="39"/>
    <x v="0"/>
    <n v="93.24"/>
    <n v="0"/>
    <n v="93.24"/>
    <n v="19.239999999999995"/>
  </r>
  <r>
    <n v="361"/>
    <d v="2024-02-12T00:00:00"/>
    <d v="1900-01-21T00:00:00"/>
    <n v="2"/>
    <x v="78"/>
    <s v="Male"/>
    <x v="1"/>
    <d v="2024-02-12T00:00:00"/>
    <n v="12"/>
    <x v="1"/>
    <x v="1"/>
    <x v="2"/>
    <n v="362"/>
    <x v="6"/>
    <x v="360"/>
    <x v="134"/>
    <x v="354"/>
    <n v="362"/>
    <x v="1"/>
    <d v="2025-08-09T00:00:00"/>
    <n v="8"/>
    <n v="163"/>
    <n v="57"/>
    <x v="0"/>
    <n v="79.36"/>
    <n v="0"/>
    <n v="79.36"/>
    <n v="17.36"/>
  </r>
  <r>
    <n v="362"/>
    <d v="2025-05-11T00:00:00"/>
    <d v="1900-01-06T00:00:00"/>
    <n v="10"/>
    <x v="26"/>
    <s v="Female"/>
    <x v="2"/>
    <d v="2025-05-11T00:00:00"/>
    <n v="11"/>
    <x v="3"/>
    <x v="2"/>
    <x v="2"/>
    <n v="363"/>
    <x v="3"/>
    <x v="361"/>
    <x v="210"/>
    <x v="355"/>
    <n v="363"/>
    <x v="8"/>
    <d v="2024-01-09T00:00:00"/>
    <n v="3"/>
    <n v="112"/>
    <n v="16"/>
    <x v="0"/>
    <n v="505.24800000000005"/>
    <n v="0.2"/>
    <n v="505.24800000000005"/>
    <n v="203.87200000000007"/>
  </r>
  <r>
    <n v="363"/>
    <d v="2025-05-11T00:00:00"/>
    <d v="1900-01-06T00:00:00"/>
    <n v="10"/>
    <x v="26"/>
    <s v="Male"/>
    <x v="2"/>
    <d v="2025-05-11T00:00:00"/>
    <n v="11"/>
    <x v="3"/>
    <x v="2"/>
    <x v="2"/>
    <n v="364"/>
    <x v="2"/>
    <x v="362"/>
    <x v="251"/>
    <x v="356"/>
    <n v="364"/>
    <x v="11"/>
    <d v="2023-05-10T00:00:00"/>
    <n v="8"/>
    <n v="134"/>
    <n v="19"/>
    <x v="0"/>
    <n v="323.52249999999998"/>
    <n v="0.05"/>
    <n v="323.52249999999998"/>
    <n v="112.57750000000004"/>
  </r>
  <r>
    <n v="364"/>
    <d v="2023-01-07T00:00:00"/>
    <d v="1900-02-03T00:00:00"/>
    <n v="10"/>
    <x v="29"/>
    <s v="Female"/>
    <x v="0"/>
    <d v="2023-01-07T00:00:00"/>
    <n v="7"/>
    <x v="5"/>
    <x v="0"/>
    <x v="3"/>
    <n v="365"/>
    <x v="7"/>
    <x v="363"/>
    <x v="252"/>
    <x v="357"/>
    <n v="365"/>
    <x v="0"/>
    <d v="2023-03-17T00:00:00"/>
    <n v="5"/>
    <n v="6"/>
    <n v="95"/>
    <x v="3"/>
    <n v="165.52799999999999"/>
    <n v="0.05"/>
    <n v="331.05599999999998"/>
    <n v="77.904000000000053"/>
  </r>
  <r>
    <n v="365"/>
    <d v="2025-01-12T00:00:00"/>
    <d v="1900-01-10T00:00:00"/>
    <n v="7"/>
    <x v="8"/>
    <s v="Female"/>
    <x v="1"/>
    <d v="2025-01-12T00:00:00"/>
    <n v="12"/>
    <x v="5"/>
    <x v="2"/>
    <x v="2"/>
    <n v="366"/>
    <x v="3"/>
    <x v="364"/>
    <x v="253"/>
    <x v="358"/>
    <n v="366"/>
    <x v="9"/>
    <d v="2024-02-17T00:00:00"/>
    <n v="1"/>
    <n v="99"/>
    <n v="67"/>
    <x v="3"/>
    <n v="463.334"/>
    <n v="0.05"/>
    <n v="926.66800000000001"/>
    <n v="312.21199999999999"/>
  </r>
  <r>
    <n v="366"/>
    <d v="2023-07-16T00:00:00"/>
    <d v="1900-01-28T00:00:00"/>
    <n v="2"/>
    <x v="44"/>
    <s v="Male"/>
    <x v="0"/>
    <d v="2023-07-16T00:00:00"/>
    <n v="16"/>
    <x v="2"/>
    <x v="0"/>
    <x v="2"/>
    <n v="367"/>
    <x v="5"/>
    <x v="365"/>
    <x v="48"/>
    <x v="359"/>
    <n v="367"/>
    <x v="9"/>
    <d v="2024-02-13T00:00:00"/>
    <n v="1"/>
    <n v="68"/>
    <n v="26"/>
    <x v="0"/>
    <n v="78.44"/>
    <n v="0"/>
    <n v="78.44"/>
    <n v="25.439999999999998"/>
  </r>
  <r>
    <n v="367"/>
    <d v="2024-04-23T00:00:00"/>
    <d v="1900-01-18T00:00:00"/>
    <n v="13"/>
    <x v="40"/>
    <s v="Male"/>
    <x v="0"/>
    <d v="2024-04-23T00:00:00"/>
    <n v="23"/>
    <x v="10"/>
    <x v="1"/>
    <x v="0"/>
    <n v="368"/>
    <x v="4"/>
    <x v="366"/>
    <x v="166"/>
    <x v="360"/>
    <n v="368"/>
    <x v="6"/>
    <d v="2024-10-08T00:00:00"/>
    <n v="5"/>
    <n v="206"/>
    <n v="59"/>
    <x v="0"/>
    <n v="198.34099999999998"/>
    <n v="0.05"/>
    <n v="198.34099999999998"/>
    <n v="73.219000000000023"/>
  </r>
  <r>
    <n v="368"/>
    <d v="2023-06-22T00:00:00"/>
    <d v="1900-01-29T00:00:00"/>
    <n v="9"/>
    <x v="79"/>
    <s v="Female"/>
    <x v="3"/>
    <d v="2023-06-22T00:00:00"/>
    <n v="22"/>
    <x v="9"/>
    <x v="0"/>
    <x v="0"/>
    <n v="369"/>
    <x v="4"/>
    <x v="367"/>
    <x v="93"/>
    <x v="361"/>
    <n v="369"/>
    <x v="0"/>
    <d v="2025-03-26T00:00:00"/>
    <n v="8"/>
    <n v="11"/>
    <n v="40"/>
    <x v="0"/>
    <n v="106.58"/>
    <n v="0"/>
    <n v="106.58"/>
    <n v="33.58"/>
  </r>
  <r>
    <n v="369"/>
    <d v="2024-05-01T00:00:00"/>
    <d v="1900-01-18T00:00:00"/>
    <n v="3"/>
    <x v="109"/>
    <s v="Male"/>
    <x v="2"/>
    <d v="2024-05-01T00:00:00"/>
    <n v="1"/>
    <x v="3"/>
    <x v="1"/>
    <x v="1"/>
    <n v="370"/>
    <x v="5"/>
    <x v="368"/>
    <x v="104"/>
    <x v="362"/>
    <n v="370"/>
    <x v="3"/>
    <d v="2024-06-02T00:00:00"/>
    <n v="1"/>
    <n v="189"/>
    <n v="66"/>
    <x v="0"/>
    <n v="120.53999999999999"/>
    <n v="0"/>
    <n v="120.53999999999999"/>
    <n v="38.539999999999992"/>
  </r>
  <r>
    <n v="370"/>
    <d v="2025-01-12T00:00:00"/>
    <d v="1900-01-10T00:00:00"/>
    <n v="7"/>
    <x v="8"/>
    <s v="Male"/>
    <x v="1"/>
    <d v="2025-01-12T00:00:00"/>
    <n v="12"/>
    <x v="5"/>
    <x v="2"/>
    <x v="2"/>
    <n v="371"/>
    <x v="6"/>
    <x v="369"/>
    <x v="254"/>
    <x v="363"/>
    <n v="371"/>
    <x v="8"/>
    <d v="2024-01-27T00:00:00"/>
    <n v="5"/>
    <n v="112"/>
    <n v="11"/>
    <x v="0"/>
    <n v="183.6"/>
    <n v="0"/>
    <n v="183.6"/>
    <n v="30.599999999999994"/>
  </r>
  <r>
    <n v="371"/>
    <d v="2023-01-11T00:00:00"/>
    <d v="1900-02-03T00:00:00"/>
    <n v="9"/>
    <x v="16"/>
    <s v="Female"/>
    <x v="3"/>
    <d v="2023-01-11T00:00:00"/>
    <n v="11"/>
    <x v="5"/>
    <x v="0"/>
    <x v="0"/>
    <n v="372"/>
    <x v="6"/>
    <x v="370"/>
    <x v="255"/>
    <x v="364"/>
    <n v="372"/>
    <x v="8"/>
    <d v="2025-01-01T00:00:00"/>
    <n v="1"/>
    <n v="135"/>
    <n v="14"/>
    <x v="3"/>
    <n v="402.5625"/>
    <n v="0.05"/>
    <n v="805.125"/>
    <n v="211.875"/>
  </r>
  <r>
    <n v="372"/>
    <d v="2025-10-05T00:00:00"/>
    <d v="1900-01-01T00:00:00"/>
    <n v="5"/>
    <x v="53"/>
    <s v="Male"/>
    <x v="3"/>
    <d v="2025-10-05T00:00:00"/>
    <n v="5"/>
    <x v="6"/>
    <x v="2"/>
    <x v="2"/>
    <n v="373"/>
    <x v="2"/>
    <x v="371"/>
    <x v="27"/>
    <x v="365"/>
    <n v="373"/>
    <x v="5"/>
    <d v="2024-11-10T00:00:00"/>
    <n v="5"/>
    <n v="188"/>
    <n v="45"/>
    <x v="0"/>
    <n v="272.43149999999997"/>
    <n v="0.05"/>
    <n v="272.43149999999997"/>
    <n v="64.108499999999992"/>
  </r>
  <r>
    <n v="373"/>
    <d v="2024-02-05T00:00:00"/>
    <d v="1900-01-21T00:00:00"/>
    <n v="3"/>
    <x v="1"/>
    <s v="Male"/>
    <x v="1"/>
    <d v="2024-02-05T00:00:00"/>
    <n v="5"/>
    <x v="1"/>
    <x v="1"/>
    <x v="1"/>
    <n v="374"/>
    <x v="1"/>
    <x v="372"/>
    <x v="256"/>
    <x v="366"/>
    <n v="374"/>
    <x v="10"/>
    <d v="2023-09-12T00:00:00"/>
    <n v="6"/>
    <n v="13"/>
    <n v="5"/>
    <x v="3"/>
    <n v="465.608"/>
    <n v="0.2"/>
    <n v="931.21600000000001"/>
    <n v="582.82399999999984"/>
  </r>
  <r>
    <n v="374"/>
    <d v="2023-06-10T00:00:00"/>
    <d v="1900-01-29T00:00:00"/>
    <n v="8"/>
    <x v="81"/>
    <s v="Male"/>
    <x v="2"/>
    <d v="2023-06-10T00:00:00"/>
    <n v="10"/>
    <x v="9"/>
    <x v="0"/>
    <x v="0"/>
    <n v="375"/>
    <x v="4"/>
    <x v="373"/>
    <x v="248"/>
    <x v="367"/>
    <n v="375"/>
    <x v="3"/>
    <d v="2025-06-13T00:00:00"/>
    <n v="7"/>
    <n v="3"/>
    <n v="71"/>
    <x v="0"/>
    <n v="26.599999999999998"/>
    <n v="0"/>
    <n v="26.599999999999998"/>
    <n v="7.5999999999999979"/>
  </r>
  <r>
    <n v="375"/>
    <d v="2023-07-09T00:00:00"/>
    <d v="1900-01-28T00:00:00"/>
    <n v="11"/>
    <x v="47"/>
    <s v="Male"/>
    <x v="1"/>
    <d v="2023-07-09T00:00:00"/>
    <n v="9"/>
    <x v="2"/>
    <x v="0"/>
    <x v="3"/>
    <n v="376"/>
    <x v="6"/>
    <x v="374"/>
    <x v="200"/>
    <x v="368"/>
    <n v="376"/>
    <x v="3"/>
    <d v="2025-06-19T00:00:00"/>
    <n v="7"/>
    <n v="188"/>
    <n v="68"/>
    <x v="0"/>
    <n v="38.130000000000003"/>
    <n v="0"/>
    <n v="38.130000000000003"/>
    <n v="7.1300000000000026"/>
  </r>
  <r>
    <n v="376"/>
    <d v="2025-07-18T00:00:00"/>
    <d v="1900-01-04T00:00:00"/>
    <n v="4"/>
    <x v="3"/>
    <s v="Female"/>
    <x v="2"/>
    <d v="2025-07-18T00:00:00"/>
    <n v="18"/>
    <x v="2"/>
    <x v="2"/>
    <x v="2"/>
    <n v="377"/>
    <x v="8"/>
    <x v="375"/>
    <x v="257"/>
    <x v="369"/>
    <n v="377"/>
    <x v="5"/>
    <d v="2024-11-25T00:00:00"/>
    <n v="3"/>
    <n v="218"/>
    <n v="21"/>
    <x v="0"/>
    <n v="384.02799999999996"/>
    <n v="0.05"/>
    <n v="384.02799999999996"/>
    <n v="98.452000000000055"/>
  </r>
  <r>
    <n v="377"/>
    <d v="2023-07-10T00:00:00"/>
    <d v="1900-01-28T00:00:00"/>
    <n v="5"/>
    <x v="11"/>
    <s v="Male"/>
    <x v="0"/>
    <d v="2023-07-10T00:00:00"/>
    <n v="10"/>
    <x v="2"/>
    <x v="0"/>
    <x v="1"/>
    <n v="378"/>
    <x v="5"/>
    <x v="376"/>
    <x v="258"/>
    <x v="370"/>
    <n v="378"/>
    <x v="6"/>
    <d v="2025-10-13T00:00:00"/>
    <n v="8"/>
    <n v="63"/>
    <n v="42"/>
    <x v="3"/>
    <n v="166.25"/>
    <n v="0.05"/>
    <n v="332.5"/>
    <n v="117.5"/>
  </r>
  <r>
    <n v="378"/>
    <d v="2025-11-07T00:00:00"/>
    <d v="1899-12-31T00:00:00"/>
    <n v="14"/>
    <x v="6"/>
    <s v="Male"/>
    <x v="0"/>
    <d v="2025-11-07T00:00:00"/>
    <n v="7"/>
    <x v="4"/>
    <x v="2"/>
    <x v="2"/>
    <n v="379"/>
    <x v="8"/>
    <x v="377"/>
    <x v="259"/>
    <x v="371"/>
    <n v="379"/>
    <x v="8"/>
    <d v="2025-01-22T00:00:00"/>
    <n v="5"/>
    <n v="133"/>
    <n v="87"/>
    <x v="0"/>
    <n v="266.76"/>
    <n v="0.05"/>
    <n v="266.76"/>
    <n v="60.840000000000032"/>
  </r>
  <r>
    <n v="379"/>
    <d v="2024-05-19T00:00:00"/>
    <d v="1900-01-18T00:00:00"/>
    <n v="5"/>
    <x v="62"/>
    <s v="Female"/>
    <x v="0"/>
    <d v="2024-05-19T00:00:00"/>
    <n v="19"/>
    <x v="3"/>
    <x v="1"/>
    <x v="1"/>
    <n v="380"/>
    <x v="7"/>
    <x v="378"/>
    <x v="134"/>
    <x v="372"/>
    <n v="380"/>
    <x v="3"/>
    <d v="2023-06-19T00:00:00"/>
    <n v="7"/>
    <n v="94"/>
    <n v="59"/>
    <x v="0"/>
    <n v="84.32"/>
    <n v="0"/>
    <n v="84.32"/>
    <n v="22.319999999999993"/>
  </r>
  <r>
    <n v="380"/>
    <d v="2023-11-14T00:00:00"/>
    <d v="1900-01-24T00:00:00"/>
    <n v="4"/>
    <x v="51"/>
    <s v="Male"/>
    <x v="2"/>
    <d v="2023-11-14T00:00:00"/>
    <n v="14"/>
    <x v="4"/>
    <x v="0"/>
    <x v="1"/>
    <n v="381"/>
    <x v="5"/>
    <x v="379"/>
    <x v="42"/>
    <x v="373"/>
    <n v="381"/>
    <x v="3"/>
    <d v="2023-06-11T00:00:00"/>
    <n v="7"/>
    <n v="4"/>
    <n v="99"/>
    <x v="3"/>
    <n v="55.147500000000001"/>
    <n v="0.05"/>
    <n v="110.295"/>
    <n v="31.905000000000015"/>
  </r>
  <r>
    <n v="381"/>
    <d v="2024-06-06T00:00:00"/>
    <d v="1900-01-17T00:00:00"/>
    <n v="6"/>
    <x v="15"/>
    <s v="Male"/>
    <x v="0"/>
    <d v="2024-06-06T00:00:00"/>
    <n v="6"/>
    <x v="9"/>
    <x v="1"/>
    <x v="1"/>
    <n v="382"/>
    <x v="1"/>
    <x v="380"/>
    <x v="70"/>
    <x v="374"/>
    <n v="382"/>
    <x v="8"/>
    <d v="2024-01-05T00:00:00"/>
    <n v="5"/>
    <n v="89"/>
    <n v="37"/>
    <x v="3"/>
    <n v="316.77750000000003"/>
    <n v="0.05"/>
    <n v="633.55500000000006"/>
    <n v="206.24500000000012"/>
  </r>
  <r>
    <n v="382"/>
    <d v="2025-11-16T00:00:00"/>
    <d v="1899-12-31T00:00:00"/>
    <n v="3"/>
    <x v="89"/>
    <s v="Female"/>
    <x v="3"/>
    <d v="2025-11-16T00:00:00"/>
    <n v="16"/>
    <x v="4"/>
    <x v="2"/>
    <x v="2"/>
    <n v="383"/>
    <x v="7"/>
    <x v="381"/>
    <x v="53"/>
    <x v="375"/>
    <n v="383"/>
    <x v="6"/>
    <d v="2024-10-19T00:00:00"/>
    <n v="2"/>
    <n v="17"/>
    <n v="5"/>
    <x v="0"/>
    <n v="172.28"/>
    <n v="0"/>
    <n v="172.28"/>
    <n v="54.28"/>
  </r>
  <r>
    <n v="383"/>
    <d v="2024-05-16T00:00:00"/>
    <d v="1900-01-18T00:00:00"/>
    <n v="12"/>
    <x v="74"/>
    <s v="Male"/>
    <x v="1"/>
    <d v="2024-05-16T00:00:00"/>
    <n v="16"/>
    <x v="3"/>
    <x v="1"/>
    <x v="0"/>
    <n v="384"/>
    <x v="8"/>
    <x v="382"/>
    <x v="88"/>
    <x v="376"/>
    <n v="384"/>
    <x v="3"/>
    <d v="2023-06-13T00:00:00"/>
    <n v="6"/>
    <n v="97"/>
    <n v="34"/>
    <x v="3"/>
    <n v="86.525999999999996"/>
    <n v="0.05"/>
    <n v="173.05199999999999"/>
    <n v="59.268000000000001"/>
  </r>
  <r>
    <n v="384"/>
    <d v="2023-12-19T00:00:00"/>
    <d v="1900-01-23T00:00:00"/>
    <n v="3"/>
    <x v="77"/>
    <s v="Male"/>
    <x v="3"/>
    <d v="2023-12-19T00:00:00"/>
    <n v="19"/>
    <x v="7"/>
    <x v="0"/>
    <x v="1"/>
    <n v="385"/>
    <x v="1"/>
    <x v="383"/>
    <x v="172"/>
    <x v="377"/>
    <n v="385"/>
    <x v="1"/>
    <d v="2024-08-28T00:00:00"/>
    <n v="5"/>
    <n v="68"/>
    <n v="1"/>
    <x v="3"/>
    <n v="401.28"/>
    <n v="0.2"/>
    <n v="802.56"/>
    <n v="367.83999999999992"/>
  </r>
  <r>
    <n v="385"/>
    <d v="2023-01-10T00:00:00"/>
    <d v="1900-02-03T00:00:00"/>
    <n v="6"/>
    <x v="27"/>
    <s v="Female"/>
    <x v="2"/>
    <d v="2023-01-10T00:00:00"/>
    <n v="10"/>
    <x v="5"/>
    <x v="0"/>
    <x v="1"/>
    <n v="386"/>
    <x v="4"/>
    <x v="384"/>
    <x v="178"/>
    <x v="378"/>
    <n v="386"/>
    <x v="2"/>
    <d v="2025-07-02T00:00:00"/>
    <n v="7"/>
    <n v="148"/>
    <n v="18"/>
    <x v="0"/>
    <n v="201.18149999999997"/>
    <n v="0.05"/>
    <n v="201.18149999999997"/>
    <n v="41.358499999999992"/>
  </r>
  <r>
    <n v="386"/>
    <d v="2023-06-10T00:00:00"/>
    <d v="1900-01-29T00:00:00"/>
    <n v="8"/>
    <x v="81"/>
    <s v="Male"/>
    <x v="2"/>
    <d v="2023-06-10T00:00:00"/>
    <n v="10"/>
    <x v="9"/>
    <x v="0"/>
    <x v="0"/>
    <n v="387"/>
    <x v="4"/>
    <x v="385"/>
    <x v="155"/>
    <x v="379"/>
    <n v="387"/>
    <x v="4"/>
    <d v="2023-12-08T00:00:00"/>
    <n v="8"/>
    <n v="134"/>
    <n v="1"/>
    <x v="0"/>
    <n v="52.08"/>
    <n v="0"/>
    <n v="52.08"/>
    <n v="10.079999999999998"/>
  </r>
  <r>
    <n v="387"/>
    <d v="2024-07-13T00:00:00"/>
    <d v="1900-01-16T00:00:00"/>
    <n v="6"/>
    <x v="7"/>
    <s v="Female"/>
    <x v="1"/>
    <d v="2024-07-13T00:00:00"/>
    <n v="13"/>
    <x v="2"/>
    <x v="1"/>
    <x v="1"/>
    <n v="388"/>
    <x v="6"/>
    <x v="386"/>
    <x v="260"/>
    <x v="380"/>
    <n v="388"/>
    <x v="4"/>
    <d v="2024-12-20T00:00:00"/>
    <n v="8"/>
    <n v="196"/>
    <n v="22"/>
    <x v="0"/>
    <n v="462.70699999999999"/>
    <n v="0.05"/>
    <n v="462.70699999999999"/>
    <n v="168.41300000000001"/>
  </r>
  <r>
    <n v="388"/>
    <d v="2025-11-07T00:00:00"/>
    <d v="1899-12-31T00:00:00"/>
    <n v="14"/>
    <x v="6"/>
    <s v="Female"/>
    <x v="0"/>
    <d v="2025-11-07T00:00:00"/>
    <n v="7"/>
    <x v="4"/>
    <x v="2"/>
    <x v="2"/>
    <n v="389"/>
    <x v="6"/>
    <x v="387"/>
    <x v="261"/>
    <x v="381"/>
    <n v="389"/>
    <x v="0"/>
    <d v="2023-03-28T00:00:00"/>
    <n v="6"/>
    <n v="120"/>
    <n v="46"/>
    <x v="0"/>
    <n v="455.52500000000003"/>
    <n v="0.05"/>
    <n v="455.52500000000003"/>
    <n v="153.47500000000008"/>
  </r>
  <r>
    <n v="389"/>
    <d v="2025-11-07T00:00:00"/>
    <d v="1899-12-31T00:00:00"/>
    <n v="14"/>
    <x v="6"/>
    <s v="Female"/>
    <x v="0"/>
    <d v="2025-11-07T00:00:00"/>
    <n v="7"/>
    <x v="4"/>
    <x v="2"/>
    <x v="2"/>
    <n v="390"/>
    <x v="0"/>
    <x v="388"/>
    <x v="144"/>
    <x v="382"/>
    <n v="390"/>
    <x v="3"/>
    <d v="2025-06-09T00:00:00"/>
    <n v="5"/>
    <n v="184"/>
    <n v="85"/>
    <x v="0"/>
    <n v="310.24149999999997"/>
    <n v="0.05"/>
    <n v="310.24149999999997"/>
    <n v="53.898500000000013"/>
  </r>
  <r>
    <n v="390"/>
    <d v="2023-12-18T00:00:00"/>
    <d v="1900-01-23T00:00:00"/>
    <n v="4"/>
    <x v="58"/>
    <s v="Female"/>
    <x v="3"/>
    <d v="2023-12-18T00:00:00"/>
    <n v="18"/>
    <x v="7"/>
    <x v="0"/>
    <x v="1"/>
    <n v="391"/>
    <x v="0"/>
    <x v="389"/>
    <x v="103"/>
    <x v="345"/>
    <n v="391"/>
    <x v="7"/>
    <d v="2023-04-28T00:00:00"/>
    <n v="2"/>
    <n v="12"/>
    <n v="18"/>
    <x v="0"/>
    <n v="350.01799999999997"/>
    <n v="0.05"/>
    <n v="350.01799999999997"/>
    <n v="84.862000000000023"/>
  </r>
  <r>
    <n v="391"/>
    <d v="2023-07-10T00:00:00"/>
    <d v="1900-01-28T00:00:00"/>
    <n v="5"/>
    <x v="11"/>
    <s v="Female"/>
    <x v="0"/>
    <d v="2023-07-10T00:00:00"/>
    <n v="10"/>
    <x v="2"/>
    <x v="0"/>
    <x v="1"/>
    <n v="392"/>
    <x v="2"/>
    <x v="390"/>
    <x v="150"/>
    <x v="383"/>
    <n v="392"/>
    <x v="7"/>
    <d v="2025-04-11T00:00:00"/>
    <n v="6"/>
    <n v="129"/>
    <n v="82"/>
    <x v="0"/>
    <n v="221.11249999999998"/>
    <n v="0.05"/>
    <n v="221.11249999999998"/>
    <n v="69.387500000000017"/>
  </r>
  <r>
    <n v="392"/>
    <d v="2024-07-13T00:00:00"/>
    <d v="1900-01-16T00:00:00"/>
    <n v="6"/>
    <x v="7"/>
    <s v="Female"/>
    <x v="1"/>
    <d v="2024-07-13T00:00:00"/>
    <n v="13"/>
    <x v="2"/>
    <x v="1"/>
    <x v="1"/>
    <n v="393"/>
    <x v="4"/>
    <x v="391"/>
    <x v="90"/>
    <x v="384"/>
    <n v="393"/>
    <x v="5"/>
    <d v="2023-11-24T00:00:00"/>
    <n v="1"/>
    <n v="18"/>
    <n v="63"/>
    <x v="0"/>
    <n v="227.28749999999999"/>
    <n v="0.05"/>
    <n v="227.28749999999999"/>
    <n v="86.212500000000006"/>
  </r>
  <r>
    <n v="393"/>
    <d v="2024-05-01T00:00:00"/>
    <d v="1900-01-18T00:00:00"/>
    <n v="3"/>
    <x v="109"/>
    <s v="Male"/>
    <x v="2"/>
    <d v="2024-05-01T00:00:00"/>
    <n v="1"/>
    <x v="3"/>
    <x v="1"/>
    <x v="1"/>
    <n v="394"/>
    <x v="7"/>
    <x v="392"/>
    <x v="262"/>
    <x v="385"/>
    <n v="394"/>
    <x v="6"/>
    <d v="2023-10-20T00:00:00"/>
    <n v="8"/>
    <n v="135"/>
    <n v="43"/>
    <x v="3"/>
    <n v="37.695999999999998"/>
    <n v="0.05"/>
    <n v="75.391999999999996"/>
    <n v="19.328000000000003"/>
  </r>
  <r>
    <n v="394"/>
    <d v="2025-10-19T00:00:00"/>
    <d v="1900-01-01T00:00:00"/>
    <n v="5"/>
    <x v="39"/>
    <s v="Female"/>
    <x v="2"/>
    <d v="2025-10-19T00:00:00"/>
    <n v="19"/>
    <x v="6"/>
    <x v="2"/>
    <x v="2"/>
    <n v="395"/>
    <x v="3"/>
    <x v="393"/>
    <x v="263"/>
    <x v="386"/>
    <n v="395"/>
    <x v="0"/>
    <d v="2023-03-13T00:00:00"/>
    <n v="3"/>
    <n v="169"/>
    <n v="81"/>
    <x v="0"/>
    <n v="514.04800000000012"/>
    <n v="0.2"/>
    <n v="514.04800000000012"/>
    <n v="269.072"/>
  </r>
  <r>
    <n v="395"/>
    <d v="2024-12-28T00:00:00"/>
    <d v="1900-01-10T00:00:00"/>
    <n v="8"/>
    <x v="41"/>
    <s v="Female"/>
    <x v="1"/>
    <d v="2024-12-28T00:00:00"/>
    <n v="28"/>
    <x v="7"/>
    <x v="1"/>
    <x v="2"/>
    <n v="396"/>
    <x v="0"/>
    <x v="394"/>
    <x v="264"/>
    <x v="387"/>
    <n v="396"/>
    <x v="11"/>
    <d v="2023-05-18T00:00:00"/>
    <n v="4"/>
    <n v="216"/>
    <n v="8"/>
    <x v="0"/>
    <n v="161.84"/>
    <n v="0"/>
    <n v="161.84"/>
    <n v="25.840000000000003"/>
  </r>
  <r>
    <n v="396"/>
    <d v="2025-08-17T00:00:00"/>
    <d v="1900-01-03T00:00:00"/>
    <n v="3"/>
    <x v="65"/>
    <s v="Male"/>
    <x v="0"/>
    <d v="2025-08-17T00:00:00"/>
    <n v="17"/>
    <x v="11"/>
    <x v="2"/>
    <x v="2"/>
    <n v="397"/>
    <x v="2"/>
    <x v="395"/>
    <x v="150"/>
    <x v="388"/>
    <n v="397"/>
    <x v="8"/>
    <d v="2025-01-20T00:00:00"/>
    <n v="6"/>
    <n v="127"/>
    <n v="4"/>
    <x v="0"/>
    <n v="229.42499999999995"/>
    <n v="0.05"/>
    <n v="229.42499999999995"/>
    <n v="78.574999999999989"/>
  </r>
  <r>
    <n v="397"/>
    <d v="2024-03-13T00:00:00"/>
    <d v="1900-01-20T00:00:00"/>
    <n v="7"/>
    <x v="12"/>
    <s v="Female"/>
    <x v="3"/>
    <d v="2024-03-13T00:00:00"/>
    <n v="13"/>
    <x v="8"/>
    <x v="1"/>
    <x v="0"/>
    <n v="398"/>
    <x v="0"/>
    <x v="396"/>
    <x v="265"/>
    <x v="389"/>
    <n v="398"/>
    <x v="9"/>
    <d v="2025-02-23T00:00:00"/>
    <n v="1"/>
    <n v="19"/>
    <n v="15"/>
    <x v="0"/>
    <n v="215.27"/>
    <n v="0.05"/>
    <n v="215.27"/>
    <n v="31.930000000000035"/>
  </r>
  <r>
    <n v="398"/>
    <d v="2023-05-27T00:00:00"/>
    <d v="1900-01-29T00:00:00"/>
    <n v="6"/>
    <x v="20"/>
    <s v="Male"/>
    <x v="1"/>
    <d v="2023-05-27T00:00:00"/>
    <n v="27"/>
    <x v="3"/>
    <x v="0"/>
    <x v="1"/>
    <n v="399"/>
    <x v="4"/>
    <x v="397"/>
    <x v="169"/>
    <x v="390"/>
    <n v="399"/>
    <x v="5"/>
    <d v="2023-11-11T00:00:00"/>
    <n v="8"/>
    <n v="29"/>
    <n v="10"/>
    <x v="0"/>
    <n v="83.850000000000009"/>
    <n v="0"/>
    <n v="83.850000000000009"/>
    <n v="18.850000000000009"/>
  </r>
  <r>
    <n v="399"/>
    <d v="2023-10-03T00:00:00"/>
    <d v="1900-01-25T00:00:00"/>
    <n v="8"/>
    <x v="19"/>
    <s v="Female"/>
    <x v="0"/>
    <d v="2023-10-03T00:00:00"/>
    <n v="3"/>
    <x v="6"/>
    <x v="0"/>
    <x v="0"/>
    <n v="400"/>
    <x v="7"/>
    <x v="398"/>
    <x v="266"/>
    <x v="391"/>
    <n v="400"/>
    <x v="8"/>
    <d v="2025-01-29T00:00:00"/>
    <n v="6"/>
    <n v="107"/>
    <n v="29"/>
    <x v="2"/>
    <n v="85.870499999999993"/>
    <n v="0.05"/>
    <n v="257.61149999999998"/>
    <n v="77.728500000000025"/>
  </r>
  <r>
    <n v="400"/>
    <d v="2023-07-09T00:00:00"/>
    <d v="1900-01-28T00:00:00"/>
    <n v="11"/>
    <x v="47"/>
    <s v="Female"/>
    <x v="1"/>
    <d v="2023-07-09T00:00:00"/>
    <n v="9"/>
    <x v="2"/>
    <x v="0"/>
    <x v="3"/>
    <n v="401"/>
    <x v="7"/>
    <x v="399"/>
    <x v="219"/>
    <x v="392"/>
    <n v="401"/>
    <x v="3"/>
    <d v="2025-06-28T00:00:00"/>
    <n v="2"/>
    <n v="73"/>
    <n v="21"/>
    <x v="0"/>
    <n v="119.85"/>
    <n v="0"/>
    <n v="119.85"/>
    <n v="34.849999999999994"/>
  </r>
  <r>
    <n v="401"/>
    <d v="2024-05-16T00:00:00"/>
    <d v="1900-01-18T00:00:00"/>
    <n v="12"/>
    <x v="74"/>
    <s v="Male"/>
    <x v="1"/>
    <d v="2024-05-16T00:00:00"/>
    <n v="16"/>
    <x v="3"/>
    <x v="1"/>
    <x v="0"/>
    <n v="402"/>
    <x v="6"/>
    <x v="400"/>
    <x v="10"/>
    <x v="393"/>
    <n v="402"/>
    <x v="6"/>
    <d v="2023-10-09T00:00:00"/>
    <n v="6"/>
    <n v="127"/>
    <n v="9"/>
    <x v="0"/>
    <n v="306.28000000000003"/>
    <n v="0.05"/>
    <n v="306.28000000000003"/>
    <n v="90.520000000000039"/>
  </r>
  <r>
    <n v="402"/>
    <d v="2025-12-18T00:00:00"/>
    <d v="1899-12-30T00:00:00"/>
    <n v="3"/>
    <x v="83"/>
    <s v="Male"/>
    <x v="2"/>
    <d v="2025-12-18T00:00:00"/>
    <n v="18"/>
    <x v="7"/>
    <x v="2"/>
    <x v="2"/>
    <n v="403"/>
    <x v="2"/>
    <x v="401"/>
    <x v="267"/>
    <x v="394"/>
    <n v="403"/>
    <x v="0"/>
    <d v="2025-03-26T00:00:00"/>
    <n v="6"/>
    <n v="161"/>
    <n v="5"/>
    <x v="0"/>
    <n v="42.9"/>
    <n v="0"/>
    <n v="42.9"/>
    <n v="9.8999999999999986"/>
  </r>
  <r>
    <n v="403"/>
    <d v="2023-06-22T00:00:00"/>
    <d v="1900-01-29T00:00:00"/>
    <n v="9"/>
    <x v="79"/>
    <s v="Female"/>
    <x v="3"/>
    <d v="2023-06-22T00:00:00"/>
    <n v="22"/>
    <x v="9"/>
    <x v="0"/>
    <x v="0"/>
    <n v="404"/>
    <x v="6"/>
    <x v="402"/>
    <x v="268"/>
    <x v="395"/>
    <n v="404"/>
    <x v="2"/>
    <d v="2024-07-24T00:00:00"/>
    <n v="4"/>
    <n v="46"/>
    <n v="15"/>
    <x v="3"/>
    <n v="226.17599999999999"/>
    <n v="0.05"/>
    <n v="452.35199999999998"/>
    <n v="115.96799999999996"/>
  </r>
  <r>
    <n v="404"/>
    <d v="2023-05-27T00:00:00"/>
    <d v="1900-01-29T00:00:00"/>
    <n v="6"/>
    <x v="20"/>
    <s v="Female"/>
    <x v="1"/>
    <d v="2023-05-27T00:00:00"/>
    <n v="27"/>
    <x v="3"/>
    <x v="0"/>
    <x v="1"/>
    <n v="405"/>
    <x v="5"/>
    <x v="403"/>
    <x v="78"/>
    <x v="396"/>
    <n v="405"/>
    <x v="1"/>
    <d v="2023-08-21T00:00:00"/>
    <n v="1"/>
    <n v="35"/>
    <n v="14"/>
    <x v="4"/>
    <n v="147.136"/>
    <n v="0.05"/>
    <n v="588.54399999999998"/>
    <n v="138.49599999999998"/>
  </r>
  <r>
    <n v="405"/>
    <d v="2025-11-07T00:00:00"/>
    <d v="1899-12-31T00:00:00"/>
    <n v="14"/>
    <x v="6"/>
    <s v="Male"/>
    <x v="0"/>
    <d v="2025-11-07T00:00:00"/>
    <n v="7"/>
    <x v="4"/>
    <x v="2"/>
    <x v="2"/>
    <n v="406"/>
    <x v="1"/>
    <x v="404"/>
    <x v="269"/>
    <x v="397"/>
    <n v="406"/>
    <x v="8"/>
    <d v="2024-01-17T00:00:00"/>
    <n v="8"/>
    <n v="199"/>
    <n v="51"/>
    <x v="0"/>
    <n v="326.87599999999998"/>
    <n v="0.05"/>
    <n v="326.87599999999998"/>
    <n v="108.28399999999999"/>
  </r>
  <r>
    <n v="406"/>
    <d v="2025-12-03T00:00:00"/>
    <d v="1899-12-30T00:00:00"/>
    <n v="6"/>
    <x v="48"/>
    <s v="Male"/>
    <x v="0"/>
    <d v="2025-12-03T00:00:00"/>
    <n v="3"/>
    <x v="7"/>
    <x v="2"/>
    <x v="2"/>
    <n v="407"/>
    <x v="1"/>
    <x v="405"/>
    <x v="6"/>
    <x v="398"/>
    <n v="407"/>
    <x v="0"/>
    <d v="2025-03-03T00:00:00"/>
    <n v="2"/>
    <n v="199"/>
    <n v="8"/>
    <x v="0"/>
    <n v="76.16"/>
    <n v="0"/>
    <n v="76.16"/>
    <n v="20.159999999999997"/>
  </r>
  <r>
    <n v="407"/>
    <d v="2023-01-10T00:00:00"/>
    <d v="1900-02-03T00:00:00"/>
    <n v="6"/>
    <x v="27"/>
    <s v="Female"/>
    <x v="2"/>
    <d v="2023-01-10T00:00:00"/>
    <n v="10"/>
    <x v="5"/>
    <x v="0"/>
    <x v="1"/>
    <n v="408"/>
    <x v="7"/>
    <x v="406"/>
    <x v="38"/>
    <x v="399"/>
    <n v="408"/>
    <x v="3"/>
    <d v="2024-06-20T00:00:00"/>
    <n v="5"/>
    <n v="44"/>
    <n v="73"/>
    <x v="3"/>
    <n v="96.557999999999993"/>
    <n v="0.05"/>
    <n v="193.11599999999999"/>
    <n v="45.444000000000017"/>
  </r>
  <r>
    <n v="408"/>
    <d v="2023-11-14T00:00:00"/>
    <d v="1900-01-24T00:00:00"/>
    <n v="4"/>
    <x v="51"/>
    <s v="Male"/>
    <x v="2"/>
    <d v="2023-11-14T00:00:00"/>
    <n v="14"/>
    <x v="4"/>
    <x v="0"/>
    <x v="1"/>
    <n v="409"/>
    <x v="3"/>
    <x v="407"/>
    <x v="233"/>
    <x v="400"/>
    <n v="409"/>
    <x v="2"/>
    <d v="2025-07-02T00:00:00"/>
    <n v="4"/>
    <n v="206"/>
    <n v="40"/>
    <x v="0"/>
    <n v="229.14"/>
    <n v="0.05"/>
    <n v="229.14"/>
    <n v="52.259999999999991"/>
  </r>
  <r>
    <n v="409"/>
    <d v="2023-07-04T00:00:00"/>
    <d v="1900-01-28T00:00:00"/>
    <n v="1"/>
    <x v="110"/>
    <s v="Male"/>
    <x v="3"/>
    <d v="2023-07-04T00:00:00"/>
    <n v="4"/>
    <x v="2"/>
    <x v="0"/>
    <x v="2"/>
    <n v="410"/>
    <x v="6"/>
    <x v="408"/>
    <x v="174"/>
    <x v="401"/>
    <n v="410"/>
    <x v="1"/>
    <d v="2024-08-07T00:00:00"/>
    <n v="8"/>
    <n v="11"/>
    <n v="9"/>
    <x v="0"/>
    <n v="305.89999999999998"/>
    <n v="0.05"/>
    <n v="305.89999999999998"/>
    <n v="108.10000000000002"/>
  </r>
  <r>
    <n v="410"/>
    <d v="2024-06-01T00:00:00"/>
    <d v="1900-01-17T00:00:00"/>
    <n v="2"/>
    <x v="105"/>
    <s v="Female"/>
    <x v="0"/>
    <d v="2024-06-01T00:00:00"/>
    <n v="1"/>
    <x v="9"/>
    <x v="1"/>
    <x v="2"/>
    <n v="411"/>
    <x v="5"/>
    <x v="409"/>
    <x v="189"/>
    <x v="402"/>
    <n v="411"/>
    <x v="9"/>
    <d v="2024-02-14T00:00:00"/>
    <n v="2"/>
    <n v="10"/>
    <n v="82"/>
    <x v="0"/>
    <n v="169.39999999999998"/>
    <n v="0"/>
    <n v="169.39999999999998"/>
    <n v="48.399999999999977"/>
  </r>
  <r>
    <n v="411"/>
    <d v="2025-12-22T00:00:00"/>
    <d v="1899-12-30T00:00:00"/>
    <n v="4"/>
    <x v="66"/>
    <s v="Female"/>
    <x v="3"/>
    <d v="2025-12-22T00:00:00"/>
    <n v="22"/>
    <x v="7"/>
    <x v="2"/>
    <x v="2"/>
    <n v="412"/>
    <x v="4"/>
    <x v="410"/>
    <x v="6"/>
    <x v="403"/>
    <n v="412"/>
    <x v="6"/>
    <d v="2023-10-05T00:00:00"/>
    <n v="2"/>
    <n v="137"/>
    <n v="85"/>
    <x v="0"/>
    <n v="83.44"/>
    <n v="0"/>
    <n v="83.44"/>
    <n v="27.439999999999998"/>
  </r>
  <r>
    <n v="412"/>
    <d v="2024-04-23T00:00:00"/>
    <d v="1900-01-18T00:00:00"/>
    <n v="13"/>
    <x v="40"/>
    <s v="Female"/>
    <x v="0"/>
    <d v="2024-04-23T00:00:00"/>
    <n v="23"/>
    <x v="10"/>
    <x v="1"/>
    <x v="0"/>
    <n v="413"/>
    <x v="1"/>
    <x v="411"/>
    <x v="270"/>
    <x v="404"/>
    <n v="413"/>
    <x v="2"/>
    <d v="2025-07-14T00:00:00"/>
    <n v="3"/>
    <n v="5"/>
    <n v="14"/>
    <x v="0"/>
    <n v="284.54399999999998"/>
    <n v="0.05"/>
    <n v="284.54399999999998"/>
    <n v="58.495999999999981"/>
  </r>
  <r>
    <n v="413"/>
    <d v="2024-06-29T00:00:00"/>
    <d v="1900-01-16T00:00:00"/>
    <n v="7"/>
    <x v="80"/>
    <s v="Female"/>
    <x v="1"/>
    <d v="2024-06-29T00:00:00"/>
    <n v="29"/>
    <x v="9"/>
    <x v="1"/>
    <x v="1"/>
    <n v="414"/>
    <x v="1"/>
    <x v="412"/>
    <x v="63"/>
    <x v="405"/>
    <n v="414"/>
    <x v="3"/>
    <d v="2025-06-30T00:00:00"/>
    <n v="2"/>
    <n v="208"/>
    <n v="31"/>
    <x v="2"/>
    <n v="115.995"/>
    <n v="0.05"/>
    <n v="347.98500000000001"/>
    <n v="51.615000000000038"/>
  </r>
  <r>
    <n v="414"/>
    <d v="2024-06-06T00:00:00"/>
    <d v="1900-01-17T00:00:00"/>
    <n v="6"/>
    <x v="15"/>
    <s v="Female"/>
    <x v="0"/>
    <d v="2024-06-06T00:00:00"/>
    <n v="6"/>
    <x v="9"/>
    <x v="1"/>
    <x v="1"/>
    <n v="415"/>
    <x v="1"/>
    <x v="413"/>
    <x v="271"/>
    <x v="406"/>
    <n v="415"/>
    <x v="6"/>
    <d v="2024-10-16T00:00:00"/>
    <n v="6"/>
    <n v="82"/>
    <n v="43"/>
    <x v="0"/>
    <n v="402.43899999999996"/>
    <n v="0.05"/>
    <n v="402.43899999999996"/>
    <n v="85.801000000000045"/>
  </r>
  <r>
    <n v="415"/>
    <d v="2023-12-29T00:00:00"/>
    <d v="1900-01-22T00:00:00"/>
    <n v="1"/>
    <x v="111"/>
    <s v="Female"/>
    <x v="0"/>
    <d v="2023-12-29T00:00:00"/>
    <n v="29"/>
    <x v="7"/>
    <x v="0"/>
    <x v="2"/>
    <n v="416"/>
    <x v="5"/>
    <x v="414"/>
    <x v="38"/>
    <x v="407"/>
    <n v="416"/>
    <x v="11"/>
    <d v="2023-05-13T00:00:00"/>
    <n v="5"/>
    <n v="154"/>
    <n v="39"/>
    <x v="2"/>
    <n v="102.14399999999999"/>
    <n v="0.05"/>
    <n v="306.43199999999996"/>
    <n v="86.688000000000002"/>
  </r>
  <r>
    <n v="416"/>
    <d v="2025-04-03T00:00:00"/>
    <d v="1900-01-07T00:00:00"/>
    <n v="12"/>
    <x v="22"/>
    <s v="Female"/>
    <x v="3"/>
    <d v="2025-04-03T00:00:00"/>
    <n v="3"/>
    <x v="10"/>
    <x v="2"/>
    <x v="2"/>
    <n v="417"/>
    <x v="1"/>
    <x v="415"/>
    <x v="127"/>
    <x v="408"/>
    <n v="417"/>
    <x v="10"/>
    <d v="2024-09-06T00:00:00"/>
    <n v="3"/>
    <n v="97"/>
    <n v="54"/>
    <x v="0"/>
    <n v="229.82400000000001"/>
    <n v="0.05"/>
    <n v="229.82400000000001"/>
    <n v="65.01600000000002"/>
  </r>
  <r>
    <n v="417"/>
    <d v="2023-01-11T00:00:00"/>
    <d v="1900-02-03T00:00:00"/>
    <n v="9"/>
    <x v="16"/>
    <s v="Male"/>
    <x v="3"/>
    <d v="2023-01-11T00:00:00"/>
    <n v="11"/>
    <x v="5"/>
    <x v="0"/>
    <x v="0"/>
    <n v="418"/>
    <x v="8"/>
    <x v="416"/>
    <x v="272"/>
    <x v="409"/>
    <n v="418"/>
    <x v="4"/>
    <d v="2023-12-23T00:00:00"/>
    <n v="6"/>
    <n v="39"/>
    <n v="78"/>
    <x v="3"/>
    <n v="639.36"/>
    <n v="0.2"/>
    <n v="1278.72"/>
    <n v="586.0799999999997"/>
  </r>
  <r>
    <n v="418"/>
    <d v="2025-04-03T00:00:00"/>
    <d v="1900-01-07T00:00:00"/>
    <n v="12"/>
    <x v="22"/>
    <s v="Male"/>
    <x v="3"/>
    <d v="2025-04-03T00:00:00"/>
    <n v="3"/>
    <x v="10"/>
    <x v="2"/>
    <x v="2"/>
    <n v="419"/>
    <x v="8"/>
    <x v="417"/>
    <x v="151"/>
    <x v="410"/>
    <n v="419"/>
    <x v="5"/>
    <d v="2025-11-07T00:00:00"/>
    <n v="4"/>
    <n v="57"/>
    <n v="65"/>
    <x v="4"/>
    <n v="67.345500000000001"/>
    <n v="0.05"/>
    <n v="269.38200000000001"/>
    <n v="93.738"/>
  </r>
  <r>
    <n v="419"/>
    <d v="2024-05-16T00:00:00"/>
    <d v="1900-01-18T00:00:00"/>
    <n v="12"/>
    <x v="74"/>
    <s v="Female"/>
    <x v="1"/>
    <d v="2024-05-16T00:00:00"/>
    <n v="16"/>
    <x v="3"/>
    <x v="1"/>
    <x v="0"/>
    <n v="420"/>
    <x v="4"/>
    <x v="418"/>
    <x v="273"/>
    <x v="411"/>
    <n v="420"/>
    <x v="10"/>
    <d v="2023-09-06T00:00:00"/>
    <n v="4"/>
    <n v="205"/>
    <n v="62"/>
    <x v="0"/>
    <n v="227.62949999999998"/>
    <n v="0.05"/>
    <n v="227.62949999999998"/>
    <n v="88.590499999999992"/>
  </r>
  <r>
    <n v="420"/>
    <d v="2025-10-19T00:00:00"/>
    <d v="1900-01-01T00:00:00"/>
    <n v="5"/>
    <x v="39"/>
    <s v="Male"/>
    <x v="2"/>
    <d v="2025-10-19T00:00:00"/>
    <n v="19"/>
    <x v="6"/>
    <x v="2"/>
    <x v="2"/>
    <n v="421"/>
    <x v="8"/>
    <x v="419"/>
    <x v="215"/>
    <x v="412"/>
    <n v="421"/>
    <x v="6"/>
    <d v="2023-10-12T00:00:00"/>
    <n v="4"/>
    <n v="55"/>
    <n v="29"/>
    <x v="0"/>
    <n v="158.92000000000002"/>
    <n v="0"/>
    <n v="158.92000000000002"/>
    <n v="42.920000000000016"/>
  </r>
  <r>
    <n v="421"/>
    <d v="2023-02-18T00:00:00"/>
    <d v="1900-02-02T00:00:00"/>
    <n v="6"/>
    <x v="67"/>
    <s v="Female"/>
    <x v="3"/>
    <d v="2023-02-18T00:00:00"/>
    <n v="18"/>
    <x v="1"/>
    <x v="0"/>
    <x v="1"/>
    <n v="422"/>
    <x v="3"/>
    <x v="420"/>
    <x v="274"/>
    <x v="413"/>
    <n v="422"/>
    <x v="6"/>
    <d v="2025-10-08T00:00:00"/>
    <n v="1"/>
    <n v="76"/>
    <n v="93"/>
    <x v="0"/>
    <n v="260.01499999999999"/>
    <n v="0.05"/>
    <n v="260.01499999999999"/>
    <n v="49.384999999999991"/>
  </r>
  <r>
    <n v="422"/>
    <d v="2023-10-03T00:00:00"/>
    <d v="1900-01-25T00:00:00"/>
    <n v="8"/>
    <x v="19"/>
    <s v="Male"/>
    <x v="0"/>
    <d v="2023-10-03T00:00:00"/>
    <n v="3"/>
    <x v="6"/>
    <x v="0"/>
    <x v="0"/>
    <n v="423"/>
    <x v="3"/>
    <x v="421"/>
    <x v="189"/>
    <x v="414"/>
    <n v="423"/>
    <x v="8"/>
    <d v="2025-01-09T00:00:00"/>
    <n v="6"/>
    <n v="21"/>
    <n v="38"/>
    <x v="3"/>
    <n v="136.79049999999998"/>
    <n v="0.05"/>
    <n v="273.58099999999996"/>
    <n v="60.378999999999962"/>
  </r>
  <r>
    <n v="423"/>
    <d v="2024-04-23T00:00:00"/>
    <d v="1900-01-18T00:00:00"/>
    <n v="13"/>
    <x v="40"/>
    <s v="Male"/>
    <x v="0"/>
    <d v="2024-04-23T00:00:00"/>
    <n v="23"/>
    <x v="10"/>
    <x v="1"/>
    <x v="0"/>
    <n v="424"/>
    <x v="0"/>
    <x v="422"/>
    <x v="275"/>
    <x v="415"/>
    <n v="424"/>
    <x v="1"/>
    <d v="2025-08-15T00:00:00"/>
    <n v="3"/>
    <n v="93"/>
    <n v="8"/>
    <x v="0"/>
    <n v="402.26799999999997"/>
    <n v="0.05"/>
    <n v="402.26799999999997"/>
    <n v="128.61200000000002"/>
  </r>
  <r>
    <n v="424"/>
    <d v="2024-03-25T00:00:00"/>
    <d v="1900-01-19T00:00:00"/>
    <n v="8"/>
    <x v="25"/>
    <s v="Male"/>
    <x v="3"/>
    <d v="2024-03-25T00:00:00"/>
    <n v="25"/>
    <x v="8"/>
    <x v="1"/>
    <x v="0"/>
    <n v="425"/>
    <x v="6"/>
    <x v="423"/>
    <x v="134"/>
    <x v="416"/>
    <n v="425"/>
    <x v="3"/>
    <d v="2023-06-26T00:00:00"/>
    <n v="2"/>
    <n v="168"/>
    <n v="48"/>
    <x v="3"/>
    <n v="70.090999999999994"/>
    <n v="0.05"/>
    <n v="140.18199999999999"/>
    <n v="30.938000000000017"/>
  </r>
  <r>
    <n v="425"/>
    <d v="2025-10-05T00:00:00"/>
    <d v="1900-01-01T00:00:00"/>
    <n v="5"/>
    <x v="53"/>
    <s v="Female"/>
    <x v="3"/>
    <d v="2025-10-05T00:00:00"/>
    <n v="5"/>
    <x v="6"/>
    <x v="2"/>
    <x v="2"/>
    <n v="426"/>
    <x v="1"/>
    <x v="424"/>
    <x v="276"/>
    <x v="417"/>
    <n v="426"/>
    <x v="10"/>
    <d v="2024-09-25T00:00:00"/>
    <n v="7"/>
    <n v="90"/>
    <n v="55"/>
    <x v="3"/>
    <n v="454.608"/>
    <n v="0.2"/>
    <n v="909.21600000000001"/>
    <n v="461.82399999999984"/>
  </r>
  <r>
    <n v="426"/>
    <d v="2025-10-19T00:00:00"/>
    <d v="1900-01-01T00:00:00"/>
    <n v="5"/>
    <x v="39"/>
    <s v="Male"/>
    <x v="2"/>
    <d v="2025-10-19T00:00:00"/>
    <n v="19"/>
    <x v="6"/>
    <x v="2"/>
    <x v="2"/>
    <n v="427"/>
    <x v="2"/>
    <x v="425"/>
    <x v="277"/>
    <x v="418"/>
    <n v="427"/>
    <x v="10"/>
    <d v="2025-09-07T00:00:00"/>
    <n v="7"/>
    <n v="131"/>
    <n v="95"/>
    <x v="2"/>
    <n v="223.72499999999999"/>
    <n v="0.05"/>
    <n v="671.17499999999995"/>
    <n v="270.82500000000005"/>
  </r>
  <r>
    <n v="427"/>
    <d v="2023-01-07T00:00:00"/>
    <d v="1900-02-03T00:00:00"/>
    <n v="10"/>
    <x v="29"/>
    <s v="Male"/>
    <x v="0"/>
    <d v="2023-01-07T00:00:00"/>
    <n v="7"/>
    <x v="5"/>
    <x v="0"/>
    <x v="3"/>
    <n v="428"/>
    <x v="8"/>
    <x v="426"/>
    <x v="78"/>
    <x v="419"/>
    <n v="428"/>
    <x v="7"/>
    <d v="2025-04-18T00:00:00"/>
    <n v="2"/>
    <n v="90"/>
    <n v="35"/>
    <x v="3"/>
    <n v="178.75199999999998"/>
    <n v="0.05"/>
    <n v="357.50399999999996"/>
    <n v="139.13600000000002"/>
  </r>
  <r>
    <n v="428"/>
    <d v="2023-07-09T00:00:00"/>
    <d v="1900-01-28T00:00:00"/>
    <n v="11"/>
    <x v="47"/>
    <s v="Male"/>
    <x v="1"/>
    <d v="2023-07-09T00:00:00"/>
    <n v="9"/>
    <x v="2"/>
    <x v="0"/>
    <x v="3"/>
    <n v="429"/>
    <x v="2"/>
    <x v="427"/>
    <x v="33"/>
    <x v="420"/>
    <n v="429"/>
    <x v="10"/>
    <d v="2023-09-14T00:00:00"/>
    <n v="6"/>
    <n v="212"/>
    <n v="71"/>
    <x v="0"/>
    <n v="246.84799999999996"/>
    <n v="0.05"/>
    <n v="246.84799999999996"/>
    <n v="48.831999999999994"/>
  </r>
  <r>
    <n v="429"/>
    <d v="2024-05-08T00:00:00"/>
    <d v="1900-01-18T00:00:00"/>
    <n v="5"/>
    <x v="85"/>
    <s v="Female"/>
    <x v="0"/>
    <d v="2024-05-08T00:00:00"/>
    <n v="8"/>
    <x v="3"/>
    <x v="1"/>
    <x v="1"/>
    <n v="430"/>
    <x v="8"/>
    <x v="428"/>
    <x v="278"/>
    <x v="421"/>
    <n v="430"/>
    <x v="3"/>
    <d v="2023-06-01T00:00:00"/>
    <n v="8"/>
    <n v="196"/>
    <n v="29"/>
    <x v="0"/>
    <n v="462.38399999999996"/>
    <n v="0.05"/>
    <n v="462.38399999999996"/>
    <n v="173.05599999999998"/>
  </r>
  <r>
    <n v="430"/>
    <d v="2023-04-14T00:00:00"/>
    <d v="1900-01-31T00:00:00"/>
    <n v="10"/>
    <x v="18"/>
    <s v="Female"/>
    <x v="3"/>
    <d v="2023-04-14T00:00:00"/>
    <n v="14"/>
    <x v="10"/>
    <x v="0"/>
    <x v="3"/>
    <n v="431"/>
    <x v="6"/>
    <x v="429"/>
    <x v="241"/>
    <x v="422"/>
    <n v="431"/>
    <x v="1"/>
    <d v="2025-08-12T00:00:00"/>
    <n v="6"/>
    <n v="180"/>
    <n v="86"/>
    <x v="0"/>
    <n v="113.10000000000001"/>
    <n v="0"/>
    <n v="113.10000000000001"/>
    <n v="26.100000000000009"/>
  </r>
  <r>
    <n v="431"/>
    <d v="2023-06-04T00:00:00"/>
    <d v="1900-01-29T00:00:00"/>
    <n v="4"/>
    <x v="33"/>
    <s v="Female"/>
    <x v="0"/>
    <d v="2023-06-04T00:00:00"/>
    <n v="4"/>
    <x v="9"/>
    <x v="0"/>
    <x v="1"/>
    <n v="432"/>
    <x v="3"/>
    <x v="430"/>
    <x v="279"/>
    <x v="423"/>
    <n v="432"/>
    <x v="10"/>
    <d v="2023-09-20T00:00:00"/>
    <n v="3"/>
    <n v="165"/>
    <n v="26"/>
    <x v="0"/>
    <n v="393.90799999999996"/>
    <n v="0.05"/>
    <n v="393.90799999999996"/>
    <n v="143.37200000000001"/>
  </r>
  <r>
    <n v="432"/>
    <d v="2023-06-24T00:00:00"/>
    <d v="1900-01-28T00:00:00"/>
    <n v="1"/>
    <x v="112"/>
    <s v="Male"/>
    <x v="3"/>
    <d v="2023-06-24T00:00:00"/>
    <n v="24"/>
    <x v="9"/>
    <x v="0"/>
    <x v="2"/>
    <n v="433"/>
    <x v="0"/>
    <x v="431"/>
    <x v="280"/>
    <x v="424"/>
    <n v="433"/>
    <x v="10"/>
    <d v="2023-09-22T00:00:00"/>
    <n v="7"/>
    <n v="201"/>
    <n v="49"/>
    <x v="0"/>
    <n v="195.05399999999997"/>
    <n v="0.05"/>
    <n v="195.05399999999997"/>
    <n v="38.586000000000013"/>
  </r>
  <r>
    <n v="433"/>
    <d v="2023-02-18T00:00:00"/>
    <d v="1900-02-02T00:00:00"/>
    <n v="6"/>
    <x v="67"/>
    <s v="Male"/>
    <x v="3"/>
    <d v="2023-02-18T00:00:00"/>
    <n v="18"/>
    <x v="1"/>
    <x v="0"/>
    <x v="1"/>
    <n v="434"/>
    <x v="0"/>
    <x v="432"/>
    <x v="92"/>
    <x v="425"/>
    <n v="434"/>
    <x v="6"/>
    <d v="2025-10-26T00:00:00"/>
    <n v="1"/>
    <n v="32"/>
    <n v="60"/>
    <x v="0"/>
    <n v="74.820000000000007"/>
    <n v="0"/>
    <n v="74.820000000000007"/>
    <n v="16.820000000000007"/>
  </r>
  <r>
    <n v="434"/>
    <d v="2023-04-17T00:00:00"/>
    <d v="1900-01-31T00:00:00"/>
    <n v="7"/>
    <x v="36"/>
    <s v="Male"/>
    <x v="1"/>
    <d v="2023-04-17T00:00:00"/>
    <n v="17"/>
    <x v="10"/>
    <x v="0"/>
    <x v="0"/>
    <n v="435"/>
    <x v="5"/>
    <x v="433"/>
    <x v="17"/>
    <x v="17"/>
    <n v="435"/>
    <x v="10"/>
    <d v="2023-09-12T00:00:00"/>
    <n v="3"/>
    <n v="138"/>
    <n v="66"/>
    <x v="3"/>
    <n v="91.085999999999999"/>
    <n v="0.05"/>
    <n v="182.172"/>
    <n v="65.347999999999985"/>
  </r>
  <r>
    <n v="435"/>
    <d v="2024-06-29T00:00:00"/>
    <d v="1900-01-16T00:00:00"/>
    <n v="7"/>
    <x v="80"/>
    <s v="Female"/>
    <x v="1"/>
    <d v="2024-06-29T00:00:00"/>
    <n v="29"/>
    <x v="9"/>
    <x v="1"/>
    <x v="1"/>
    <n v="436"/>
    <x v="2"/>
    <x v="434"/>
    <x v="281"/>
    <x v="426"/>
    <n v="436"/>
    <x v="10"/>
    <d v="2024-09-14T00:00:00"/>
    <n v="3"/>
    <n v="150"/>
    <n v="96"/>
    <x v="0"/>
    <n v="308.37950000000001"/>
    <n v="0.05"/>
    <n v="308.37950000000001"/>
    <n v="113.84050000000002"/>
  </r>
  <r>
    <n v="436"/>
    <d v="2025-12-16T00:00:00"/>
    <d v="1899-12-30T00:00:00"/>
    <n v="6"/>
    <x v="10"/>
    <s v="Female"/>
    <x v="1"/>
    <d v="2025-12-16T00:00:00"/>
    <n v="16"/>
    <x v="7"/>
    <x v="2"/>
    <x v="2"/>
    <n v="437"/>
    <x v="0"/>
    <x v="435"/>
    <x v="282"/>
    <x v="427"/>
    <n v="437"/>
    <x v="5"/>
    <d v="2023-11-28T00:00:00"/>
    <n v="6"/>
    <n v="193"/>
    <n v="81"/>
    <x v="0"/>
    <n v="351.17699999999996"/>
    <n v="0.05"/>
    <n v="351.17699999999996"/>
    <n v="85.142999999999972"/>
  </r>
  <r>
    <n v="437"/>
    <d v="2023-06-10T00:00:00"/>
    <d v="1900-01-29T00:00:00"/>
    <n v="8"/>
    <x v="81"/>
    <s v="Male"/>
    <x v="2"/>
    <d v="2023-06-10T00:00:00"/>
    <n v="10"/>
    <x v="9"/>
    <x v="0"/>
    <x v="0"/>
    <n v="438"/>
    <x v="3"/>
    <x v="436"/>
    <x v="283"/>
    <x v="428"/>
    <n v="438"/>
    <x v="7"/>
    <d v="2024-04-06T00:00:00"/>
    <n v="6"/>
    <n v="91"/>
    <n v="80"/>
    <x v="0"/>
    <n v="837.40800000000002"/>
    <n v="0.2"/>
    <n v="837.40800000000002"/>
    <n v="524.11199999999985"/>
  </r>
  <r>
    <n v="438"/>
    <d v="2025-06-04T00:00:00"/>
    <d v="1900-01-05T00:00:00"/>
    <n v="7"/>
    <x v="13"/>
    <s v="Male"/>
    <x v="2"/>
    <d v="2025-06-04T00:00:00"/>
    <n v="4"/>
    <x v="9"/>
    <x v="2"/>
    <x v="2"/>
    <n v="439"/>
    <x v="1"/>
    <x v="437"/>
    <x v="284"/>
    <x v="429"/>
    <n v="439"/>
    <x v="1"/>
    <d v="2024-08-04T00:00:00"/>
    <n v="2"/>
    <n v="214"/>
    <n v="92"/>
    <x v="0"/>
    <n v="602.11199999999997"/>
    <n v="0.2"/>
    <n v="602.11199999999997"/>
    <n v="391.16800000000001"/>
  </r>
  <r>
    <n v="439"/>
    <d v="2023-05-07T00:00:00"/>
    <d v="1900-01-30T00:00:00"/>
    <n v="3"/>
    <x v="86"/>
    <s v="Female"/>
    <x v="1"/>
    <d v="2023-05-07T00:00:00"/>
    <n v="7"/>
    <x v="3"/>
    <x v="0"/>
    <x v="1"/>
    <n v="440"/>
    <x v="5"/>
    <x v="438"/>
    <x v="32"/>
    <x v="248"/>
    <n v="440"/>
    <x v="11"/>
    <d v="2024-05-28T00:00:00"/>
    <n v="4"/>
    <n v="203"/>
    <n v="79"/>
    <x v="0"/>
    <n v="134.4"/>
    <n v="0"/>
    <n v="134.4"/>
    <n v="29.400000000000006"/>
  </r>
  <r>
    <n v="440"/>
    <d v="2024-06-17T00:00:00"/>
    <d v="1900-01-17T00:00:00"/>
    <n v="10"/>
    <x v="35"/>
    <s v="Male"/>
    <x v="0"/>
    <d v="2024-06-17T00:00:00"/>
    <n v="17"/>
    <x v="9"/>
    <x v="1"/>
    <x v="0"/>
    <n v="441"/>
    <x v="7"/>
    <x v="439"/>
    <x v="285"/>
    <x v="430"/>
    <n v="441"/>
    <x v="2"/>
    <d v="2024-07-16T00:00:00"/>
    <n v="3"/>
    <n v="12"/>
    <n v="82"/>
    <x v="2"/>
    <n v="198.30299999999997"/>
    <n v="0.05"/>
    <n v="594.90899999999988"/>
    <n v="216.53099999999998"/>
  </r>
  <r>
    <n v="441"/>
    <d v="2024-05-20T00:00:00"/>
    <d v="1900-01-18T00:00:00"/>
    <n v="5"/>
    <x v="93"/>
    <s v="Female"/>
    <x v="0"/>
    <d v="2024-05-20T00:00:00"/>
    <n v="20"/>
    <x v="3"/>
    <x v="1"/>
    <x v="1"/>
    <n v="442"/>
    <x v="4"/>
    <x v="440"/>
    <x v="61"/>
    <x v="66"/>
    <n v="442"/>
    <x v="10"/>
    <d v="2024-09-12T00:00:00"/>
    <n v="2"/>
    <n v="133"/>
    <n v="55"/>
    <x v="3"/>
    <n v="231.42"/>
    <n v="0.05"/>
    <n v="462.84"/>
    <n v="175.56"/>
  </r>
  <r>
    <n v="442"/>
    <d v="2023-10-10T00:00:00"/>
    <d v="1900-01-25T00:00:00"/>
    <n v="4"/>
    <x v="91"/>
    <s v="Female"/>
    <x v="3"/>
    <d v="2023-10-10T00:00:00"/>
    <n v="10"/>
    <x v="6"/>
    <x v="0"/>
    <x v="1"/>
    <n v="443"/>
    <x v="3"/>
    <x v="441"/>
    <x v="286"/>
    <x v="431"/>
    <n v="443"/>
    <x v="6"/>
    <d v="2025-10-26T00:00:00"/>
    <n v="3"/>
    <n v="49"/>
    <n v="59"/>
    <x v="0"/>
    <n v="457.0320000000001"/>
    <n v="0.2"/>
    <n v="457.0320000000001"/>
    <n v="268.54800000000012"/>
  </r>
  <r>
    <n v="443"/>
    <d v="2024-07-30T00:00:00"/>
    <d v="1900-01-15T00:00:00"/>
    <n v="8"/>
    <x v="82"/>
    <s v="Male"/>
    <x v="3"/>
    <d v="2024-07-30T00:00:00"/>
    <n v="30"/>
    <x v="2"/>
    <x v="1"/>
    <x v="1"/>
    <n v="444"/>
    <x v="4"/>
    <x v="442"/>
    <x v="77"/>
    <x v="432"/>
    <n v="444"/>
    <x v="5"/>
    <d v="2023-11-12T00:00:00"/>
    <n v="3"/>
    <n v="85"/>
    <n v="54"/>
    <x v="0"/>
    <n v="206.91"/>
    <n v="0.05"/>
    <n v="206.91"/>
    <n v="30.690000000000026"/>
  </r>
  <r>
    <n v="444"/>
    <d v="2024-04-18T00:00:00"/>
    <d v="1900-01-19T00:00:00"/>
    <n v="7"/>
    <x v="28"/>
    <s v="Male"/>
    <x v="0"/>
    <d v="2024-04-18T00:00:00"/>
    <n v="18"/>
    <x v="10"/>
    <x v="1"/>
    <x v="0"/>
    <n v="445"/>
    <x v="3"/>
    <x v="443"/>
    <x v="287"/>
    <x v="433"/>
    <n v="445"/>
    <x v="5"/>
    <d v="2024-11-22T00:00:00"/>
    <n v="1"/>
    <n v="148"/>
    <n v="51"/>
    <x v="4"/>
    <n v="159.315"/>
    <n v="0.05"/>
    <n v="637.26"/>
    <n v="184.34000000000015"/>
  </r>
  <r>
    <n v="445"/>
    <d v="2025-11-07T00:00:00"/>
    <d v="1899-12-31T00:00:00"/>
    <n v="14"/>
    <x v="6"/>
    <s v="Male"/>
    <x v="0"/>
    <d v="2025-11-07T00:00:00"/>
    <n v="7"/>
    <x v="4"/>
    <x v="2"/>
    <x v="2"/>
    <n v="446"/>
    <x v="1"/>
    <x v="444"/>
    <x v="197"/>
    <x v="434"/>
    <n v="446"/>
    <x v="9"/>
    <d v="2023-02-28T00:00:00"/>
    <n v="2"/>
    <n v="51"/>
    <n v="89"/>
    <x v="0"/>
    <n v="192.05200000000002"/>
    <n v="0.05"/>
    <n v="192.05200000000002"/>
    <n v="60.268000000000029"/>
  </r>
  <r>
    <n v="446"/>
    <d v="2025-06-04T00:00:00"/>
    <d v="1900-01-05T00:00:00"/>
    <n v="7"/>
    <x v="13"/>
    <s v="Male"/>
    <x v="2"/>
    <d v="2025-06-04T00:00:00"/>
    <n v="4"/>
    <x v="9"/>
    <x v="2"/>
    <x v="2"/>
    <n v="447"/>
    <x v="7"/>
    <x v="445"/>
    <x v="6"/>
    <x v="435"/>
    <n v="447"/>
    <x v="7"/>
    <d v="2023-04-04T00:00:00"/>
    <n v="5"/>
    <n v="203"/>
    <n v="71"/>
    <x v="0"/>
    <n v="82.88"/>
    <n v="0"/>
    <n v="82.88"/>
    <n v="26.879999999999995"/>
  </r>
  <r>
    <n v="447"/>
    <d v="2025-04-06T00:00:00"/>
    <d v="1900-01-07T00:00:00"/>
    <n v="1"/>
    <x v="113"/>
    <s v="Male"/>
    <x v="0"/>
    <d v="2025-04-06T00:00:00"/>
    <n v="6"/>
    <x v="10"/>
    <x v="2"/>
    <x v="2"/>
    <n v="448"/>
    <x v="7"/>
    <x v="446"/>
    <x v="131"/>
    <x v="436"/>
    <n v="448"/>
    <x v="0"/>
    <d v="2024-03-07T00:00:00"/>
    <n v="7"/>
    <n v="144"/>
    <n v="97"/>
    <x v="0"/>
    <n v="197.28"/>
    <n v="0"/>
    <n v="197.28"/>
    <n v="60.28"/>
  </r>
  <r>
    <n v="448"/>
    <d v="2023-10-03T00:00:00"/>
    <d v="1900-01-25T00:00:00"/>
    <n v="8"/>
    <x v="19"/>
    <s v="Female"/>
    <x v="0"/>
    <d v="2023-10-03T00:00:00"/>
    <n v="3"/>
    <x v="6"/>
    <x v="0"/>
    <x v="0"/>
    <n v="449"/>
    <x v="0"/>
    <x v="447"/>
    <x v="46"/>
    <x v="437"/>
    <n v="449"/>
    <x v="0"/>
    <d v="2023-03-04T00:00:00"/>
    <n v="8"/>
    <n v="135"/>
    <n v="75"/>
    <x v="0"/>
    <n v="137.85999999999999"/>
    <n v="0"/>
    <n v="137.85999999999999"/>
    <n v="24.859999999999985"/>
  </r>
  <r>
    <n v="449"/>
    <d v="2025-12-03T00:00:00"/>
    <d v="1899-12-30T00:00:00"/>
    <n v="6"/>
    <x v="48"/>
    <s v="Female"/>
    <x v="0"/>
    <d v="2025-12-03T00:00:00"/>
    <n v="3"/>
    <x v="7"/>
    <x v="2"/>
    <x v="2"/>
    <n v="450"/>
    <x v="0"/>
    <x v="448"/>
    <x v="287"/>
    <x v="438"/>
    <n v="450"/>
    <x v="1"/>
    <d v="2024-08-16T00:00:00"/>
    <n v="5"/>
    <n v="129"/>
    <n v="9"/>
    <x v="0"/>
    <n v="176.79999999999998"/>
    <n v="0"/>
    <n v="176.79999999999998"/>
    <n v="46.799999999999983"/>
  </r>
  <r>
    <n v="450"/>
    <d v="2024-12-28T00:00:00"/>
    <d v="1900-01-10T00:00:00"/>
    <n v="8"/>
    <x v="41"/>
    <s v="Male"/>
    <x v="1"/>
    <d v="2024-12-28T00:00:00"/>
    <n v="28"/>
    <x v="7"/>
    <x v="1"/>
    <x v="2"/>
    <n v="451"/>
    <x v="7"/>
    <x v="449"/>
    <x v="288"/>
    <x v="439"/>
    <n v="451"/>
    <x v="10"/>
    <d v="2025-09-16T00:00:00"/>
    <n v="4"/>
    <n v="199"/>
    <n v="3"/>
    <x v="0"/>
    <n v="129.79999999999998"/>
    <n v="0"/>
    <n v="129.79999999999998"/>
    <n v="19.799999999999983"/>
  </r>
  <r>
    <n v="451"/>
    <d v="2025-12-16T00:00:00"/>
    <d v="1899-12-30T00:00:00"/>
    <n v="6"/>
    <x v="10"/>
    <s v="Female"/>
    <x v="1"/>
    <d v="2025-12-16T00:00:00"/>
    <n v="16"/>
    <x v="7"/>
    <x v="2"/>
    <x v="2"/>
    <n v="452"/>
    <x v="8"/>
    <x v="450"/>
    <x v="289"/>
    <x v="440"/>
    <n v="452"/>
    <x v="7"/>
    <d v="2025-04-11T00:00:00"/>
    <n v="5"/>
    <n v="180"/>
    <n v="62"/>
    <x v="0"/>
    <n v="703.48800000000006"/>
    <n v="0.2"/>
    <n v="703.48800000000006"/>
    <n v="368.23199999999997"/>
  </r>
  <r>
    <n v="452"/>
    <d v="2025-06-04T00:00:00"/>
    <d v="1900-01-05T00:00:00"/>
    <n v="7"/>
    <x v="13"/>
    <s v="Male"/>
    <x v="2"/>
    <d v="2025-06-04T00:00:00"/>
    <n v="4"/>
    <x v="9"/>
    <x v="2"/>
    <x v="2"/>
    <n v="453"/>
    <x v="7"/>
    <x v="451"/>
    <x v="166"/>
    <x v="441"/>
    <n v="453"/>
    <x v="2"/>
    <d v="2025-07-17T00:00:00"/>
    <n v="2"/>
    <n v="81"/>
    <n v="90"/>
    <x v="1"/>
    <n v="196.95399999999998"/>
    <n v="0.05"/>
    <n v="984.76999999999987"/>
    <n v="358.43000000000006"/>
  </r>
  <r>
    <n v="453"/>
    <d v="2023-09-29T00:00:00"/>
    <d v="1900-01-25T00:00:00"/>
    <n v="9"/>
    <x v="0"/>
    <s v="Male"/>
    <x v="2"/>
    <d v="2023-09-29T00:00:00"/>
    <n v="29"/>
    <x v="0"/>
    <x v="0"/>
    <x v="0"/>
    <n v="454"/>
    <x v="3"/>
    <x v="452"/>
    <x v="290"/>
    <x v="442"/>
    <n v="454"/>
    <x v="11"/>
    <d v="2023-05-03T00:00:00"/>
    <n v="3"/>
    <n v="139"/>
    <n v="11"/>
    <x v="0"/>
    <n v="490"/>
    <n v="0.2"/>
    <n v="490"/>
    <n v="245"/>
  </r>
  <r>
    <n v="454"/>
    <d v="2025-05-11T00:00:00"/>
    <d v="1900-01-06T00:00:00"/>
    <n v="10"/>
    <x v="26"/>
    <s v="Female"/>
    <x v="2"/>
    <d v="2025-05-11T00:00:00"/>
    <n v="11"/>
    <x v="3"/>
    <x v="2"/>
    <x v="2"/>
    <n v="455"/>
    <x v="8"/>
    <x v="453"/>
    <x v="291"/>
    <x v="443"/>
    <n v="455"/>
    <x v="3"/>
    <d v="2025-06-19T00:00:00"/>
    <n v="7"/>
    <n v="195"/>
    <n v="40"/>
    <x v="0"/>
    <n v="605.76"/>
    <n v="0.2"/>
    <n v="605.76"/>
    <n v="277.63999999999987"/>
  </r>
  <r>
    <n v="455"/>
    <d v="2024-02-28T00:00:00"/>
    <d v="1900-01-20T00:00:00"/>
    <n v="3"/>
    <x v="108"/>
    <s v="Female"/>
    <x v="2"/>
    <d v="2024-02-28T00:00:00"/>
    <n v="28"/>
    <x v="1"/>
    <x v="1"/>
    <x v="1"/>
    <n v="456"/>
    <x v="8"/>
    <x v="454"/>
    <x v="190"/>
    <x v="444"/>
    <n v="456"/>
    <x v="10"/>
    <d v="2025-09-18T00:00:00"/>
    <n v="8"/>
    <n v="14"/>
    <n v="43"/>
    <x v="3"/>
    <n v="98.191999999999979"/>
    <n v="0.05"/>
    <n v="196.38399999999996"/>
    <n v="65.055999999999983"/>
  </r>
  <r>
    <n v="456"/>
    <d v="2024-03-02T00:00:00"/>
    <d v="1900-01-20T00:00:00"/>
    <n v="4"/>
    <x v="23"/>
    <s v="Female"/>
    <x v="1"/>
    <d v="2024-03-02T00:00:00"/>
    <n v="2"/>
    <x v="8"/>
    <x v="1"/>
    <x v="1"/>
    <n v="457"/>
    <x v="3"/>
    <x v="455"/>
    <x v="158"/>
    <x v="445"/>
    <n v="457"/>
    <x v="9"/>
    <d v="2024-02-22T00:00:00"/>
    <n v="6"/>
    <n v="220"/>
    <n v="36"/>
    <x v="0"/>
    <n v="657.72000000000014"/>
    <n v="0.2"/>
    <n v="657.72000000000014"/>
    <n v="377.58000000000004"/>
  </r>
  <r>
    <n v="457"/>
    <d v="2023-06-22T00:00:00"/>
    <d v="1900-01-29T00:00:00"/>
    <n v="9"/>
    <x v="79"/>
    <s v="Male"/>
    <x v="3"/>
    <d v="2023-06-22T00:00:00"/>
    <n v="22"/>
    <x v="9"/>
    <x v="0"/>
    <x v="0"/>
    <n v="458"/>
    <x v="7"/>
    <x v="456"/>
    <x v="64"/>
    <x v="446"/>
    <n v="458"/>
    <x v="6"/>
    <d v="2023-10-22T00:00:00"/>
    <n v="6"/>
    <n v="83"/>
    <n v="46"/>
    <x v="0"/>
    <n v="69.12"/>
    <n v="0"/>
    <n v="69.12"/>
    <n v="21.120000000000005"/>
  </r>
  <r>
    <n v="458"/>
    <d v="2024-09-20T00:00:00"/>
    <d v="1900-01-14T00:00:00"/>
    <n v="2"/>
    <x v="43"/>
    <s v="Male"/>
    <x v="0"/>
    <d v="2024-09-20T00:00:00"/>
    <n v="20"/>
    <x v="0"/>
    <x v="1"/>
    <x v="2"/>
    <n v="459"/>
    <x v="8"/>
    <x v="457"/>
    <x v="292"/>
    <x v="447"/>
    <n v="459"/>
    <x v="6"/>
    <d v="2024-10-15T00:00:00"/>
    <n v="6"/>
    <n v="21"/>
    <n v="46"/>
    <x v="0"/>
    <n v="410.88000000000005"/>
    <n v="0.2"/>
    <n v="410.88000000000005"/>
    <n v="188.32000000000005"/>
  </r>
  <r>
    <n v="459"/>
    <d v="2025-05-11T00:00:00"/>
    <d v="1900-01-06T00:00:00"/>
    <n v="10"/>
    <x v="26"/>
    <s v="Female"/>
    <x v="2"/>
    <d v="2025-05-11T00:00:00"/>
    <n v="11"/>
    <x v="3"/>
    <x v="2"/>
    <x v="2"/>
    <n v="460"/>
    <x v="4"/>
    <x v="458"/>
    <x v="200"/>
    <x v="448"/>
    <n v="460"/>
    <x v="0"/>
    <d v="2025-03-27T00:00:00"/>
    <n v="3"/>
    <n v="97"/>
    <n v="45"/>
    <x v="0"/>
    <n v="36.58"/>
    <n v="0"/>
    <n v="36.58"/>
    <n v="5.5799999999999983"/>
  </r>
  <r>
    <n v="460"/>
    <d v="2023-06-10T00:00:00"/>
    <d v="1900-01-29T00:00:00"/>
    <n v="8"/>
    <x v="81"/>
    <s v="Male"/>
    <x v="2"/>
    <d v="2023-06-10T00:00:00"/>
    <n v="10"/>
    <x v="9"/>
    <x v="0"/>
    <x v="0"/>
    <n v="461"/>
    <x v="0"/>
    <x v="459"/>
    <x v="293"/>
    <x v="449"/>
    <n v="461"/>
    <x v="8"/>
    <d v="2025-01-28T00:00:00"/>
    <n v="2"/>
    <n v="129"/>
    <n v="98"/>
    <x v="3"/>
    <n v="400.85249999999996"/>
    <n v="0.05"/>
    <n v="801.70499999999993"/>
    <n v="304.09500000000003"/>
  </r>
  <r>
    <n v="461"/>
    <d v="2025-04-21T00:00:00"/>
    <d v="1900-01-07T00:00:00"/>
    <n v="2"/>
    <x v="17"/>
    <s v="Male"/>
    <x v="1"/>
    <d v="2025-04-21T00:00:00"/>
    <n v="21"/>
    <x v="10"/>
    <x v="2"/>
    <x v="2"/>
    <n v="462"/>
    <x v="0"/>
    <x v="460"/>
    <x v="294"/>
    <x v="450"/>
    <n v="462"/>
    <x v="6"/>
    <d v="2024-10-15T00:00:00"/>
    <n v="4"/>
    <n v="182"/>
    <n v="23"/>
    <x v="0"/>
    <n v="293.15100000000001"/>
    <n v="0.05"/>
    <n v="293.15100000000001"/>
    <n v="46.009000000000071"/>
  </r>
  <r>
    <n v="462"/>
    <d v="2025-05-11T00:00:00"/>
    <d v="1900-01-06T00:00:00"/>
    <n v="10"/>
    <x v="26"/>
    <s v="Female"/>
    <x v="2"/>
    <d v="2025-05-11T00:00:00"/>
    <n v="11"/>
    <x v="3"/>
    <x v="2"/>
    <x v="2"/>
    <n v="463"/>
    <x v="1"/>
    <x v="461"/>
    <x v="0"/>
    <x v="451"/>
    <n v="463"/>
    <x v="1"/>
    <d v="2025-08-13T00:00:00"/>
    <n v="2"/>
    <n v="65"/>
    <n v="83"/>
    <x v="0"/>
    <n v="366.01600000000002"/>
    <n v="0.05"/>
    <n v="366.01600000000002"/>
    <n v="103.54400000000004"/>
  </r>
  <r>
    <n v="463"/>
    <d v="2024-08-24T00:00:00"/>
    <d v="1900-01-14T00:00:00"/>
    <n v="1"/>
    <x v="114"/>
    <s v="Male"/>
    <x v="1"/>
    <d v="2024-08-24T00:00:00"/>
    <n v="24"/>
    <x v="11"/>
    <x v="1"/>
    <x v="2"/>
    <n v="464"/>
    <x v="1"/>
    <x v="462"/>
    <x v="295"/>
    <x v="452"/>
    <n v="464"/>
    <x v="2"/>
    <d v="2024-07-01T00:00:00"/>
    <n v="8"/>
    <n v="103"/>
    <n v="48"/>
    <x v="0"/>
    <n v="271.36749999999995"/>
    <n v="0.05"/>
    <n v="271.36749999999995"/>
    <n v="102.9325"/>
  </r>
  <r>
    <n v="464"/>
    <d v="2025-04-03T00:00:00"/>
    <d v="1900-01-07T00:00:00"/>
    <n v="12"/>
    <x v="22"/>
    <s v="Male"/>
    <x v="3"/>
    <d v="2025-04-03T00:00:00"/>
    <n v="3"/>
    <x v="10"/>
    <x v="2"/>
    <x v="2"/>
    <n v="465"/>
    <x v="3"/>
    <x v="463"/>
    <x v="188"/>
    <x v="453"/>
    <n v="465"/>
    <x v="11"/>
    <d v="2024-05-22T00:00:00"/>
    <n v="3"/>
    <n v="11"/>
    <n v="99"/>
    <x v="0"/>
    <n v="425.64749999999998"/>
    <n v="0.05"/>
    <n v="425.64749999999998"/>
    <n v="161.45250000000004"/>
  </r>
  <r>
    <n v="465"/>
    <d v="2025-01-08T00:00:00"/>
    <d v="1900-01-10T00:00:00"/>
    <n v="5"/>
    <x v="95"/>
    <s v="Female"/>
    <x v="1"/>
    <d v="2025-01-08T00:00:00"/>
    <n v="8"/>
    <x v="5"/>
    <x v="2"/>
    <x v="2"/>
    <n v="466"/>
    <x v="1"/>
    <x v="464"/>
    <x v="176"/>
    <x v="454"/>
    <n v="466"/>
    <x v="2"/>
    <d v="2023-07-18T00:00:00"/>
    <n v="1"/>
    <n v="155"/>
    <n v="79"/>
    <x v="0"/>
    <n v="326.83799999999997"/>
    <n v="0.05"/>
    <n v="326.83799999999997"/>
    <n v="117.24199999999996"/>
  </r>
  <r>
    <n v="466"/>
    <d v="2025-04-22T00:00:00"/>
    <d v="1900-01-07T00:00:00"/>
    <n v="2"/>
    <x v="34"/>
    <s v="Female"/>
    <x v="2"/>
    <d v="2025-04-22T00:00:00"/>
    <n v="22"/>
    <x v="10"/>
    <x v="2"/>
    <x v="2"/>
    <n v="467"/>
    <x v="4"/>
    <x v="465"/>
    <x v="296"/>
    <x v="455"/>
    <n v="467"/>
    <x v="1"/>
    <d v="2024-08-17T00:00:00"/>
    <n v="7"/>
    <n v="1"/>
    <n v="85"/>
    <x v="0"/>
    <n v="35.099999999999994"/>
    <n v="0"/>
    <n v="35.099999999999994"/>
    <n v="5.0999999999999943"/>
  </r>
  <r>
    <n v="467"/>
    <d v="2023-01-10T00:00:00"/>
    <d v="1900-02-03T00:00:00"/>
    <n v="6"/>
    <x v="27"/>
    <s v="Female"/>
    <x v="2"/>
    <d v="2023-01-10T00:00:00"/>
    <n v="10"/>
    <x v="5"/>
    <x v="0"/>
    <x v="1"/>
    <n v="468"/>
    <x v="3"/>
    <x v="466"/>
    <x v="297"/>
    <x v="456"/>
    <n v="468"/>
    <x v="11"/>
    <d v="2025-05-06T00:00:00"/>
    <n v="4"/>
    <n v="182"/>
    <n v="46"/>
    <x v="0"/>
    <n v="417.96000000000004"/>
    <n v="0.2"/>
    <n v="417.96000000000004"/>
    <n v="221.94000000000005"/>
  </r>
  <r>
    <n v="468"/>
    <d v="2023-07-09T00:00:00"/>
    <d v="1900-01-28T00:00:00"/>
    <n v="11"/>
    <x v="47"/>
    <s v="Female"/>
    <x v="1"/>
    <d v="2023-07-09T00:00:00"/>
    <n v="9"/>
    <x v="2"/>
    <x v="0"/>
    <x v="3"/>
    <n v="469"/>
    <x v="4"/>
    <x v="467"/>
    <x v="258"/>
    <x v="457"/>
    <n v="469"/>
    <x v="5"/>
    <d v="2023-11-24T00:00:00"/>
    <n v="6"/>
    <n v="134"/>
    <n v="63"/>
    <x v="0"/>
    <n v="157.5"/>
    <n v="0"/>
    <n v="157.5"/>
    <n v="32.5"/>
  </r>
  <r>
    <n v="469"/>
    <d v="2024-07-13T00:00:00"/>
    <d v="1900-01-16T00:00:00"/>
    <n v="6"/>
    <x v="7"/>
    <s v="Male"/>
    <x v="1"/>
    <d v="2024-07-13T00:00:00"/>
    <n v="13"/>
    <x v="2"/>
    <x v="1"/>
    <x v="1"/>
    <n v="470"/>
    <x v="7"/>
    <x v="468"/>
    <x v="86"/>
    <x v="458"/>
    <n v="470"/>
    <x v="6"/>
    <d v="2024-10-02T00:00:00"/>
    <n v="4"/>
    <n v="20"/>
    <n v="21"/>
    <x v="3"/>
    <n v="54.919499999999999"/>
    <n v="0.05"/>
    <n v="109.839"/>
    <n v="27.40100000000001"/>
  </r>
  <r>
    <n v="470"/>
    <d v="2023-06-22T00:00:00"/>
    <d v="1900-01-29T00:00:00"/>
    <n v="9"/>
    <x v="79"/>
    <s v="Male"/>
    <x v="3"/>
    <d v="2023-06-22T00:00:00"/>
    <n v="22"/>
    <x v="9"/>
    <x v="0"/>
    <x v="0"/>
    <n v="471"/>
    <x v="8"/>
    <x v="469"/>
    <x v="183"/>
    <x v="459"/>
    <n v="471"/>
    <x v="5"/>
    <d v="2023-11-23T00:00:00"/>
    <n v="8"/>
    <n v="92"/>
    <n v="48"/>
    <x v="0"/>
    <n v="64.48"/>
    <n v="0"/>
    <n v="64.48"/>
    <n v="12.480000000000004"/>
  </r>
  <r>
    <n v="471"/>
    <d v="2025-11-11T00:00:00"/>
    <d v="1899-12-31T00:00:00"/>
    <n v="5"/>
    <x v="49"/>
    <s v="Female"/>
    <x v="0"/>
    <d v="2025-11-11T00:00:00"/>
    <n v="11"/>
    <x v="4"/>
    <x v="2"/>
    <x v="2"/>
    <n v="472"/>
    <x v="5"/>
    <x v="470"/>
    <x v="59"/>
    <x v="460"/>
    <n v="472"/>
    <x v="1"/>
    <d v="2025-08-14T00:00:00"/>
    <n v="8"/>
    <n v="25"/>
    <n v="16"/>
    <x v="3"/>
    <n v="19.38"/>
    <n v="0.05"/>
    <n v="38.76"/>
    <n v="12.839999999999996"/>
  </r>
  <r>
    <n v="472"/>
    <d v="2023-06-22T00:00:00"/>
    <d v="1900-01-29T00:00:00"/>
    <n v="9"/>
    <x v="79"/>
    <s v="Male"/>
    <x v="3"/>
    <d v="2023-06-22T00:00:00"/>
    <n v="22"/>
    <x v="9"/>
    <x v="0"/>
    <x v="0"/>
    <n v="473"/>
    <x v="5"/>
    <x v="471"/>
    <x v="298"/>
    <x v="461"/>
    <n v="473"/>
    <x v="10"/>
    <d v="2024-09-23T00:00:00"/>
    <n v="8"/>
    <n v="96"/>
    <n v="65"/>
    <x v="0"/>
    <n v="75.06"/>
    <n v="0"/>
    <n v="75.06"/>
    <n v="21.060000000000002"/>
  </r>
  <r>
    <n v="473"/>
    <d v="2023-03-24T00:00:00"/>
    <d v="1900-01-31T00:00:00"/>
    <n v="2"/>
    <x v="115"/>
    <s v="Male"/>
    <x v="1"/>
    <d v="2023-03-24T00:00:00"/>
    <n v="24"/>
    <x v="8"/>
    <x v="0"/>
    <x v="2"/>
    <n v="474"/>
    <x v="6"/>
    <x v="472"/>
    <x v="59"/>
    <x v="462"/>
    <n v="474"/>
    <x v="9"/>
    <d v="2023-02-17T00:00:00"/>
    <n v="2"/>
    <n v="157"/>
    <n v="23"/>
    <x v="0"/>
    <n v="19.2"/>
    <n v="0"/>
    <n v="19.2"/>
    <n v="4.1999999999999993"/>
  </r>
  <r>
    <n v="474"/>
    <d v="2023-04-14T00:00:00"/>
    <d v="1900-01-31T00:00:00"/>
    <n v="10"/>
    <x v="18"/>
    <s v="Male"/>
    <x v="3"/>
    <d v="2023-04-14T00:00:00"/>
    <n v="14"/>
    <x v="10"/>
    <x v="0"/>
    <x v="3"/>
    <n v="475"/>
    <x v="5"/>
    <x v="473"/>
    <x v="299"/>
    <x v="463"/>
    <n v="475"/>
    <x v="0"/>
    <d v="2025-03-16T00:00:00"/>
    <n v="8"/>
    <n v="195"/>
    <n v="45"/>
    <x v="0"/>
    <n v="136.24"/>
    <n v="0"/>
    <n v="136.24"/>
    <n v="32.240000000000009"/>
  </r>
  <r>
    <n v="475"/>
    <d v="2025-11-07T00:00:00"/>
    <d v="1899-12-31T00:00:00"/>
    <n v="14"/>
    <x v="6"/>
    <s v="Male"/>
    <x v="0"/>
    <d v="2025-11-07T00:00:00"/>
    <n v="7"/>
    <x v="4"/>
    <x v="2"/>
    <x v="2"/>
    <n v="476"/>
    <x v="5"/>
    <x v="474"/>
    <x v="300"/>
    <x v="464"/>
    <n v="476"/>
    <x v="11"/>
    <d v="2024-05-08T00:00:00"/>
    <n v="4"/>
    <n v="208"/>
    <n v="46"/>
    <x v="0"/>
    <n v="122.32000000000001"/>
    <n v="0"/>
    <n v="122.32000000000001"/>
    <n v="34.320000000000007"/>
  </r>
  <r>
    <n v="476"/>
    <d v="2023-03-24T00:00:00"/>
    <d v="1900-01-31T00:00:00"/>
    <n v="2"/>
    <x v="115"/>
    <s v="Female"/>
    <x v="1"/>
    <d v="2023-03-24T00:00:00"/>
    <n v="24"/>
    <x v="8"/>
    <x v="0"/>
    <x v="2"/>
    <n v="477"/>
    <x v="8"/>
    <x v="475"/>
    <x v="301"/>
    <x v="465"/>
    <n v="477"/>
    <x v="4"/>
    <d v="2024-12-23T00:00:00"/>
    <n v="1"/>
    <n v="78"/>
    <n v="30"/>
    <x v="0"/>
    <n v="405.39350000000002"/>
    <n v="0.05"/>
    <n v="405.39350000000002"/>
    <n v="141.06650000000002"/>
  </r>
  <r>
    <n v="477"/>
    <d v="2025-11-11T00:00:00"/>
    <d v="1899-12-31T00:00:00"/>
    <n v="5"/>
    <x v="49"/>
    <s v="Male"/>
    <x v="0"/>
    <d v="2025-11-11T00:00:00"/>
    <n v="11"/>
    <x v="4"/>
    <x v="2"/>
    <x v="2"/>
    <n v="478"/>
    <x v="8"/>
    <x v="476"/>
    <x v="302"/>
    <x v="466"/>
    <n v="478"/>
    <x v="7"/>
    <d v="2023-04-14T00:00:00"/>
    <n v="5"/>
    <n v="175"/>
    <n v="39"/>
    <x v="0"/>
    <n v="554.4"/>
    <n v="0.2"/>
    <n v="554.4"/>
    <n v="201.60000000000002"/>
  </r>
  <r>
    <n v="478"/>
    <d v="2024-06-06T00:00:00"/>
    <d v="1900-01-17T00:00:00"/>
    <n v="6"/>
    <x v="15"/>
    <s v="Male"/>
    <x v="0"/>
    <d v="2024-06-06T00:00:00"/>
    <n v="6"/>
    <x v="9"/>
    <x v="1"/>
    <x v="1"/>
    <n v="479"/>
    <x v="3"/>
    <x v="477"/>
    <x v="53"/>
    <x v="467"/>
    <n v="479"/>
    <x v="6"/>
    <d v="2025-10-10T00:00:00"/>
    <n v="8"/>
    <n v="76"/>
    <n v="60"/>
    <x v="2"/>
    <n v="167.029"/>
    <n v="0.05"/>
    <n v="501.08699999999999"/>
    <n v="199.83299999999997"/>
  </r>
  <r>
    <n v="479"/>
    <d v="2024-03-25T00:00:00"/>
    <d v="1900-01-19T00:00:00"/>
    <n v="8"/>
    <x v="25"/>
    <s v="Male"/>
    <x v="3"/>
    <d v="2024-03-25T00:00:00"/>
    <n v="25"/>
    <x v="8"/>
    <x v="1"/>
    <x v="0"/>
    <n v="480"/>
    <x v="7"/>
    <x v="478"/>
    <x v="303"/>
    <x v="468"/>
    <n v="480"/>
    <x v="1"/>
    <d v="2024-08-08T00:00:00"/>
    <n v="1"/>
    <n v="138"/>
    <n v="88"/>
    <x v="0"/>
    <n v="109.8"/>
    <n v="0"/>
    <n v="109.8"/>
    <n v="19.799999999999997"/>
  </r>
  <r>
    <n v="480"/>
    <d v="2023-05-27T00:00:00"/>
    <d v="1900-01-29T00:00:00"/>
    <n v="6"/>
    <x v="20"/>
    <s v="Female"/>
    <x v="1"/>
    <d v="2023-05-27T00:00:00"/>
    <n v="27"/>
    <x v="3"/>
    <x v="0"/>
    <x v="1"/>
    <n v="481"/>
    <x v="4"/>
    <x v="479"/>
    <x v="150"/>
    <x v="469"/>
    <n v="481"/>
    <x v="1"/>
    <d v="2023-08-09T00:00:00"/>
    <n v="7"/>
    <n v="152"/>
    <n v="27"/>
    <x v="3"/>
    <n v="232.74999999999997"/>
    <n v="0.05"/>
    <n v="465.49999999999994"/>
    <n v="164.5"/>
  </r>
  <r>
    <n v="481"/>
    <d v="2023-07-16T00:00:00"/>
    <d v="1900-01-28T00:00:00"/>
    <n v="4"/>
    <x v="98"/>
    <s v="Female"/>
    <x v="0"/>
    <d v="2023-07-16T00:00:00"/>
    <n v="16"/>
    <x v="2"/>
    <x v="0"/>
    <x v="1"/>
    <n v="482"/>
    <x v="4"/>
    <x v="480"/>
    <x v="64"/>
    <x v="470"/>
    <n v="482"/>
    <x v="6"/>
    <d v="2023-10-02T00:00:00"/>
    <n v="5"/>
    <n v="97"/>
    <n v="42"/>
    <x v="0"/>
    <n v="58.56"/>
    <n v="0"/>
    <n v="58.56"/>
    <n v="10.560000000000002"/>
  </r>
  <r>
    <n v="482"/>
    <d v="2025-10-23T00:00:00"/>
    <d v="1899-12-31T00:00:00"/>
    <n v="1"/>
    <x v="116"/>
    <s v="Male"/>
    <x v="0"/>
    <d v="2025-10-23T00:00:00"/>
    <n v="23"/>
    <x v="6"/>
    <x v="2"/>
    <x v="2"/>
    <n v="483"/>
    <x v="7"/>
    <x v="481"/>
    <x v="189"/>
    <x v="471"/>
    <n v="483"/>
    <x v="8"/>
    <d v="2025-01-19T00:00:00"/>
    <n v="7"/>
    <n v="186"/>
    <n v="19"/>
    <x v="0"/>
    <n v="175.45"/>
    <n v="0"/>
    <n v="175.45"/>
    <n v="54.449999999999989"/>
  </r>
  <r>
    <n v="483"/>
    <d v="2024-06-17T00:00:00"/>
    <d v="1900-01-17T00:00:00"/>
    <n v="10"/>
    <x v="35"/>
    <s v="Male"/>
    <x v="0"/>
    <d v="2024-06-17T00:00:00"/>
    <n v="17"/>
    <x v="9"/>
    <x v="1"/>
    <x v="0"/>
    <n v="484"/>
    <x v="0"/>
    <x v="482"/>
    <x v="258"/>
    <x v="472"/>
    <n v="484"/>
    <x v="8"/>
    <d v="2025-01-19T00:00:00"/>
    <n v="1"/>
    <n v="175"/>
    <n v="80"/>
    <x v="0"/>
    <n v="140"/>
    <n v="0"/>
    <n v="140"/>
    <n v="15"/>
  </r>
  <r>
    <n v="484"/>
    <d v="2023-12-06T00:00:00"/>
    <d v="1900-01-23T00:00:00"/>
    <n v="1"/>
    <x v="117"/>
    <s v="Female"/>
    <x v="3"/>
    <d v="2023-12-06T00:00:00"/>
    <n v="6"/>
    <x v="7"/>
    <x v="0"/>
    <x v="2"/>
    <n v="485"/>
    <x v="4"/>
    <x v="483"/>
    <x v="75"/>
    <x v="473"/>
    <n v="485"/>
    <x v="0"/>
    <d v="2025-03-31T00:00:00"/>
    <n v="1"/>
    <n v="172"/>
    <n v="21"/>
    <x v="0"/>
    <n v="252.21549999999999"/>
    <n v="0.05"/>
    <n v="252.21549999999999"/>
    <n v="87.764499999999998"/>
  </r>
  <r>
    <n v="485"/>
    <d v="2024-04-23T00:00:00"/>
    <d v="1900-01-18T00:00:00"/>
    <n v="13"/>
    <x v="40"/>
    <s v="Male"/>
    <x v="0"/>
    <d v="2024-04-23T00:00:00"/>
    <n v="23"/>
    <x v="10"/>
    <x v="1"/>
    <x v="0"/>
    <n v="486"/>
    <x v="1"/>
    <x v="484"/>
    <x v="304"/>
    <x v="474"/>
    <n v="486"/>
    <x v="9"/>
    <d v="2024-02-03T00:00:00"/>
    <n v="6"/>
    <n v="83"/>
    <n v="39"/>
    <x v="0"/>
    <n v="467.43200000000002"/>
    <n v="0.2"/>
    <n v="467.43200000000002"/>
    <n v="210.14799999999991"/>
  </r>
  <r>
    <n v="486"/>
    <d v="2025-12-22T00:00:00"/>
    <d v="1899-12-30T00:00:00"/>
    <n v="4"/>
    <x v="66"/>
    <s v="Female"/>
    <x v="3"/>
    <d v="2025-12-22T00:00:00"/>
    <n v="22"/>
    <x v="7"/>
    <x v="2"/>
    <x v="2"/>
    <n v="487"/>
    <x v="2"/>
    <x v="485"/>
    <x v="232"/>
    <x v="475"/>
    <n v="487"/>
    <x v="1"/>
    <d v="2024-08-14T00:00:00"/>
    <n v="2"/>
    <n v="35"/>
    <n v="57"/>
    <x v="0"/>
    <n v="224.46599999999998"/>
    <n v="0.05"/>
    <n v="224.46599999999998"/>
    <n v="69.094000000000023"/>
  </r>
  <r>
    <n v="487"/>
    <d v="2024-03-02T00:00:00"/>
    <d v="1900-01-20T00:00:00"/>
    <n v="4"/>
    <x v="23"/>
    <s v="Male"/>
    <x v="1"/>
    <d v="2024-03-02T00:00:00"/>
    <n v="2"/>
    <x v="8"/>
    <x v="1"/>
    <x v="1"/>
    <n v="488"/>
    <x v="0"/>
    <x v="486"/>
    <x v="239"/>
    <x v="476"/>
    <n v="488"/>
    <x v="0"/>
    <d v="2025-03-02T00:00:00"/>
    <n v="8"/>
    <n v="188"/>
    <n v="35"/>
    <x v="0"/>
    <n v="107.35"/>
    <n v="0"/>
    <n v="107.35"/>
    <n v="12.349999999999994"/>
  </r>
  <r>
    <n v="488"/>
    <d v="2025-05-11T00:00:00"/>
    <d v="1900-01-06T00:00:00"/>
    <n v="10"/>
    <x v="26"/>
    <s v="Male"/>
    <x v="2"/>
    <d v="2025-05-11T00:00:00"/>
    <n v="11"/>
    <x v="3"/>
    <x v="2"/>
    <x v="2"/>
    <n v="489"/>
    <x v="8"/>
    <x v="487"/>
    <x v="299"/>
    <x v="477"/>
    <n v="489"/>
    <x v="2"/>
    <d v="2024-07-26T00:00:00"/>
    <n v="2"/>
    <n v="133"/>
    <n v="17"/>
    <x v="0"/>
    <n v="120.63999999999999"/>
    <n v="0"/>
    <n v="120.63999999999999"/>
    <n v="16.639999999999986"/>
  </r>
  <r>
    <n v="489"/>
    <d v="2024-02-28T00:00:00"/>
    <d v="1900-01-20T00:00:00"/>
    <n v="3"/>
    <x v="108"/>
    <s v="Male"/>
    <x v="2"/>
    <d v="2024-02-28T00:00:00"/>
    <n v="28"/>
    <x v="1"/>
    <x v="1"/>
    <x v="1"/>
    <n v="490"/>
    <x v="3"/>
    <x v="488"/>
    <x v="305"/>
    <x v="478"/>
    <n v="490"/>
    <x v="10"/>
    <d v="2023-09-21T00:00:00"/>
    <n v="2"/>
    <n v="26"/>
    <n v="61"/>
    <x v="0"/>
    <n v="527.13600000000008"/>
    <n v="0.2"/>
    <n v="527.13600000000008"/>
    <n v="212.70400000000006"/>
  </r>
  <r>
    <n v="490"/>
    <d v="2024-06-29T00:00:00"/>
    <d v="1900-01-16T00:00:00"/>
    <n v="7"/>
    <x v="80"/>
    <s v="Female"/>
    <x v="1"/>
    <d v="2024-06-29T00:00:00"/>
    <n v="29"/>
    <x v="9"/>
    <x v="1"/>
    <x v="1"/>
    <n v="491"/>
    <x v="5"/>
    <x v="489"/>
    <x v="112"/>
    <x v="479"/>
    <n v="491"/>
    <x v="0"/>
    <d v="2025-03-17T00:00:00"/>
    <n v="6"/>
    <n v="5"/>
    <n v="42"/>
    <x v="3"/>
    <n v="52.601499999999994"/>
    <n v="0.05"/>
    <n v="105.20299999999999"/>
    <n v="18.277000000000001"/>
  </r>
  <r>
    <n v="491"/>
    <d v="2023-04-05T00:00:00"/>
    <d v="1900-01-31T00:00:00"/>
    <n v="2"/>
    <x v="96"/>
    <s v="Female"/>
    <x v="3"/>
    <d v="2023-04-05T00:00:00"/>
    <n v="5"/>
    <x v="10"/>
    <x v="0"/>
    <x v="2"/>
    <n v="492"/>
    <x v="0"/>
    <x v="490"/>
    <x v="252"/>
    <x v="480"/>
    <n v="492"/>
    <x v="5"/>
    <d v="2024-11-25T00:00:00"/>
    <n v="6"/>
    <n v="104"/>
    <n v="4"/>
    <x v="3"/>
    <n v="177.84"/>
    <n v="0.05"/>
    <n v="355.68"/>
    <n v="105.12000000000006"/>
  </r>
  <r>
    <n v="492"/>
    <d v="2023-06-04T00:00:00"/>
    <d v="1900-01-29T00:00:00"/>
    <n v="4"/>
    <x v="33"/>
    <s v="Female"/>
    <x v="0"/>
    <d v="2023-06-04T00:00:00"/>
    <n v="4"/>
    <x v="9"/>
    <x v="0"/>
    <x v="1"/>
    <n v="493"/>
    <x v="1"/>
    <x v="491"/>
    <x v="50"/>
    <x v="481"/>
    <n v="493"/>
    <x v="6"/>
    <d v="2023-10-23T00:00:00"/>
    <n v="4"/>
    <n v="167"/>
    <n v="94"/>
    <x v="0"/>
    <n v="210.67199999999997"/>
    <n v="0.05"/>
    <n v="210.67199999999997"/>
    <n v="56.848000000000013"/>
  </r>
  <r>
    <n v="493"/>
    <d v="2024-05-01T00:00:00"/>
    <d v="1900-01-18T00:00:00"/>
    <n v="3"/>
    <x v="109"/>
    <s v="Female"/>
    <x v="2"/>
    <d v="2024-05-01T00:00:00"/>
    <n v="1"/>
    <x v="3"/>
    <x v="1"/>
    <x v="1"/>
    <n v="494"/>
    <x v="6"/>
    <x v="492"/>
    <x v="67"/>
    <x v="482"/>
    <n v="494"/>
    <x v="5"/>
    <d v="2025-11-08T00:00:00"/>
    <n v="7"/>
    <n v="134"/>
    <n v="55"/>
    <x v="0"/>
    <n v="170.5"/>
    <n v="0"/>
    <n v="170.5"/>
    <n v="15.5"/>
  </r>
  <r>
    <n v="494"/>
    <d v="2024-12-28T00:00:00"/>
    <d v="1900-01-10T00:00:00"/>
    <n v="8"/>
    <x v="41"/>
    <s v="Male"/>
    <x v="1"/>
    <d v="2024-12-28T00:00:00"/>
    <n v="28"/>
    <x v="7"/>
    <x v="1"/>
    <x v="2"/>
    <n v="495"/>
    <x v="5"/>
    <x v="493"/>
    <x v="129"/>
    <x v="483"/>
    <n v="495"/>
    <x v="6"/>
    <d v="2025-10-21T00:00:00"/>
    <n v="1"/>
    <n v="188"/>
    <n v="83"/>
    <x v="0"/>
    <n v="76.45"/>
    <n v="0"/>
    <n v="76.45"/>
    <n v="21.450000000000003"/>
  </r>
  <r>
    <n v="495"/>
    <d v="2024-06-17T00:00:00"/>
    <d v="1900-01-17T00:00:00"/>
    <n v="10"/>
    <x v="35"/>
    <s v="Male"/>
    <x v="0"/>
    <d v="2024-06-17T00:00:00"/>
    <n v="17"/>
    <x v="9"/>
    <x v="1"/>
    <x v="0"/>
    <n v="496"/>
    <x v="6"/>
    <x v="494"/>
    <x v="88"/>
    <x v="484"/>
    <n v="496"/>
    <x v="7"/>
    <d v="2023-04-03T00:00:00"/>
    <n v="1"/>
    <n v="23"/>
    <n v="34"/>
    <x v="2"/>
    <n v="72.731999999999985"/>
    <n v="0.05"/>
    <n v="218.19599999999997"/>
    <n v="43.163999999999973"/>
  </r>
  <r>
    <n v="496"/>
    <d v="2023-04-14T00:00:00"/>
    <d v="1900-01-31T00:00:00"/>
    <n v="10"/>
    <x v="18"/>
    <s v="Female"/>
    <x v="3"/>
    <d v="2023-04-14T00:00:00"/>
    <n v="14"/>
    <x v="10"/>
    <x v="0"/>
    <x v="3"/>
    <n v="497"/>
    <x v="0"/>
    <x v="495"/>
    <x v="18"/>
    <x v="485"/>
    <n v="497"/>
    <x v="6"/>
    <d v="2023-10-08T00:00:00"/>
    <n v="6"/>
    <n v="135"/>
    <n v="68"/>
    <x v="0"/>
    <n v="151.19999999999999"/>
    <n v="0"/>
    <n v="151.19999999999999"/>
    <n v="25.199999999999989"/>
  </r>
  <r>
    <n v="497"/>
    <d v="2025-12-03T00:00:00"/>
    <d v="1899-12-30T00:00:00"/>
    <n v="6"/>
    <x v="48"/>
    <s v="Female"/>
    <x v="0"/>
    <d v="2025-12-03T00:00:00"/>
    <n v="3"/>
    <x v="7"/>
    <x v="2"/>
    <x v="2"/>
    <n v="498"/>
    <x v="3"/>
    <x v="496"/>
    <x v="306"/>
    <x v="486"/>
    <n v="498"/>
    <x v="1"/>
    <d v="2025-08-28T00:00:00"/>
    <n v="8"/>
    <n v="68"/>
    <n v="26"/>
    <x v="0"/>
    <n v="887.5200000000001"/>
    <n v="0.2"/>
    <n v="887.5200000000001"/>
    <n v="471.28"/>
  </r>
  <r>
    <n v="498"/>
    <d v="2024-04-23T00:00:00"/>
    <d v="1900-01-18T00:00:00"/>
    <n v="13"/>
    <x v="40"/>
    <s v="Female"/>
    <x v="0"/>
    <d v="2024-04-23T00:00:00"/>
    <n v="23"/>
    <x v="10"/>
    <x v="1"/>
    <x v="0"/>
    <n v="499"/>
    <x v="2"/>
    <x v="497"/>
    <x v="307"/>
    <x v="487"/>
    <n v="499"/>
    <x v="5"/>
    <d v="2023-11-02T00:00:00"/>
    <n v="3"/>
    <n v="10"/>
    <n v="4"/>
    <x v="0"/>
    <n v="264.32799999999997"/>
    <n v="0.05"/>
    <n v="264.32799999999997"/>
    <n v="104.15200000000004"/>
  </r>
  <r>
    <n v="499"/>
    <d v="2024-04-18T00:00:00"/>
    <d v="1900-01-19T00:00:00"/>
    <n v="7"/>
    <x v="28"/>
    <s v="Female"/>
    <x v="0"/>
    <d v="2024-04-18T00:00:00"/>
    <n v="18"/>
    <x v="10"/>
    <x v="1"/>
    <x v="0"/>
    <n v="500"/>
    <x v="9"/>
    <x v="498"/>
    <x v="141"/>
    <x v="66"/>
    <n v="500"/>
    <x v="5"/>
    <d v="2024-11-02T00:00:00"/>
    <n v="6"/>
    <n v="128"/>
    <n v="68"/>
    <x v="0"/>
    <n v="231.42"/>
    <n v="0.05"/>
    <n v="231.42"/>
    <n v="52.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54441-1255-4555-A6D3-DF3952DEFF2F}" name="PivotTable1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M11:N59" firstHeaderRow="1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numFmtId="165" showAll="0"/>
    <pivotField showAll="0"/>
    <pivotField axis="axisRow" showAll="0">
      <items count="13">
        <item x="5"/>
        <item x="1"/>
        <item x="8"/>
        <item x="10"/>
        <item x="3"/>
        <item x="9"/>
        <item x="2"/>
        <item x="11"/>
        <item x="0"/>
        <item x="6"/>
        <item x="4"/>
        <item x="7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11">
        <item x="7"/>
        <item x="0"/>
        <item x="3"/>
        <item x="5"/>
        <item x="8"/>
        <item x="4"/>
        <item x="1"/>
        <item x="6"/>
        <item x="2"/>
        <item x="9"/>
        <item t="default"/>
      </items>
    </pivotField>
    <pivotField showAll="0"/>
    <pivotField numFmtId="7" showAll="0"/>
    <pivotField numFmtId="7" showAll="0"/>
    <pivotField showAll="0"/>
    <pivotField showAll="0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</pivotField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numFmtId="7" showAll="0"/>
    <pivotField dataField="1" numFmtId="164" showAll="0"/>
  </pivotFields>
  <rowFields count="2">
    <field x="9"/>
    <field x="10"/>
  </rowFields>
  <rowItems count="48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2"/>
    </i>
    <i>
      <x v="11"/>
    </i>
    <i r="1">
      <x/>
    </i>
    <i r="1">
      <x v="1"/>
    </i>
    <i r="1">
      <x v="2"/>
    </i>
    <i t="grand">
      <x/>
    </i>
  </rowItems>
  <colItems count="1">
    <i/>
  </colItems>
  <dataFields count="1">
    <dataField name="Sum of profit_per.sale" fld="27" baseField="0" baseItem="0" numFmtId="166"/>
  </dataFields>
  <formats count="19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3" type="button" dataOnly="0" labelOnly="1" outline="0"/>
    </format>
    <format dxfId="35">
      <pivotArea dataOnly="0" labelOnly="1" outline="0" axis="axisValues" fieldPosition="0"/>
    </format>
    <format dxfId="34">
      <pivotArea field="9" type="button" dataOnly="0" labelOnly="1" outline="0" axis="axisRow" fieldPosition="0"/>
    </format>
    <format dxfId="33">
      <pivotArea dataOnly="0" labelOnly="1" fieldPosition="0">
        <references count="1">
          <reference field="9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2">
          <reference field="9" count="1" selected="0">
            <x v="0"/>
          </reference>
          <reference field="10" count="0"/>
        </references>
      </pivotArea>
    </format>
    <format dxfId="30">
      <pivotArea dataOnly="0" labelOnly="1" fieldPosition="0">
        <references count="2">
          <reference field="9" count="1" selected="0">
            <x v="1"/>
          </reference>
          <reference field="10" count="0"/>
        </references>
      </pivotArea>
    </format>
    <format dxfId="29">
      <pivotArea dataOnly="0" labelOnly="1" fieldPosition="0">
        <references count="2">
          <reference field="9" count="1" selected="0">
            <x v="2"/>
          </reference>
          <reference field="10" count="0"/>
        </references>
      </pivotArea>
    </format>
    <format dxfId="28">
      <pivotArea dataOnly="0" labelOnly="1" fieldPosition="0">
        <references count="2">
          <reference field="9" count="1" selected="0">
            <x v="3"/>
          </reference>
          <reference field="10" count="0"/>
        </references>
      </pivotArea>
    </format>
    <format dxfId="27">
      <pivotArea dataOnly="0" labelOnly="1" fieldPosition="0">
        <references count="2">
          <reference field="9" count="1" selected="0">
            <x v="4"/>
          </reference>
          <reference field="10" count="0"/>
        </references>
      </pivotArea>
    </format>
    <format dxfId="26">
      <pivotArea dataOnly="0" labelOnly="1" fieldPosition="0">
        <references count="2">
          <reference field="9" count="1" selected="0">
            <x v="5"/>
          </reference>
          <reference field="10" count="0"/>
        </references>
      </pivotArea>
    </format>
    <format dxfId="25">
      <pivotArea dataOnly="0" labelOnly="1" fieldPosition="0">
        <references count="2">
          <reference field="9" count="1" selected="0">
            <x v="6"/>
          </reference>
          <reference field="10" count="0"/>
        </references>
      </pivotArea>
    </format>
    <format dxfId="24">
      <pivotArea dataOnly="0" labelOnly="1" fieldPosition="0">
        <references count="2">
          <reference field="9" count="1" selected="0">
            <x v="7"/>
          </reference>
          <reference field="10" count="0"/>
        </references>
      </pivotArea>
    </format>
    <format dxfId="23">
      <pivotArea dataOnly="0" labelOnly="1" fieldPosition="0">
        <references count="2">
          <reference field="9" count="1" selected="0">
            <x v="8"/>
          </reference>
          <reference field="10" count="0"/>
        </references>
      </pivotArea>
    </format>
    <format dxfId="22">
      <pivotArea dataOnly="0" labelOnly="1" fieldPosition="0">
        <references count="2">
          <reference field="9" count="1" selected="0">
            <x v="9"/>
          </reference>
          <reference field="10" count="0"/>
        </references>
      </pivotArea>
    </format>
    <format dxfId="21">
      <pivotArea dataOnly="0" labelOnly="1" fieldPosition="0">
        <references count="2">
          <reference field="9" count="1" selected="0">
            <x v="10"/>
          </reference>
          <reference field="10" count="2">
            <x v="0"/>
            <x v="2"/>
          </reference>
        </references>
      </pivotArea>
    </format>
    <format dxfId="20">
      <pivotArea dataOnly="0" labelOnly="1" fieldPosition="0">
        <references count="2">
          <reference field="9" count="1" selected="0">
            <x v="11"/>
          </reference>
          <reference field="10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38359-258E-4C8F-B9AA-A5A3150A6780}" name="PivotTable2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S4:W15" firstHeaderRow="0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numFmtId="165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11">
        <item x="7"/>
        <item x="0"/>
        <item x="3"/>
        <item x="5"/>
        <item x="8"/>
        <item x="4"/>
        <item x="1"/>
        <item x="6"/>
        <item x="2"/>
        <item x="9"/>
        <item t="default"/>
      </items>
    </pivotField>
    <pivotField showAll="0"/>
    <pivotField dataField="1" numFmtId="7" showAll="0"/>
    <pivotField dataField="1" numFmtId="7" showAll="0"/>
    <pivotField showAll="0"/>
    <pivotField showAll="0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</pivotField>
    <pivotField numFmtId="165" showAll="0"/>
    <pivotField showAll="0"/>
    <pivotField numFmtId="2" showAll="0"/>
    <pivotField showAll="0"/>
    <pivotField dataField="1" showAll="0"/>
    <pivotField numFmtId="7" showAll="0"/>
    <pivotField numFmtId="9" showAll="0"/>
    <pivotField numFmtId="7" showAll="0"/>
    <pivotField dataField="1" numFmtId="164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Sales.quantity" fld="23" subtotal="count" baseField="10" baseItem="0"/>
    <dataField name="Average of Products.cost_price" fld="15" subtotal="average" baseField="13" baseItem="0" numFmtId="166"/>
    <dataField name="Average of Products.selling_price" fld="16" subtotal="average" baseField="13" baseItem="0" numFmtId="166"/>
    <dataField name="Average of profit_per.sale" fld="27" subtotal="average" baseField="13" baseItem="0" numFmtId="166"/>
  </dataFields>
  <formats count="12">
    <format dxfId="50">
      <pivotArea type="all" dataOnly="0" outline="0" fieldPosition="0"/>
    </format>
    <format dxfId="49">
      <pivotArea field="13" type="button" dataOnly="0" labelOnly="1" outline="0" axis="axisRow" fieldPosition="0"/>
    </format>
    <format dxfId="48">
      <pivotArea field="10" type="button" dataOnly="0" labelOnly="1" outline="0"/>
    </format>
    <format dxfId="47">
      <pivotArea dataOnly="0" labelOnly="1" grandRow="1" outline="0" fieldPosition="0"/>
    </format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FE114-7A04-4A27-8247-97CB5F1B3DB9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0:B21" firstHeaderRow="1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showAll="0" measureFilter="1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/>
    <pivotField showAll="0"/>
    <pivotField showAll="0"/>
    <pivotField showAll="0"/>
    <pivotField axis="axisRow" showAll="0" sortType="descending">
      <items count="11">
        <item x="7"/>
        <item x="0"/>
        <item x="3"/>
        <item x="5"/>
        <item x="8"/>
        <item x="4"/>
        <item x="1"/>
        <item x="6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7" showAll="0"/>
    <pivotField numFmtId="7" showAll="0"/>
    <pivotField showAll="0"/>
    <pivotField showAll="0" measureFilter="1" sortType="descending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dataField="1" numFmtId="7" showAll="0"/>
    <pivotField numFmtId="164" showAll="0"/>
  </pivotFields>
  <rowFields count="1">
    <field x="13"/>
  </rowFields>
  <rowItems count="11">
    <i>
      <x v="2"/>
    </i>
    <i>
      <x v="4"/>
    </i>
    <i>
      <x v="6"/>
    </i>
    <i>
      <x v="1"/>
    </i>
    <i>
      <x v="7"/>
    </i>
    <i>
      <x v="8"/>
    </i>
    <i>
      <x v="5"/>
    </i>
    <i>
      <x/>
    </i>
    <i>
      <x v="3"/>
    </i>
    <i>
      <x v="9"/>
    </i>
    <i t="grand">
      <x/>
    </i>
  </rowItems>
  <colItems count="1">
    <i/>
  </colItems>
  <dataFields count="1">
    <dataField name="Sum of Sales.total_amount" fld="26" baseField="0" baseItem="0" numFmtId="166"/>
  </dataFields>
  <formats count="2">
    <format dxfId="52">
      <pivotArea outline="0" collapsedLevelsAreSubtotals="1" fieldPosition="0"/>
    </format>
    <format dxfId="5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ount" evalOrder="-1" id="1" iMeasureFld="0">
      <autoFilter ref="A1">
        <filterColumn colId="0">
          <top10 val="10" filterVal="10"/>
        </filterColumn>
      </autoFilter>
    </filter>
    <filter fld="18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FEDCD-3AA2-41AB-B49D-68CAB6A0790F}" name="PivotTable1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D40:E45" firstHeaderRow="1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7" showAll="0"/>
    <pivotField numFmtId="7" showAll="0"/>
    <pivotField showAll="0"/>
    <pivotField showAll="0"/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numFmtId="7" showAll="0"/>
    <pivotField dataField="1" numFmtId="164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_per.sale" fld="27" baseField="0" baseItem="0"/>
  </dataFields>
  <formats count="2">
    <format dxfId="54">
      <pivotArea outline="0" collapsedLevelsAreSubtotals="1" fieldPosition="0"/>
    </format>
    <format dxfId="53">
      <pivotArea dataOnly="0" labelOnly="1" outline="0" axis="axisValues" fieldPosition="0"/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0B0FF-36F6-42CF-B80C-63EBDBDE1B5F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G3:H14" firstHeaderRow="1" firstDataRow="1" firstDataCol="1"/>
  <pivotFields count="28">
    <pivotField showAll="0"/>
    <pivotField numFmtId="14" showAll="0"/>
    <pivotField numFmtId="14" showAll="0"/>
    <pivotField numFmtId="1" showAll="0"/>
    <pivotField axis="axisRow" showAll="0" measureFilter="1">
      <items count="119">
        <item x="58"/>
        <item x="35"/>
        <item x="95"/>
        <item x="29"/>
        <item x="12"/>
        <item x="98"/>
        <item x="26"/>
        <item x="40"/>
        <item x="10"/>
        <item x="18"/>
        <item x="80"/>
        <item x="56"/>
        <item x="65"/>
        <item x="82"/>
        <item x="76"/>
        <item x="36"/>
        <item x="25"/>
        <item x="22"/>
        <item x="47"/>
        <item x="7"/>
        <item x="19"/>
        <item x="79"/>
        <item x="81"/>
        <item x="41"/>
        <item x="59"/>
        <item x="74"/>
        <item x="21"/>
        <item x="14"/>
        <item x="15"/>
        <item x="6"/>
        <item x="108"/>
        <item x="16"/>
        <item x="66"/>
        <item x="11"/>
        <item x="38"/>
        <item x="86"/>
        <item x="13"/>
        <item x="37"/>
        <item x="30"/>
        <item x="48"/>
        <item x="62"/>
        <item x="88"/>
        <item x="96"/>
        <item x="83"/>
        <item x="1"/>
        <item x="97"/>
        <item x="55"/>
        <item x="28"/>
        <item x="87"/>
        <item x="20"/>
        <item x="31"/>
        <item x="93"/>
        <item x="42"/>
        <item x="23"/>
        <item x="53"/>
        <item x="63"/>
        <item x="17"/>
        <item x="68"/>
        <item x="101"/>
        <item x="0"/>
        <item x="33"/>
        <item x="8"/>
        <item x="50"/>
        <item x="46"/>
        <item x="91"/>
        <item x="60"/>
        <item x="92"/>
        <item x="49"/>
        <item x="106"/>
        <item x="51"/>
        <item x="71"/>
        <item x="39"/>
        <item x="27"/>
        <item x="52"/>
        <item x="5"/>
        <item x="77"/>
        <item x="67"/>
        <item x="73"/>
        <item x="103"/>
        <item x="3"/>
        <item x="75"/>
        <item x="100"/>
        <item x="113"/>
        <item x="2"/>
        <item x="44"/>
        <item x="9"/>
        <item x="54"/>
        <item x="115"/>
        <item x="107"/>
        <item x="94"/>
        <item x="84"/>
        <item x="72"/>
        <item x="69"/>
        <item x="89"/>
        <item x="45"/>
        <item x="110"/>
        <item x="104"/>
        <item x="105"/>
        <item x="61"/>
        <item x="111"/>
        <item x="90"/>
        <item x="43"/>
        <item x="117"/>
        <item x="64"/>
        <item x="85"/>
        <item x="57"/>
        <item x="116"/>
        <item x="99"/>
        <item x="78"/>
        <item x="114"/>
        <item x="24"/>
        <item x="34"/>
        <item x="109"/>
        <item x="102"/>
        <item x="70"/>
        <item x="4"/>
        <item x="112"/>
        <item x="32"/>
        <item t="default"/>
      </items>
    </pivotField>
    <pivotField showAll="0"/>
    <pivotField showAll="0" measureFilter="1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7" showAll="0"/>
    <pivotField numFmtId="7" showAll="0"/>
    <pivotField showAll="0"/>
    <pivotField showAll="0"/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dataField="1" numFmtId="7" showAll="0"/>
    <pivotField numFmtId="164" showAll="0"/>
  </pivotFields>
  <rowFields count="1">
    <field x="4"/>
  </rowFields>
  <rowItems count="11">
    <i>
      <x v="3"/>
    </i>
    <i>
      <x v="8"/>
    </i>
    <i>
      <x v="13"/>
    </i>
    <i>
      <x v="14"/>
    </i>
    <i>
      <x v="17"/>
    </i>
    <i>
      <x v="22"/>
    </i>
    <i>
      <x v="29"/>
    </i>
    <i>
      <x v="31"/>
    </i>
    <i>
      <x v="36"/>
    </i>
    <i>
      <x v="59"/>
    </i>
    <i t="grand">
      <x/>
    </i>
  </rowItems>
  <colItems count="1">
    <i/>
  </colItems>
  <dataFields count="1">
    <dataField name="Sum of Sales.total_amount" fld="26" baseField="0" baseItem="0" numFmtId="166"/>
  </dataFields>
  <formats count="2">
    <format dxfId="56">
      <pivotArea outline="0" collapsedLevelsAreSubtotals="1" fieldPosition="0"/>
    </format>
    <format dxfId="5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ount" evalOrder="-1" id="1" iMeasureFld="0">
      <autoFilter ref="A1">
        <filterColumn colId="0">
          <top10 val="10" filterVal="10"/>
        </filterColumn>
      </autoFilter>
    </filter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E86B2-794C-407E-A5D6-22D404300635}" name="PivotTable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5:E30" firstHeaderRow="1" firstDataRow="1" firstDataCol="1"/>
  <pivotFields count="28">
    <pivotField showAll="0"/>
    <pivotField numFmtId="14" showAll="0"/>
    <pivotField numFmtId="14" showAll="0"/>
    <pivotField numFmtId="1" showAll="0"/>
    <pivotField dataField="1" showAll="0">
      <items count="119">
        <item x="58"/>
        <item x="35"/>
        <item x="95"/>
        <item x="29"/>
        <item x="12"/>
        <item x="98"/>
        <item x="26"/>
        <item x="40"/>
        <item x="10"/>
        <item x="18"/>
        <item x="80"/>
        <item x="56"/>
        <item x="65"/>
        <item x="82"/>
        <item x="76"/>
        <item x="36"/>
        <item x="25"/>
        <item x="22"/>
        <item x="47"/>
        <item x="7"/>
        <item x="19"/>
        <item x="79"/>
        <item x="81"/>
        <item x="41"/>
        <item x="59"/>
        <item x="74"/>
        <item x="21"/>
        <item x="14"/>
        <item x="15"/>
        <item x="6"/>
        <item x="108"/>
        <item x="16"/>
        <item x="66"/>
        <item x="11"/>
        <item x="38"/>
        <item x="86"/>
        <item x="13"/>
        <item x="37"/>
        <item x="30"/>
        <item x="48"/>
        <item x="62"/>
        <item x="88"/>
        <item x="96"/>
        <item x="83"/>
        <item x="1"/>
        <item x="97"/>
        <item x="55"/>
        <item x="28"/>
        <item x="87"/>
        <item x="20"/>
        <item x="31"/>
        <item x="93"/>
        <item x="42"/>
        <item x="23"/>
        <item x="53"/>
        <item x="63"/>
        <item x="17"/>
        <item x="68"/>
        <item x="101"/>
        <item x="0"/>
        <item x="33"/>
        <item x="8"/>
        <item x="50"/>
        <item x="46"/>
        <item x="91"/>
        <item x="60"/>
        <item x="92"/>
        <item x="49"/>
        <item x="106"/>
        <item x="51"/>
        <item x="71"/>
        <item x="39"/>
        <item x="27"/>
        <item x="52"/>
        <item x="5"/>
        <item x="77"/>
        <item x="67"/>
        <item x="73"/>
        <item x="103"/>
        <item x="3"/>
        <item x="75"/>
        <item x="100"/>
        <item x="113"/>
        <item x="2"/>
        <item x="44"/>
        <item x="9"/>
        <item x="54"/>
        <item x="115"/>
        <item x="107"/>
        <item x="94"/>
        <item x="84"/>
        <item x="72"/>
        <item x="69"/>
        <item x="89"/>
        <item x="45"/>
        <item x="110"/>
        <item x="104"/>
        <item x="105"/>
        <item x="61"/>
        <item x="111"/>
        <item x="90"/>
        <item x="43"/>
        <item x="117"/>
        <item x="64"/>
        <item x="85"/>
        <item x="57"/>
        <item x="116"/>
        <item x="99"/>
        <item x="78"/>
        <item x="114"/>
        <item x="24"/>
        <item x="34"/>
        <item x="109"/>
        <item x="102"/>
        <item x="70"/>
        <item x="4"/>
        <item x="112"/>
        <item x="32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numFmtId="165"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numFmtId="7" showAll="0"/>
    <pivotField numFmtId="7" showAll="0"/>
    <pivotField showAll="0"/>
    <pivotField showAll="0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</pivotField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numFmtId="7" showAll="0"/>
    <pivotField numFmtId="164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" fld="4" subtotal="count" baseField="0" baseItem="0"/>
  </dataFields>
  <formats count="2">
    <format dxfId="58">
      <pivotArea outline="0" collapsedLevelsAreSubtotals="1" fieldPosition="0"/>
    </format>
    <format dxfId="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78D8E-6DC5-4248-B059-FEDE20178554}" name="PivotTable1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M3:O8" firstHeaderRow="0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>
      <items count="11">
        <item x="7"/>
        <item x="0"/>
        <item x="3"/>
        <item x="5"/>
        <item x="8"/>
        <item x="4"/>
        <item x="1"/>
        <item x="6"/>
        <item x="2"/>
        <item x="9"/>
        <item t="default"/>
      </items>
    </pivotField>
    <pivotField showAll="0"/>
    <pivotField numFmtId="7" showAll="0"/>
    <pivotField numFmtId="7" showAll="0"/>
    <pivotField showAll="0"/>
    <pivotField showAll="0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</pivotField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dataField="1" numFmtId="7" showAll="0"/>
    <pivotField dataField="1" numFmtId="164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_per.sale" fld="27" baseField="0" baseItem="0" numFmtId="166"/>
    <dataField name="Sum of Sales.total_amount" fld="26" baseField="0" baseItem="0"/>
  </dataFields>
  <formats count="5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3" type="button" dataOnly="0" labelOnly="1" outline="0"/>
    </format>
    <format dxfId="60">
      <pivotArea dataOnly="0" labelOnly="1" grandRow="1" outline="0" fieldPosition="0"/>
    </format>
    <format dxfId="59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4DCBA-F128-4F90-8094-6F59066D7268}" name="PivotTable1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18:R66" firstHeaderRow="0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numFmtId="165" showAll="0"/>
    <pivotField showAll="0"/>
    <pivotField axis="axisRow" showAll="0">
      <items count="13">
        <item x="5"/>
        <item x="1"/>
        <item x="8"/>
        <item x="10"/>
        <item x="3"/>
        <item x="9"/>
        <item x="2"/>
        <item x="11"/>
        <item x="0"/>
        <item x="6"/>
        <item x="4"/>
        <item x="7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11">
        <item x="7"/>
        <item x="0"/>
        <item x="3"/>
        <item x="5"/>
        <item x="8"/>
        <item x="4"/>
        <item x="1"/>
        <item x="6"/>
        <item x="2"/>
        <item x="9"/>
        <item t="default"/>
      </items>
    </pivotField>
    <pivotField showAll="0"/>
    <pivotField numFmtId="7" showAll="0"/>
    <pivotField numFmtId="7" showAll="0"/>
    <pivotField showAll="0"/>
    <pivotField showAll="0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</pivotField>
    <pivotField numFmtId="165" showAll="0"/>
    <pivotField showAll="0"/>
    <pivotField numFmtId="2" showAll="0"/>
    <pivotField showAll="0"/>
    <pivotField dataField="1" showAll="0"/>
    <pivotField numFmtId="7" showAll="0"/>
    <pivotField numFmtId="9" showAll="0"/>
    <pivotField numFmtId="7" showAll="0"/>
    <pivotField dataField="1" numFmtId="164" showAll="0"/>
  </pivotFields>
  <rowFields count="2">
    <field x="9"/>
    <field x="10"/>
  </rowFields>
  <rowItems count="48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2"/>
    </i>
    <i>
      <x v="1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_per.sale" fld="27" baseField="0" baseItem="0" numFmtId="166"/>
    <dataField name="Sum of Sales.quantity" fld="23" baseField="0" baseItem="0"/>
  </dataFields>
  <formats count="21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3" type="button" dataOnly="0" labelOnly="1" outline="0"/>
    </format>
    <format dxfId="81">
      <pivotArea dataOnly="0" labelOnly="1" outline="0" axis="axisValues" fieldPosition="0"/>
    </format>
    <format dxfId="80">
      <pivotArea field="9" type="button" dataOnly="0" labelOnly="1" outline="0" axis="axisRow" fieldPosition="0"/>
    </format>
    <format dxfId="79">
      <pivotArea dataOnly="0" labelOnly="1" fieldPosition="0">
        <references count="1">
          <reference field="9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2">
          <reference field="9" count="1" selected="0">
            <x v="0"/>
          </reference>
          <reference field="10" count="0"/>
        </references>
      </pivotArea>
    </format>
    <format dxfId="76">
      <pivotArea dataOnly="0" labelOnly="1" fieldPosition="0">
        <references count="2">
          <reference field="9" count="1" selected="0">
            <x v="1"/>
          </reference>
          <reference field="10" count="0"/>
        </references>
      </pivotArea>
    </format>
    <format dxfId="75">
      <pivotArea dataOnly="0" labelOnly="1" fieldPosition="0">
        <references count="2">
          <reference field="9" count="1" selected="0">
            <x v="2"/>
          </reference>
          <reference field="10" count="0"/>
        </references>
      </pivotArea>
    </format>
    <format dxfId="74">
      <pivotArea dataOnly="0" labelOnly="1" fieldPosition="0">
        <references count="2">
          <reference field="9" count="1" selected="0">
            <x v="3"/>
          </reference>
          <reference field="10" count="0"/>
        </references>
      </pivotArea>
    </format>
    <format dxfId="73">
      <pivotArea dataOnly="0" labelOnly="1" fieldPosition="0">
        <references count="2">
          <reference field="9" count="1" selected="0">
            <x v="4"/>
          </reference>
          <reference field="10" count="0"/>
        </references>
      </pivotArea>
    </format>
    <format dxfId="72">
      <pivotArea dataOnly="0" labelOnly="1" fieldPosition="0">
        <references count="2">
          <reference field="9" count="1" selected="0">
            <x v="5"/>
          </reference>
          <reference field="10" count="0"/>
        </references>
      </pivotArea>
    </format>
    <format dxfId="71">
      <pivotArea dataOnly="0" labelOnly="1" fieldPosition="0">
        <references count="2">
          <reference field="9" count="1" selected="0">
            <x v="6"/>
          </reference>
          <reference field="10" count="0"/>
        </references>
      </pivotArea>
    </format>
    <format dxfId="70">
      <pivotArea dataOnly="0" labelOnly="1" fieldPosition="0">
        <references count="2">
          <reference field="9" count="1" selected="0">
            <x v="7"/>
          </reference>
          <reference field="10" count="0"/>
        </references>
      </pivotArea>
    </format>
    <format dxfId="69">
      <pivotArea dataOnly="0" labelOnly="1" fieldPosition="0">
        <references count="2">
          <reference field="9" count="1" selected="0">
            <x v="8"/>
          </reference>
          <reference field="10" count="0"/>
        </references>
      </pivotArea>
    </format>
    <format dxfId="68">
      <pivotArea dataOnly="0" labelOnly="1" fieldPosition="0">
        <references count="2">
          <reference field="9" count="1" selected="0">
            <x v="9"/>
          </reference>
          <reference field="10" count="0"/>
        </references>
      </pivotArea>
    </format>
    <format dxfId="67">
      <pivotArea dataOnly="0" labelOnly="1" fieldPosition="0">
        <references count="2">
          <reference field="9" count="1" selected="0">
            <x v="10"/>
          </reference>
          <reference field="10" count="2">
            <x v="0"/>
            <x v="2"/>
          </reference>
        </references>
      </pivotArea>
    </format>
    <format dxfId="66">
      <pivotArea dataOnly="0" labelOnly="1" fieldPosition="0">
        <references count="2">
          <reference field="9" count="1" selected="0">
            <x v="11"/>
          </reference>
          <reference field="10" count="0"/>
        </references>
      </pivotArea>
    </format>
    <format dxfId="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A9E29-A6F1-48C8-B950-304B7DFB3C2D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D3:E9" firstHeaderRow="1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showAll="0" measureFilter="1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7" showAll="0"/>
    <pivotField numFmtId="7" showAll="0"/>
    <pivotField showAll="0"/>
    <pivotField axis="axisRow" showAll="0" measureFilter="1" sortType="descending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dataField="1" numFmtId="7" showAll="0"/>
    <pivotField numFmtId="164" showAll="0"/>
  </pivotFields>
  <rowFields count="1">
    <field x="18"/>
  </rowFields>
  <rowItems count="6">
    <i>
      <x v="9"/>
    </i>
    <i>
      <x v="7"/>
    </i>
    <i>
      <x v="6"/>
    </i>
    <i>
      <x v="8"/>
    </i>
    <i>
      <x v="10"/>
    </i>
    <i t="grand">
      <x/>
    </i>
  </rowItems>
  <colItems count="1">
    <i/>
  </colItems>
  <dataFields count="1">
    <dataField name="Sum of Sales.total_amount" fld="26" baseField="0" baseItem="0" numFmtId="166"/>
  </dataFields>
  <formats count="2">
    <format dxfId="86">
      <pivotArea outline="0" collapsedLevelsAreSubtotals="1" fieldPosition="0"/>
    </format>
    <format dxfId="8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ount" evalOrder="-1" id="1" iMeasureFld="0">
      <autoFilter ref="A1">
        <filterColumn colId="0">
          <top10 val="10" filterVal="10"/>
        </filterColumn>
      </autoFilter>
    </filter>
    <filter fld="18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AC4FE-6AA4-4A44-A5F9-4AD8BD6C49B0}" name="PivotTable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23:B75" firstHeaderRow="1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showAll="0" measureFilter="1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/>
    <pivotField showAll="0"/>
    <pivotField showAll="0"/>
    <pivotField showAll="0"/>
    <pivotField axis="axisRow" showAll="0">
      <items count="11">
        <item x="7"/>
        <item x="0"/>
        <item x="3"/>
        <item x="5"/>
        <item x="8"/>
        <item x="4"/>
        <item x="1"/>
        <item x="6"/>
        <item x="2"/>
        <item x="9"/>
        <item t="default"/>
      </items>
    </pivotField>
    <pivotField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numFmtId="7" showAll="0"/>
    <pivotField numFmtId="7" showAll="0"/>
    <pivotField showAll="0"/>
    <pivotField axis="axisRow" showAll="0" measureFilter="1" sortType="descending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numFmtId="2" showAll="0"/>
    <pivotField showAll="0"/>
    <pivotField showAll="0">
      <items count="6">
        <item x="0"/>
        <item x="3"/>
        <item x="2"/>
        <item x="4"/>
        <item x="1"/>
        <item t="default"/>
      </items>
    </pivotField>
    <pivotField numFmtId="7" showAll="0"/>
    <pivotField numFmtId="9" showAll="0"/>
    <pivotField dataField="1" numFmtId="7" showAll="0"/>
    <pivotField numFmtId="164" showAll="0"/>
  </pivotFields>
  <rowFields count="2">
    <field x="18"/>
    <field x="13"/>
  </rowFields>
  <rowItems count="52"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Sales.total_amount" fld="26" baseField="0" baseItem="0" numFmtId="166"/>
  </dataFields>
  <formats count="2">
    <format dxfId="88">
      <pivotArea outline="0" collapsedLevelsAreSubtotals="1" fieldPosition="0"/>
    </format>
    <format dxfId="87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2">
    <filter fld="18" type="count" evalOrder="-1" id="3" iMeasureFld="0">
      <autoFilter ref="A1">
        <filterColumn colId="0">
          <top10 val="5" filterVal="5"/>
        </filterColumn>
      </autoFilter>
    </filter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53B91-4DF3-4CE7-BBCC-EFCE2E08F32E}" name="PivotTable1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16:K27" firstHeaderRow="1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numFmtId="165" showAll="0"/>
    <pivotField showAll="0"/>
    <pivotField showAll="0"/>
    <pivotField showAll="0"/>
    <pivotField showAll="0"/>
    <pivotField showAll="0"/>
    <pivotField axis="axisRow" showAll="0">
      <items count="11">
        <item x="7"/>
        <item x="0"/>
        <item x="3"/>
        <item x="5"/>
        <item x="8"/>
        <item x="4"/>
        <item x="1"/>
        <item x="6"/>
        <item x="2"/>
        <item x="9"/>
        <item t="default"/>
      </items>
    </pivotField>
    <pivotField showAll="0"/>
    <pivotField numFmtId="7" showAll="0"/>
    <pivotField numFmtId="7" showAll="0"/>
    <pivotField showAll="0"/>
    <pivotField showAll="0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</pivotField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numFmtId="7" showAll="0"/>
    <pivotField dataField="1" numFmtId="164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_per.sale" fld="27" baseField="0" baseItem="0" numFmtId="166"/>
  </dataFields>
  <formats count="6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13" type="button" dataOnly="0" labelOnly="1" outline="0" axis="axisRow" fieldPosition="0"/>
    </format>
    <format dxfId="91">
      <pivotArea dataOnly="0" labelOnly="1" fieldPosition="0">
        <references count="1">
          <reference field="13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D5C19-22F0-4B9A-84D6-159F425C0013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G16:H29" firstHeaderRow="1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7" showAll="0"/>
    <pivotField numFmtId="7" showAll="0"/>
    <pivotField showAll="0"/>
    <pivotField axis="axisRow" showAll="0" sortType="descending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numFmtId="2" showAll="0"/>
    <pivotField showAll="0"/>
    <pivotField dataField="1" showAll="0"/>
    <pivotField numFmtId="7" showAll="0"/>
    <pivotField numFmtId="9" showAll="0"/>
    <pivotField numFmtId="7" showAll="0"/>
    <pivotField numFmtId="164" showAll="0"/>
  </pivotFields>
  <rowFields count="1">
    <field x="18"/>
  </rowFields>
  <rowItems count="13">
    <i>
      <x v="9"/>
    </i>
    <i>
      <x v="10"/>
    </i>
    <i>
      <x v="6"/>
    </i>
    <i>
      <x v="3"/>
    </i>
    <i>
      <x v="7"/>
    </i>
    <i>
      <x v="8"/>
    </i>
    <i>
      <x v="5"/>
    </i>
    <i>
      <x v="2"/>
    </i>
    <i>
      <x v="4"/>
    </i>
    <i>
      <x/>
    </i>
    <i>
      <x v="1"/>
    </i>
    <i>
      <x v="11"/>
    </i>
    <i t="grand">
      <x/>
    </i>
  </rowItems>
  <colItems count="1">
    <i/>
  </colItems>
  <dataFields count="1">
    <dataField name="Sum of Sales.quantity" fld="23" baseField="0" baseItem="0"/>
  </dataFields>
  <formats count="2">
    <format dxfId="96">
      <pivotArea outline="0" collapsedLevelsAreSubtotals="1" fieldPosition="0"/>
    </format>
    <format dxfId="9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C81B1-30DD-4A4C-90A2-652972B7D4BF}" name="PivotTable1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3:K14" firstHeaderRow="1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numFmtId="165" showAll="0"/>
    <pivotField showAll="0"/>
    <pivotField showAll="0"/>
    <pivotField showAll="0"/>
    <pivotField showAll="0"/>
    <pivotField showAll="0"/>
    <pivotField axis="axisRow" showAll="0">
      <items count="11">
        <item x="7"/>
        <item x="0"/>
        <item x="3"/>
        <item x="5"/>
        <item x="8"/>
        <item x="4"/>
        <item x="1"/>
        <item x="6"/>
        <item x="2"/>
        <item x="9"/>
        <item t="default"/>
      </items>
    </pivotField>
    <pivotField showAll="0"/>
    <pivotField numFmtId="7" showAll="0"/>
    <pivotField numFmtId="7" showAll="0"/>
    <pivotField showAll="0"/>
    <pivotField showAll="0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</pivotField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dataField="1" numFmtId="7" showAll="0"/>
    <pivotField numFmtId="164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.total_amount" fld="26" baseField="0" baseItem="0" numFmtId="166"/>
  </dataFields>
  <formats count="6"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13" type="button" dataOnly="0" labelOnly="1" outline="0" axis="axisRow" fieldPosition="0"/>
    </format>
    <format dxfId="99">
      <pivotArea dataOnly="0" labelOnly="1" fieldPosition="0">
        <references count="1">
          <reference field="13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2A0AB-53EC-49AB-9C9D-AFCC7D8F6D42}" name="PivotTable1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11:Q15" firstHeaderRow="1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numFmtId="165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11">
        <item x="7"/>
        <item x="0"/>
        <item x="3"/>
        <item x="5"/>
        <item x="8"/>
        <item x="4"/>
        <item x="1"/>
        <item x="6"/>
        <item x="2"/>
        <item x="9"/>
        <item t="default"/>
      </items>
    </pivotField>
    <pivotField showAll="0"/>
    <pivotField numFmtId="7" showAll="0"/>
    <pivotField numFmtId="7" showAll="0"/>
    <pivotField showAll="0"/>
    <pivotField showAll="0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</pivotField>
    <pivotField numFmtId="165" showAll="0"/>
    <pivotField showAll="0"/>
    <pivotField numFmtId="2" showAll="0"/>
    <pivotField showAll="0"/>
    <pivotField dataField="1" showAll="0"/>
    <pivotField numFmtId="7" showAll="0"/>
    <pivotField numFmtId="9" showAll="0"/>
    <pivotField numFmtId="7" showAll="0"/>
    <pivotField numFmtId="164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.quantity" fld="23" subtotal="count" baseField="10" baseItem="0"/>
  </dataFields>
  <formats count="7">
    <format dxfId="109">
      <pivotArea type="all" dataOnly="0" outline="0" fieldPosition="0"/>
    </format>
    <format dxfId="108">
      <pivotArea field="13" type="button" dataOnly="0" labelOnly="1" outline="0"/>
    </format>
    <format dxfId="107">
      <pivotArea field="10" type="button" dataOnly="0" labelOnly="1" outline="0" axis="axisRow" fieldPosition="0"/>
    </format>
    <format dxfId="106">
      <pivotArea dataOnly="0" labelOnly="1" fieldPosition="0">
        <references count="1">
          <reference field="10" count="0"/>
        </references>
      </pivotArea>
    </format>
    <format dxfId="105">
      <pivotArea dataOnly="0" labelOnly="1" grandRow="1" outline="0" fieldPosition="0"/>
    </format>
    <format dxfId="104">
      <pivotArea outline="0" collapsedLevelsAreSubtotals="1" fieldPosition="0"/>
    </format>
    <format dxfId="10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FF5E0-823E-4620-A24D-CC1374DC94E2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8" firstHeaderRow="1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axis="axisRow" showAll="0" measureFilter="1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7" showAll="0"/>
    <pivotField numFmtId="7" showAll="0"/>
    <pivotField showAll="0"/>
    <pivotField showAll="0"/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dataField="1" numFmtId="7" showAll="0"/>
    <pivotField numFmtId="164" showAll="0"/>
  </pivotFields>
  <rowFields count="1">
    <field x="6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Sales.total_amount" fld="26" baseField="0" baseItem="0" numFmtId="166"/>
  </dataFields>
  <formats count="2">
    <format dxfId="111">
      <pivotArea outline="0" collapsedLevelsAreSubtotals="1" fieldPosition="0"/>
    </format>
    <format dxfId="11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60EDA-1487-40B4-A7A5-62905AC83F3E}" name="PivotTable1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G33:I38" firstHeaderRow="0" firstDataRow="1" firstDataCol="1"/>
  <pivotFields count="28">
    <pivotField showAll="0"/>
    <pivotField numFmtId="14" showAll="0"/>
    <pivotField numFmtId="14" showAll="0"/>
    <pivotField dataField="1" numFmtId="1" showAll="0"/>
    <pivotField showAll="0">
      <items count="119">
        <item x="58"/>
        <item x="35"/>
        <item x="95"/>
        <item x="29"/>
        <item x="12"/>
        <item x="98"/>
        <item x="26"/>
        <item x="40"/>
        <item x="10"/>
        <item x="18"/>
        <item x="80"/>
        <item x="56"/>
        <item x="65"/>
        <item x="82"/>
        <item x="76"/>
        <item x="36"/>
        <item x="25"/>
        <item x="22"/>
        <item x="47"/>
        <item x="7"/>
        <item x="19"/>
        <item x="79"/>
        <item x="81"/>
        <item x="41"/>
        <item x="59"/>
        <item x="74"/>
        <item x="21"/>
        <item x="14"/>
        <item x="15"/>
        <item x="6"/>
        <item x="108"/>
        <item x="16"/>
        <item x="66"/>
        <item x="11"/>
        <item x="38"/>
        <item x="86"/>
        <item x="13"/>
        <item x="37"/>
        <item x="30"/>
        <item x="48"/>
        <item x="62"/>
        <item x="88"/>
        <item x="96"/>
        <item x="83"/>
        <item x="1"/>
        <item x="97"/>
        <item x="55"/>
        <item x="28"/>
        <item x="87"/>
        <item x="20"/>
        <item x="31"/>
        <item x="93"/>
        <item x="42"/>
        <item x="23"/>
        <item x="53"/>
        <item x="63"/>
        <item x="17"/>
        <item x="68"/>
        <item x="101"/>
        <item x="0"/>
        <item x="33"/>
        <item x="8"/>
        <item x="50"/>
        <item x="46"/>
        <item x="91"/>
        <item x="60"/>
        <item x="92"/>
        <item x="49"/>
        <item x="106"/>
        <item x="51"/>
        <item x="71"/>
        <item x="39"/>
        <item x="27"/>
        <item x="52"/>
        <item x="5"/>
        <item x="77"/>
        <item x="67"/>
        <item x="73"/>
        <item x="103"/>
        <item x="3"/>
        <item x="75"/>
        <item x="100"/>
        <item x="113"/>
        <item x="2"/>
        <item x="44"/>
        <item x="9"/>
        <item x="54"/>
        <item x="115"/>
        <item x="107"/>
        <item x="94"/>
        <item x="84"/>
        <item x="72"/>
        <item x="69"/>
        <item x="89"/>
        <item x="45"/>
        <item x="110"/>
        <item x="104"/>
        <item x="105"/>
        <item x="61"/>
        <item x="111"/>
        <item x="90"/>
        <item x="43"/>
        <item x="117"/>
        <item x="64"/>
        <item x="85"/>
        <item x="57"/>
        <item x="116"/>
        <item x="99"/>
        <item x="78"/>
        <item x="114"/>
        <item x="24"/>
        <item x="34"/>
        <item x="109"/>
        <item x="102"/>
        <item x="70"/>
        <item x="4"/>
        <item x="112"/>
        <item x="32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numFmtId="165"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numFmtId="7" showAll="0"/>
    <pivotField numFmtId="7" showAll="0"/>
    <pivotField showAll="0"/>
    <pivotField showAll="0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</pivotField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dataField="1" numFmtId="7" showAll="0"/>
    <pivotField numFmtId="164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requency table" fld="3" subtotal="count" baseField="11" baseItem="0"/>
    <dataField name="Average of Sales.total_amount" fld="26" subtotal="average" baseField="11" baseItem="0"/>
  </dataFields>
  <formats count="8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11" type="button" dataOnly="0" labelOnly="1" outline="0" axis="axisRow" fieldPosition="0"/>
    </format>
    <format dxfId="116">
      <pivotArea dataOnly="0" labelOnly="1" fieldPosition="0">
        <references count="1">
          <reference field="11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E4FF7-245D-410A-B79D-ABF15CFD0026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D11:E22" firstHeaderRow="1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numFmtId="165" showAll="0"/>
    <pivotField showAll="0"/>
    <pivotField showAll="0"/>
    <pivotField showAll="0"/>
    <pivotField showAll="0"/>
    <pivotField showAll="0"/>
    <pivotField axis="axisRow" showAll="0">
      <items count="11">
        <item x="7"/>
        <item x="0"/>
        <item x="3"/>
        <item x="5"/>
        <item x="8"/>
        <item x="4"/>
        <item x="1"/>
        <item x="6"/>
        <item x="2"/>
        <item x="9"/>
        <item t="default"/>
      </items>
    </pivotField>
    <pivotField showAll="0"/>
    <pivotField numFmtId="7" showAll="0"/>
    <pivotField numFmtId="7" showAll="0"/>
    <pivotField showAll="0"/>
    <pivotField showAll="0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</pivotField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numFmtId="7" showAll="0"/>
    <pivotField dataField="1" numFmtId="164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_per.sale" fld="27" baseField="0" baseItem="0" numFmtId="166"/>
  </dataFields>
  <formats count="2">
    <format dxfId="121">
      <pivotArea outline="0" collapsedLevelsAreSubtotals="1" fieldPosition="0"/>
    </format>
    <format dxfId="12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C641D-71F2-49C0-8931-1D0131E26D92}" name="PivotTable1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P3:Q7" firstHeaderRow="1" firstDataRow="1" firstDataCol="1"/>
  <pivotFields count="28">
    <pivotField showAll="0"/>
    <pivotField numFmtId="14" showAll="0"/>
    <pivotField numFmtId="14" showAll="0"/>
    <pivotField numFmtId="1"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numFmtId="165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11">
        <item x="7"/>
        <item x="0"/>
        <item x="3"/>
        <item x="5"/>
        <item x="8"/>
        <item x="4"/>
        <item x="1"/>
        <item x="6"/>
        <item x="2"/>
        <item x="9"/>
        <item t="default"/>
      </items>
    </pivotField>
    <pivotField showAll="0"/>
    <pivotField numFmtId="7" showAll="0"/>
    <pivotField numFmtId="7" showAll="0"/>
    <pivotField showAll="0"/>
    <pivotField showAll="0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</pivotField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numFmtId="7" showAll="0"/>
    <pivotField dataField="1" numFmtId="164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_per.sale" fld="27" baseField="0" baseItem="0" numFmtId="166"/>
  </dataFields>
  <formats count="7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3" type="button" dataOnly="0" labelOnly="1" outline="0"/>
    </format>
    <format dxfId="125">
      <pivotArea dataOnly="0" labelOnly="1" outline="0" axis="axisValues" fieldPosition="0"/>
    </format>
    <format dxfId="124">
      <pivotArea field="10" type="button" dataOnly="0" labelOnly="1" outline="0" axis="axisRow" fieldPosition="0"/>
    </format>
    <format dxfId="123">
      <pivotArea dataOnly="0" labelOnly="1" fieldPosition="0">
        <references count="1">
          <reference field="10" count="0"/>
        </references>
      </pivotArea>
    </format>
    <format dxfId="122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DC915-B01A-415D-B992-08C143F73CB0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3:F34" firstHeaderRow="0" firstDataRow="1" firstDataCol="0"/>
  <pivotFields count="28">
    <pivotField showAll="0"/>
    <pivotField numFmtId="14" showAll="0"/>
    <pivotField numFmtId="14" showAll="0"/>
    <pivotField numFmtId="1" showAll="0"/>
    <pivotField showAll="0">
      <items count="119">
        <item x="58"/>
        <item x="35"/>
        <item x="95"/>
        <item x="29"/>
        <item x="12"/>
        <item x="98"/>
        <item x="26"/>
        <item x="40"/>
        <item x="10"/>
        <item x="18"/>
        <item x="80"/>
        <item x="56"/>
        <item x="65"/>
        <item x="82"/>
        <item x="76"/>
        <item x="36"/>
        <item x="25"/>
        <item x="22"/>
        <item x="47"/>
        <item x="7"/>
        <item x="19"/>
        <item x="79"/>
        <item x="81"/>
        <item x="41"/>
        <item x="59"/>
        <item x="74"/>
        <item x="21"/>
        <item x="14"/>
        <item x="15"/>
        <item x="6"/>
        <item x="108"/>
        <item x="16"/>
        <item x="66"/>
        <item x="11"/>
        <item x="38"/>
        <item x="86"/>
        <item x="13"/>
        <item x="37"/>
        <item x="30"/>
        <item x="48"/>
        <item x="62"/>
        <item x="88"/>
        <item x="96"/>
        <item x="83"/>
        <item x="1"/>
        <item x="97"/>
        <item x="55"/>
        <item x="28"/>
        <item x="87"/>
        <item x="20"/>
        <item x="31"/>
        <item x="93"/>
        <item x="42"/>
        <item x="23"/>
        <item x="53"/>
        <item x="63"/>
        <item x="17"/>
        <item x="68"/>
        <item x="101"/>
        <item x="0"/>
        <item x="33"/>
        <item x="8"/>
        <item x="50"/>
        <item x="46"/>
        <item x="91"/>
        <item x="60"/>
        <item x="92"/>
        <item x="49"/>
        <item x="106"/>
        <item x="51"/>
        <item x="71"/>
        <item x="39"/>
        <item x="27"/>
        <item x="52"/>
        <item x="5"/>
        <item x="77"/>
        <item x="67"/>
        <item x="73"/>
        <item x="103"/>
        <item x="3"/>
        <item x="75"/>
        <item x="100"/>
        <item x="113"/>
        <item x="2"/>
        <item x="44"/>
        <item x="9"/>
        <item x="54"/>
        <item x="115"/>
        <item x="107"/>
        <item x="94"/>
        <item x="84"/>
        <item x="72"/>
        <item x="69"/>
        <item x="89"/>
        <item x="45"/>
        <item x="110"/>
        <item x="104"/>
        <item x="105"/>
        <item x="61"/>
        <item x="111"/>
        <item x="90"/>
        <item x="43"/>
        <item x="117"/>
        <item x="64"/>
        <item x="85"/>
        <item x="57"/>
        <item x="116"/>
        <item x="99"/>
        <item x="78"/>
        <item x="114"/>
        <item x="24"/>
        <item x="34"/>
        <item x="109"/>
        <item x="102"/>
        <item x="70"/>
        <item x="4"/>
        <item x="112"/>
        <item x="32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numFmtId="165" showAll="0"/>
    <pivotField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numFmtId="7" showAll="0"/>
    <pivotField numFmtId="7" showAll="0"/>
    <pivotField showAll="0"/>
    <pivotField showAll="0">
      <items count="13">
        <item x="8"/>
        <item x="9"/>
        <item x="0"/>
        <item x="7"/>
        <item x="11"/>
        <item x="3"/>
        <item x="2"/>
        <item x="1"/>
        <item x="10"/>
        <item x="6"/>
        <item x="5"/>
        <item x="4"/>
        <item t="default"/>
      </items>
    </pivotField>
    <pivotField numFmtId="165" showAll="0"/>
    <pivotField showAll="0"/>
    <pivotField numFmtId="2" showAll="0"/>
    <pivotField showAll="0"/>
    <pivotField showAll="0"/>
    <pivotField numFmtId="7" showAll="0"/>
    <pivotField numFmtId="9" showAll="0"/>
    <pivotField dataField="1" numFmtId="7" showAll="0"/>
    <pivotField dataField="1" numFmtId="164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Products.cost_price" fld="15" baseField="0" baseItem="0"/>
    <dataField name="Sum of Sales.total_amount" fld="26" baseField="0" baseItem="0"/>
    <dataField name="Sum of profit_per.sale" fld="27" baseField="0" baseItem="0"/>
  </dataFields>
  <formats count="5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11" type="button" dataOnly="0" labelOnly="1" outline="0"/>
    </format>
    <format dxfId="130">
      <pivotArea dataOnly="0" labelOnly="1" grandRow="1" outline="0" fieldPosition="0"/>
    </format>
    <format dxfId="1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3CBB59B-5B64-4CA3-BF8C-C4659A5B3AAA}" autoFormatId="16" applyNumberFormats="0" applyBorderFormats="0" applyFontFormats="0" applyPatternFormats="0" applyAlignmentFormats="0" applyWidthHeightFormats="0">
  <queryTableRefresh nextId="10">
    <queryTableFields count="9">
      <queryTableField id="1" name="sale_id" tableColumnId="1"/>
      <queryTableField id="2" name="date" tableColumnId="2"/>
      <queryTableField id="3" name="branch_id" tableColumnId="3"/>
      <queryTableField id="4" name="customer_id" tableColumnId="4"/>
      <queryTableField id="5" name="product_id" tableColumnId="5"/>
      <queryTableField id="6" name="quantity" tableColumnId="6"/>
      <queryTableField id="7" name="price" tableColumnId="7"/>
      <queryTableField id="8" name="discount" tableColumnId="8"/>
      <queryTableField id="9" name="total_amoun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D2AE48C-1533-4FB1-A871-9B23AABFC59F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category" tableColumnId="2"/>
      <queryTableField id="3" name="product_name" tableColumnId="3"/>
      <queryTableField id="4" name="cost_price" tableColumnId="4"/>
      <queryTableField id="5" name="selling_price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3F9662-C0E2-43A9-9254-1E9917DCE612}" name="Table3" displayName="Table3" ref="A1:I501" totalsRowShown="0" headerRowDxfId="148" headerRowBorderDxfId="147" tableBorderDxfId="146">
  <autoFilter ref="A1:I501" xr:uid="{A23F9662-C0E2-43A9-9254-1E9917DCE612}"/>
  <tableColumns count="9">
    <tableColumn id="1" xr3:uid="{9ECBE3BB-F885-4BA5-82AC-4B983E535E94}" name="sale_id"/>
    <tableColumn id="2" xr3:uid="{0D7C13A7-7F83-478B-ADA9-9E1C3D8F840A}" name="date"/>
    <tableColumn id="3" xr3:uid="{F7ED263C-A05E-4088-AF16-CC1BCB3E99D5}" name="branch_id"/>
    <tableColumn id="4" xr3:uid="{E67FCD6D-B377-45BC-A66D-3934279BBBDD}" name="customer_id"/>
    <tableColumn id="5" xr3:uid="{6469FAA3-FE59-4BEC-AA30-8012B40821B8}" name="product_id"/>
    <tableColumn id="6" xr3:uid="{CD08A613-79C7-4AAE-AB41-F7BF31AEBE5B}" name="quantity"/>
    <tableColumn id="7" xr3:uid="{0779B263-15DB-4AAB-842A-8830F4876B60}" name="price"/>
    <tableColumn id="8" xr3:uid="{CDF21657-AAE5-4317-813E-A4A7C60CBC24}" name="discount" dataCellStyle="Currency"/>
    <tableColumn id="9" xr3:uid="{A7644E5B-6D12-4DEE-8C40-24AAEA056988}" name="total_amount" dataCellStyle="Currenc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A75D76-4F5A-4713-AAD9-6E5BDF7AF9FF}" name="Table7" displayName="Table7" ref="A1:F221" totalsRowShown="0" headerRowDxfId="145" headerRowBorderDxfId="144" tableBorderDxfId="143">
  <autoFilter ref="A1:F221" xr:uid="{16A75D76-4F5A-4713-AAD9-6E5BDF7AF9FF}"/>
  <tableColumns count="6">
    <tableColumn id="1" xr3:uid="{34017E91-66DF-4D4C-83B2-D15A536AFB73}" name="customer_id"/>
    <tableColumn id="2" xr3:uid="{8862CDC2-22DC-4508-96F6-FD025ADA54D1}" name="name"/>
    <tableColumn id="3" xr3:uid="{43D4933B-9170-4030-BF0B-111CFAC06F65}" name="gender"/>
    <tableColumn id="4" xr3:uid="{3D4C725A-FA74-49F1-9100-BF804BEFA783}" name="region"/>
    <tableColumn id="5" xr3:uid="{96D16054-064E-41BE-8F63-979D2BAF90A9}" name="signup_date"/>
    <tableColumn id="6" xr3:uid="{12C7C9ED-5DBA-4DE4-946A-C587E62FB4AC}" name="loyalty_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CE5487-A898-472E-85E7-B725FB49954D}" name="Sales" displayName="Sales" ref="A1:I801" tableType="queryTable" totalsRowShown="0">
  <autoFilter ref="A1:I801" xr:uid="{B2CE5487-A898-472E-85E7-B725FB49954D}"/>
  <tableColumns count="9">
    <tableColumn id="1" xr3:uid="{BFE482F1-7A54-48BE-A836-2BB91D96A76F}" uniqueName="1" name="sale_id" queryTableFieldId="1"/>
    <tableColumn id="2" xr3:uid="{36B328B6-0E10-405E-B5C4-02EB55077ECA}" uniqueName="2" name="date" queryTableFieldId="2" dataDxfId="142"/>
    <tableColumn id="3" xr3:uid="{80140ED3-B15B-4186-ADBB-9503569B8D9A}" uniqueName="3" name="branch_id" queryTableFieldId="3"/>
    <tableColumn id="4" xr3:uid="{639A00BA-470F-431F-B872-6B69D46354B3}" uniqueName="4" name="customer_id" queryTableFieldId="4"/>
    <tableColumn id="5" xr3:uid="{A7CBEB68-C1C7-4FD7-821E-5BF16D2AB9DE}" uniqueName="5" name="product_id" queryTableFieldId="5"/>
    <tableColumn id="6" xr3:uid="{CAEFE684-0B67-4B62-BEDF-8ACC98DF82F6}" uniqueName="6" name="quantity" queryTableFieldId="6"/>
    <tableColumn id="7" xr3:uid="{C1768E05-E88D-45A7-9803-4E4E9D15BFFD}" uniqueName="7" name="price" queryTableFieldId="7"/>
    <tableColumn id="8" xr3:uid="{D1767F65-35BA-4618-8AF2-85A531792364}" uniqueName="8" name="discount" queryTableFieldId="8"/>
    <tableColumn id="9" xr3:uid="{E1D59051-E1EF-4949-AFF5-0E321007E532}" uniqueName="9" name="total_amoun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8A882F-1646-4F9E-A5D0-A2DA8909BBDA}" name="Products" displayName="Products" ref="A1:E101" tableType="queryTable" totalsRowShown="0">
  <autoFilter ref="A1:E101" xr:uid="{058A882F-1646-4F9E-A5D0-A2DA8909BBDA}"/>
  <tableColumns count="5">
    <tableColumn id="1" xr3:uid="{666AD6E8-6226-4979-924F-85A661462AE7}" uniqueName="1" name="product_id" queryTableFieldId="1"/>
    <tableColumn id="2" xr3:uid="{22120AB8-5EC1-4CBE-9055-3A2292B07320}" uniqueName="2" name="category" queryTableFieldId="2" dataDxfId="141"/>
    <tableColumn id="3" xr3:uid="{AE9969A2-D0EF-4D3E-BFE0-BA87B356190F}" uniqueName="3" name="product_name" queryTableFieldId="3" dataDxfId="140"/>
    <tableColumn id="4" xr3:uid="{225BD0C0-3B7F-4BA4-9C13-6C4BA6985DE2}" uniqueName="4" name="cost_price" queryTableFieldId="4"/>
    <tableColumn id="5" xr3:uid="{DC120DF7-6DBA-467D-9BE3-9F7611399F89}" uniqueName="5" name="selling_pric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B1FE80-EC2A-41CC-9B52-5E55EEC0740C}" name="Table8" displayName="Table8" ref="A1:F91" totalsRowShown="0" headerRowDxfId="139" headerRowBorderDxfId="138" tableBorderDxfId="137">
  <autoFilter ref="A1:F91" xr:uid="{BCB1FE80-EC2A-41CC-9B52-5E55EEC0740C}"/>
  <tableColumns count="6">
    <tableColumn id="1" xr3:uid="{4DFE0CCF-5305-4DDB-AE83-E4BED98AD9CB}" name="product_id"/>
    <tableColumn id="2" xr3:uid="{A976EE2F-FA7F-4998-9798-B4FC9F726210}" name="category"/>
    <tableColumn id="3" xr3:uid="{3A2A753E-C95B-49EC-8E81-8B2865E46C01}" name="product_name"/>
    <tableColumn id="4" xr3:uid="{E922D35F-3738-414E-85BE-ABF6186F8BDC}" name="cost_price" dataDxfId="136"/>
    <tableColumn id="5" xr3:uid="{D3BE62BE-B84F-4F22-9551-09EDCA864DBF}" name="selling_price" dataDxfId="135"/>
    <tableColumn id="6" xr3:uid="{45FE795B-ECCE-4328-9AFE-3679A9DDF924}" name="profit_per_sale" dataDxfId="134">
      <calculatedColumnFormula>Table8[[#This Row],[selling_price]]-Table8[[#This Row],[cost_price]]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A6B8B6-70F5-4D59-B624-AE2C63F57521}" name="Table5" displayName="Table5" ref="A1:R500" totalsRowShown="0" headerRowDxfId="19" tableBorderDxfId="18">
  <autoFilter ref="A1:R500" xr:uid="{74A6B8B6-70F5-4D59-B624-AE2C63F57521}"/>
  <tableColumns count="18">
    <tableColumn id="1" xr3:uid="{70CD296A-E048-498E-AFFF-45D94183DF26}" name="customer_id" dataDxfId="17"/>
    <tableColumn id="2" xr3:uid="{44887E1B-9532-4E49-8627-E0CD934DE5E1}" name="first_purchase" dataDxfId="16">
      <calculatedColumnFormula array="1">MIN(IF($E:$E=E2,$H:$H))</calculatedColumnFormula>
    </tableColumn>
    <tableColumn id="3" xr3:uid="{63C811C2-1191-46D5-9AAD-855EA02AD7C0}" name="tenure_months" dataDxfId="15">
      <calculatedColumnFormula>DATEDIF(B2,MAX($H:$H),"m")</calculatedColumnFormula>
    </tableColumn>
    <tableColumn id="4" xr3:uid="{EE238127-BE1E-4019-AFA7-097E95949367}" name="Frequency table" dataDxfId="14">
      <calculatedColumnFormula>COUNTIF(E:E,combined_tbl!$E2)</calculatedColumnFormula>
    </tableColumn>
    <tableColumn id="5" xr3:uid="{A634E757-A478-421C-A864-E5C826498B54}" name="name" dataDxfId="13">
      <calculatedColumnFormula>IF(RAND()&lt;=0.5,
   "Customer"&amp;TEXT(RANDBETWEEN(1,30),"000"),
IF(RAND()&lt;=0.8,
   "Customer"&amp;TEXT(RANDBETWEEN(31,80),"000"),
   "Customer"&amp;TEXT(RANDBETWEEN(81,139),"000")))</calculatedColumnFormula>
    </tableColumn>
    <tableColumn id="6" xr3:uid="{6BA13EE4-F66B-4543-87A5-2B0778A2206D}" name="gender" dataDxfId="12">
      <calculatedColumnFormula array="1">INDEX({"Male","Female"}, RANDBETWEEN(1,2))</calculatedColumnFormula>
    </tableColumn>
    <tableColumn id="7" xr3:uid="{4D84A873-92D4-4217-9A82-7AB82F004B47}" name="region" dataDxfId="11">
      <calculatedColumnFormula>_xlfn.XLOOKUP(E2,AI$1:AI$139,AF$2:AF$140)</calculatedColumnFormula>
    </tableColumn>
    <tableColumn id="8" xr3:uid="{4DE36A4E-3A7B-45EF-89D5-626ECFAE533F}" name="signup_date" dataDxfId="10">
      <calculatedColumnFormula>_xlfn.XLOOKUP(E2,AI$1:AI$139,AJ$1:AJ$139)</calculatedColumnFormula>
    </tableColumn>
    <tableColumn id="9" xr3:uid="{12F69B86-6D82-42B2-9D40-881713452B1A}" name="day" dataDxfId="9">
      <calculatedColumnFormula>DAY(H2)</calculatedColumnFormula>
    </tableColumn>
    <tableColumn id="10" xr3:uid="{1080F6D3-8508-46AB-AD58-D74DDB37C052}" name="month" dataDxfId="8">
      <calculatedColumnFormula>TEXT(H2,"mmmm")</calculatedColumnFormula>
    </tableColumn>
    <tableColumn id="11" xr3:uid="{8529F0DB-0A8D-43E4-98B1-F93F3EADB720}" name="year" dataDxfId="7">
      <calculatedColumnFormula>YEAR(H2)</calculatedColumnFormula>
    </tableColumn>
    <tableColumn id="12" xr3:uid="{587DCD7F-896F-479F-A4F6-3E34E853E011}" name="loyalty_status" dataDxfId="6">
      <calculatedColumnFormula>IF(AND(D2&gt;=10,C2&gt;=24),"Platinum",IF(AND(D2&gt;=7,C2&gt;=18),"Gold",IF(AND(D2&gt;=3,C2&gt;=12),"Silver","Bronze")))</calculatedColumnFormula>
    </tableColumn>
    <tableColumn id="13" xr3:uid="{35FED341-B64B-49E5-B245-5768F4128E6A}" name="Products.product_id" dataDxfId="5"/>
    <tableColumn id="14" xr3:uid="{B8901F54-9CD4-4338-AC0C-C4306B16007F}" name="Products.category" dataDxfId="4"/>
    <tableColumn id="15" xr3:uid="{7FB0FAC4-380A-406B-840D-F4AEB5BEDA14}" name="Products.product_name" dataDxfId="3"/>
    <tableColumn id="16" xr3:uid="{7F873BD5-9A72-41C8-B08E-8139E5CA8BB6}" name="Products.cost_price" dataDxfId="2" dataCellStyle="Currency"/>
    <tableColumn id="17" xr3:uid="{D4838019-99B6-49EE-88AC-E55396858DA4}" name="Products.selling_price" dataDxfId="1" dataCellStyle="Currency"/>
    <tableColumn id="18" xr3:uid="{35FE96F7-1691-467A-9255-719D27FAA9AB}" name="Sales.sale_id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01"/>
  <sheetViews>
    <sheetView topLeftCell="B1" workbookViewId="0"/>
  </sheetViews>
  <sheetFormatPr defaultRowHeight="14.4" x14ac:dyDescent="0.3"/>
  <cols>
    <col min="1" max="1" width="11.21875" bestFit="1" customWidth="1"/>
    <col min="2" max="2" width="10.33203125" bestFit="1" customWidth="1"/>
    <col min="3" max="3" width="13.88671875" bestFit="1" customWidth="1"/>
    <col min="4" max="4" width="15.88671875" bestFit="1" customWidth="1"/>
    <col min="5" max="5" width="14.6640625" bestFit="1" customWidth="1"/>
    <col min="6" max="6" width="12.5546875" bestFit="1" customWidth="1"/>
    <col min="7" max="7" width="9.5546875" bestFit="1" customWidth="1"/>
    <col min="8" max="8" width="12.6640625" style="9" bestFit="1" customWidth="1"/>
    <col min="9" max="9" width="17" style="9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8" t="s">
        <v>8</v>
      </c>
    </row>
    <row r="2" spans="1:9" x14ac:dyDescent="0.3">
      <c r="A2">
        <v>1</v>
      </c>
      <c r="B2" t="s">
        <v>9</v>
      </c>
      <c r="C2">
        <v>5</v>
      </c>
      <c r="D2">
        <v>189</v>
      </c>
      <c r="E2">
        <v>97</v>
      </c>
      <c r="F2">
        <v>2</v>
      </c>
      <c r="G2">
        <v>158.26</v>
      </c>
      <c r="H2" s="9">
        <v>0</v>
      </c>
      <c r="I2" s="9">
        <v>316.52</v>
      </c>
    </row>
    <row r="3" spans="1:9" x14ac:dyDescent="0.3">
      <c r="A3">
        <v>2</v>
      </c>
      <c r="B3" t="s">
        <v>10</v>
      </c>
      <c r="C3">
        <v>3</v>
      </c>
      <c r="D3">
        <v>152</v>
      </c>
      <c r="E3">
        <v>24</v>
      </c>
      <c r="F3">
        <v>1</v>
      </c>
      <c r="G3">
        <v>91.73</v>
      </c>
      <c r="H3" s="9">
        <v>0.05</v>
      </c>
      <c r="I3" s="9">
        <v>87.14</v>
      </c>
    </row>
    <row r="4" spans="1:9" x14ac:dyDescent="0.3">
      <c r="A4">
        <v>3</v>
      </c>
      <c r="B4" t="s">
        <v>11</v>
      </c>
      <c r="C4">
        <v>8</v>
      </c>
      <c r="D4">
        <v>77</v>
      </c>
      <c r="E4">
        <v>84</v>
      </c>
      <c r="F4">
        <v>1</v>
      </c>
      <c r="G4">
        <v>26.78</v>
      </c>
      <c r="H4" s="9">
        <v>0.1</v>
      </c>
      <c r="I4" s="9">
        <v>24.1</v>
      </c>
    </row>
    <row r="5" spans="1:9" x14ac:dyDescent="0.3">
      <c r="A5">
        <v>4</v>
      </c>
      <c r="B5" t="s">
        <v>12</v>
      </c>
      <c r="C5">
        <v>3</v>
      </c>
      <c r="D5">
        <v>123</v>
      </c>
      <c r="E5">
        <v>97</v>
      </c>
      <c r="F5">
        <v>5</v>
      </c>
      <c r="G5">
        <v>158.26</v>
      </c>
      <c r="H5" s="9">
        <v>0</v>
      </c>
      <c r="I5" s="9">
        <v>791.3</v>
      </c>
    </row>
    <row r="6" spans="1:9" x14ac:dyDescent="0.3">
      <c r="A6">
        <v>5</v>
      </c>
      <c r="B6" t="s">
        <v>13</v>
      </c>
      <c r="C6">
        <v>8</v>
      </c>
      <c r="D6">
        <v>106</v>
      </c>
      <c r="E6">
        <v>30</v>
      </c>
      <c r="F6">
        <v>3</v>
      </c>
      <c r="G6">
        <v>19.399999999999999</v>
      </c>
      <c r="H6" s="9">
        <v>0</v>
      </c>
      <c r="I6" s="9">
        <v>58.2</v>
      </c>
    </row>
    <row r="7" spans="1:9" x14ac:dyDescent="0.3">
      <c r="A7">
        <v>6</v>
      </c>
      <c r="B7" t="s">
        <v>14</v>
      </c>
      <c r="C7">
        <v>8</v>
      </c>
      <c r="D7">
        <v>64</v>
      </c>
      <c r="E7">
        <v>33</v>
      </c>
      <c r="F7">
        <v>1</v>
      </c>
      <c r="G7">
        <v>21.23</v>
      </c>
      <c r="H7" s="9">
        <v>0.05</v>
      </c>
      <c r="I7" s="9">
        <v>20.170000000000002</v>
      </c>
    </row>
    <row r="8" spans="1:9" x14ac:dyDescent="0.3">
      <c r="A8">
        <v>7</v>
      </c>
      <c r="B8" t="s">
        <v>15</v>
      </c>
      <c r="C8">
        <v>7</v>
      </c>
      <c r="D8">
        <v>22</v>
      </c>
      <c r="E8">
        <v>16</v>
      </c>
      <c r="F8">
        <v>1</v>
      </c>
      <c r="G8">
        <v>62.77</v>
      </c>
      <c r="H8" s="9">
        <v>0</v>
      </c>
      <c r="I8" s="9">
        <v>62.77</v>
      </c>
    </row>
    <row r="9" spans="1:9" x14ac:dyDescent="0.3">
      <c r="A9">
        <v>8</v>
      </c>
      <c r="B9" t="s">
        <v>16</v>
      </c>
      <c r="C9">
        <v>6</v>
      </c>
      <c r="D9">
        <v>89</v>
      </c>
      <c r="E9">
        <v>59</v>
      </c>
      <c r="F9">
        <v>1</v>
      </c>
      <c r="G9">
        <v>17.41</v>
      </c>
      <c r="H9" s="9">
        <v>0</v>
      </c>
      <c r="I9" s="9">
        <v>17.41</v>
      </c>
    </row>
    <row r="10" spans="1:9" x14ac:dyDescent="0.3">
      <c r="A10">
        <v>9</v>
      </c>
      <c r="B10" t="s">
        <v>17</v>
      </c>
      <c r="C10">
        <v>3</v>
      </c>
      <c r="D10">
        <v>50</v>
      </c>
      <c r="E10">
        <v>30</v>
      </c>
      <c r="F10">
        <v>1</v>
      </c>
      <c r="G10">
        <v>19.399999999999999</v>
      </c>
      <c r="H10" s="9">
        <v>0</v>
      </c>
      <c r="I10" s="9">
        <v>19.399999999999999</v>
      </c>
    </row>
    <row r="11" spans="1:9" x14ac:dyDescent="0.3">
      <c r="A11">
        <v>10</v>
      </c>
      <c r="B11" t="s">
        <v>18</v>
      </c>
      <c r="C11">
        <v>7</v>
      </c>
      <c r="D11">
        <v>207</v>
      </c>
      <c r="E11">
        <v>96</v>
      </c>
      <c r="F11">
        <v>1</v>
      </c>
      <c r="G11">
        <v>132.69</v>
      </c>
      <c r="H11" s="9">
        <v>0</v>
      </c>
      <c r="I11" s="9">
        <v>132.69</v>
      </c>
    </row>
    <row r="12" spans="1:9" x14ac:dyDescent="0.3">
      <c r="A12">
        <v>11</v>
      </c>
      <c r="B12" t="s">
        <v>19</v>
      </c>
      <c r="C12">
        <v>5</v>
      </c>
      <c r="D12">
        <v>80</v>
      </c>
      <c r="E12">
        <v>48</v>
      </c>
      <c r="F12">
        <v>1</v>
      </c>
      <c r="G12">
        <v>146.85</v>
      </c>
      <c r="H12" s="9">
        <v>0</v>
      </c>
      <c r="I12" s="9">
        <v>146.85</v>
      </c>
    </row>
    <row r="13" spans="1:9" x14ac:dyDescent="0.3">
      <c r="A13">
        <v>12</v>
      </c>
      <c r="B13" t="s">
        <v>20</v>
      </c>
      <c r="C13">
        <v>1</v>
      </c>
      <c r="D13">
        <v>45</v>
      </c>
      <c r="E13">
        <v>19</v>
      </c>
      <c r="F13">
        <v>1</v>
      </c>
      <c r="G13">
        <v>138.31</v>
      </c>
      <c r="H13" s="9">
        <v>0</v>
      </c>
      <c r="I13" s="9">
        <v>138.31</v>
      </c>
    </row>
    <row r="14" spans="1:9" x14ac:dyDescent="0.3">
      <c r="A14">
        <v>13</v>
      </c>
      <c r="B14" t="s">
        <v>21</v>
      </c>
      <c r="C14">
        <v>2</v>
      </c>
      <c r="D14">
        <v>177</v>
      </c>
      <c r="E14">
        <v>26</v>
      </c>
      <c r="F14">
        <v>2</v>
      </c>
      <c r="G14">
        <v>211.87</v>
      </c>
      <c r="H14" s="9">
        <v>0.1</v>
      </c>
      <c r="I14" s="9">
        <v>381.37</v>
      </c>
    </row>
    <row r="15" spans="1:9" x14ac:dyDescent="0.3">
      <c r="A15">
        <v>14</v>
      </c>
      <c r="B15" t="s">
        <v>22</v>
      </c>
      <c r="C15">
        <v>5</v>
      </c>
      <c r="D15">
        <v>172</v>
      </c>
      <c r="E15">
        <v>66</v>
      </c>
      <c r="F15">
        <v>2</v>
      </c>
      <c r="G15">
        <v>169.57</v>
      </c>
      <c r="H15" s="9">
        <v>0.1</v>
      </c>
      <c r="I15" s="9">
        <v>305.23</v>
      </c>
    </row>
    <row r="16" spans="1:9" x14ac:dyDescent="0.3">
      <c r="A16">
        <v>15</v>
      </c>
      <c r="B16" t="s">
        <v>23</v>
      </c>
      <c r="C16">
        <v>2</v>
      </c>
      <c r="D16">
        <v>152</v>
      </c>
      <c r="E16">
        <v>26</v>
      </c>
      <c r="F16">
        <v>1</v>
      </c>
      <c r="G16">
        <v>211.87</v>
      </c>
      <c r="H16" s="9">
        <v>0</v>
      </c>
      <c r="I16" s="9">
        <v>211.87</v>
      </c>
    </row>
    <row r="17" spans="1:9" x14ac:dyDescent="0.3">
      <c r="A17">
        <v>16</v>
      </c>
      <c r="B17" t="s">
        <v>24</v>
      </c>
      <c r="C17">
        <v>1</v>
      </c>
      <c r="D17">
        <v>203</v>
      </c>
      <c r="E17">
        <v>26</v>
      </c>
      <c r="F17">
        <v>1</v>
      </c>
      <c r="G17">
        <v>211.87</v>
      </c>
      <c r="H17" s="9">
        <v>0</v>
      </c>
      <c r="I17" s="9">
        <v>211.87</v>
      </c>
    </row>
    <row r="18" spans="1:9" x14ac:dyDescent="0.3">
      <c r="A18">
        <v>17</v>
      </c>
      <c r="B18" t="s">
        <v>25</v>
      </c>
      <c r="C18">
        <v>7</v>
      </c>
      <c r="D18">
        <v>40</v>
      </c>
      <c r="E18">
        <v>26</v>
      </c>
      <c r="F18">
        <v>1</v>
      </c>
      <c r="G18">
        <v>211.87</v>
      </c>
      <c r="H18" s="9">
        <v>0.05</v>
      </c>
      <c r="I18" s="9">
        <v>201.28</v>
      </c>
    </row>
    <row r="19" spans="1:9" x14ac:dyDescent="0.3">
      <c r="A19">
        <v>18</v>
      </c>
      <c r="B19" t="s">
        <v>26</v>
      </c>
      <c r="C19">
        <v>4</v>
      </c>
      <c r="D19">
        <v>3</v>
      </c>
      <c r="E19">
        <v>47</v>
      </c>
      <c r="F19">
        <v>1</v>
      </c>
      <c r="G19">
        <v>93.41</v>
      </c>
      <c r="H19" s="9">
        <v>0</v>
      </c>
      <c r="I19" s="9">
        <v>93.41</v>
      </c>
    </row>
    <row r="20" spans="1:9" x14ac:dyDescent="0.3">
      <c r="A20">
        <v>19</v>
      </c>
      <c r="B20" t="s">
        <v>27</v>
      </c>
      <c r="C20">
        <v>8</v>
      </c>
      <c r="D20">
        <v>32</v>
      </c>
      <c r="E20">
        <v>81</v>
      </c>
      <c r="F20">
        <v>1</v>
      </c>
      <c r="G20">
        <v>225.3</v>
      </c>
      <c r="H20" s="9">
        <v>0.1</v>
      </c>
      <c r="I20" s="9">
        <v>202.77</v>
      </c>
    </row>
    <row r="21" spans="1:9" x14ac:dyDescent="0.3">
      <c r="A21">
        <v>20</v>
      </c>
      <c r="B21" t="s">
        <v>28</v>
      </c>
      <c r="C21">
        <v>1</v>
      </c>
      <c r="D21">
        <v>60</v>
      </c>
      <c r="E21">
        <v>71</v>
      </c>
      <c r="F21">
        <v>1</v>
      </c>
      <c r="G21">
        <v>225.61</v>
      </c>
      <c r="H21" s="9">
        <v>0</v>
      </c>
      <c r="I21" s="9">
        <v>225.61</v>
      </c>
    </row>
    <row r="22" spans="1:9" x14ac:dyDescent="0.3">
      <c r="A22">
        <v>21</v>
      </c>
      <c r="B22" t="s">
        <v>29</v>
      </c>
      <c r="C22">
        <v>5</v>
      </c>
      <c r="D22">
        <v>144</v>
      </c>
      <c r="E22">
        <v>58</v>
      </c>
      <c r="F22">
        <v>1</v>
      </c>
      <c r="G22">
        <v>64.400000000000006</v>
      </c>
      <c r="H22" s="9">
        <v>0.1</v>
      </c>
      <c r="I22" s="9">
        <v>57.96</v>
      </c>
    </row>
    <row r="23" spans="1:9" x14ac:dyDescent="0.3">
      <c r="A23">
        <v>22</v>
      </c>
      <c r="B23" t="s">
        <v>30</v>
      </c>
      <c r="C23">
        <v>5</v>
      </c>
      <c r="D23">
        <v>21</v>
      </c>
      <c r="E23">
        <v>61</v>
      </c>
      <c r="F23">
        <v>1</v>
      </c>
      <c r="G23">
        <v>106.64</v>
      </c>
      <c r="H23" s="9">
        <v>0.05</v>
      </c>
      <c r="I23" s="9">
        <v>101.31</v>
      </c>
    </row>
    <row r="24" spans="1:9" x14ac:dyDescent="0.3">
      <c r="A24">
        <v>23</v>
      </c>
      <c r="B24" t="s">
        <v>31</v>
      </c>
      <c r="C24">
        <v>8</v>
      </c>
      <c r="D24">
        <v>154</v>
      </c>
      <c r="E24">
        <v>25</v>
      </c>
      <c r="F24">
        <v>1</v>
      </c>
      <c r="G24">
        <v>117.41</v>
      </c>
      <c r="H24" s="9">
        <v>0</v>
      </c>
      <c r="I24" s="9">
        <v>117.41</v>
      </c>
    </row>
    <row r="25" spans="1:9" x14ac:dyDescent="0.3">
      <c r="A25">
        <v>24</v>
      </c>
      <c r="B25" t="s">
        <v>32</v>
      </c>
      <c r="C25">
        <v>1</v>
      </c>
      <c r="D25">
        <v>19</v>
      </c>
      <c r="E25">
        <v>31</v>
      </c>
      <c r="F25">
        <v>1</v>
      </c>
      <c r="G25">
        <v>165.45</v>
      </c>
      <c r="H25" s="9">
        <v>0.05</v>
      </c>
      <c r="I25" s="9">
        <v>157.18</v>
      </c>
    </row>
    <row r="26" spans="1:9" x14ac:dyDescent="0.3">
      <c r="A26">
        <v>25</v>
      </c>
      <c r="B26" t="s">
        <v>33</v>
      </c>
      <c r="C26">
        <v>3</v>
      </c>
      <c r="D26">
        <v>90</v>
      </c>
      <c r="E26">
        <v>17</v>
      </c>
      <c r="F26">
        <v>1</v>
      </c>
      <c r="G26">
        <v>97.14</v>
      </c>
      <c r="H26" s="9">
        <v>0.05</v>
      </c>
      <c r="I26" s="9">
        <v>92.28</v>
      </c>
    </row>
    <row r="27" spans="1:9" x14ac:dyDescent="0.3">
      <c r="A27">
        <v>26</v>
      </c>
      <c r="B27" t="s">
        <v>34</v>
      </c>
      <c r="C27">
        <v>1</v>
      </c>
      <c r="D27">
        <v>179</v>
      </c>
      <c r="E27">
        <v>74</v>
      </c>
      <c r="F27">
        <v>1</v>
      </c>
      <c r="G27">
        <v>205.01</v>
      </c>
      <c r="H27" s="9">
        <v>0</v>
      </c>
      <c r="I27" s="9">
        <v>205.01</v>
      </c>
    </row>
    <row r="28" spans="1:9" x14ac:dyDescent="0.3">
      <c r="A28">
        <v>27</v>
      </c>
      <c r="B28" t="s">
        <v>35</v>
      </c>
      <c r="C28">
        <v>2</v>
      </c>
      <c r="D28">
        <v>201</v>
      </c>
      <c r="E28">
        <v>57</v>
      </c>
      <c r="F28">
        <v>3</v>
      </c>
      <c r="G28">
        <v>32.28</v>
      </c>
      <c r="H28" s="9">
        <v>0.15</v>
      </c>
      <c r="I28" s="9">
        <v>82.31</v>
      </c>
    </row>
    <row r="29" spans="1:9" x14ac:dyDescent="0.3">
      <c r="A29">
        <v>28</v>
      </c>
      <c r="B29" t="s">
        <v>36</v>
      </c>
      <c r="C29">
        <v>2</v>
      </c>
      <c r="D29">
        <v>112</v>
      </c>
      <c r="E29">
        <v>95</v>
      </c>
      <c r="F29">
        <v>2</v>
      </c>
      <c r="G29">
        <v>201.94</v>
      </c>
      <c r="H29" s="9">
        <v>0</v>
      </c>
      <c r="I29" s="9">
        <v>403.88</v>
      </c>
    </row>
    <row r="30" spans="1:9" x14ac:dyDescent="0.3">
      <c r="A30">
        <v>29</v>
      </c>
      <c r="B30" t="s">
        <v>37</v>
      </c>
      <c r="C30">
        <v>2</v>
      </c>
      <c r="D30">
        <v>76</v>
      </c>
      <c r="E30">
        <v>95</v>
      </c>
      <c r="F30">
        <v>1</v>
      </c>
      <c r="G30">
        <v>201.94</v>
      </c>
      <c r="H30" s="9">
        <v>0</v>
      </c>
      <c r="I30" s="9">
        <v>201.94</v>
      </c>
    </row>
    <row r="31" spans="1:9" x14ac:dyDescent="0.3">
      <c r="A31">
        <v>30</v>
      </c>
      <c r="B31" t="s">
        <v>38</v>
      </c>
      <c r="C31">
        <v>8</v>
      </c>
      <c r="D31">
        <v>108</v>
      </c>
      <c r="E31">
        <v>57</v>
      </c>
      <c r="F31">
        <v>1</v>
      </c>
      <c r="G31">
        <v>32.28</v>
      </c>
      <c r="H31" s="9">
        <v>0.1</v>
      </c>
      <c r="I31" s="9">
        <v>29.05</v>
      </c>
    </row>
    <row r="32" spans="1:9" x14ac:dyDescent="0.3">
      <c r="A32">
        <v>31</v>
      </c>
      <c r="B32" t="s">
        <v>39</v>
      </c>
      <c r="C32">
        <v>5</v>
      </c>
      <c r="D32">
        <v>160</v>
      </c>
      <c r="E32">
        <v>43</v>
      </c>
      <c r="F32">
        <v>1</v>
      </c>
      <c r="G32">
        <v>16.04</v>
      </c>
      <c r="H32" s="9">
        <v>0.2</v>
      </c>
      <c r="I32" s="9">
        <v>12.83</v>
      </c>
    </row>
    <row r="33" spans="1:9" x14ac:dyDescent="0.3">
      <c r="A33">
        <v>32</v>
      </c>
      <c r="B33" t="s">
        <v>40</v>
      </c>
      <c r="C33">
        <v>8</v>
      </c>
      <c r="D33">
        <v>208</v>
      </c>
      <c r="E33">
        <v>72</v>
      </c>
      <c r="F33">
        <v>2</v>
      </c>
      <c r="G33">
        <v>50.75</v>
      </c>
      <c r="H33" s="9">
        <v>0</v>
      </c>
      <c r="I33" s="9">
        <v>101.5</v>
      </c>
    </row>
    <row r="34" spans="1:9" x14ac:dyDescent="0.3">
      <c r="A34">
        <v>33</v>
      </c>
      <c r="B34" t="s">
        <v>41</v>
      </c>
      <c r="C34">
        <v>4</v>
      </c>
      <c r="D34">
        <v>220</v>
      </c>
      <c r="E34">
        <v>6</v>
      </c>
      <c r="F34">
        <v>1</v>
      </c>
      <c r="G34">
        <v>44.63</v>
      </c>
      <c r="H34" s="9">
        <v>0.05</v>
      </c>
      <c r="I34" s="9">
        <v>42.4</v>
      </c>
    </row>
    <row r="35" spans="1:9" x14ac:dyDescent="0.3">
      <c r="A35">
        <v>34</v>
      </c>
      <c r="B35" t="s">
        <v>42</v>
      </c>
      <c r="C35">
        <v>3</v>
      </c>
      <c r="D35">
        <v>118</v>
      </c>
      <c r="E35">
        <v>33</v>
      </c>
      <c r="F35">
        <v>1</v>
      </c>
      <c r="G35">
        <v>21.23</v>
      </c>
      <c r="H35" s="9">
        <v>0.1</v>
      </c>
      <c r="I35" s="9">
        <v>19.11</v>
      </c>
    </row>
    <row r="36" spans="1:9" x14ac:dyDescent="0.3">
      <c r="A36">
        <v>35</v>
      </c>
      <c r="B36" t="s">
        <v>43</v>
      </c>
      <c r="C36">
        <v>4</v>
      </c>
      <c r="D36">
        <v>211</v>
      </c>
      <c r="E36">
        <v>98</v>
      </c>
      <c r="F36">
        <v>1</v>
      </c>
      <c r="G36">
        <v>136.97</v>
      </c>
      <c r="H36" s="9">
        <v>0.05</v>
      </c>
      <c r="I36" s="9">
        <v>130.12</v>
      </c>
    </row>
    <row r="37" spans="1:9" x14ac:dyDescent="0.3">
      <c r="A37">
        <v>36</v>
      </c>
      <c r="B37" t="s">
        <v>44</v>
      </c>
      <c r="C37">
        <v>3</v>
      </c>
      <c r="D37">
        <v>187</v>
      </c>
      <c r="E37">
        <v>52</v>
      </c>
      <c r="F37">
        <v>2</v>
      </c>
      <c r="G37">
        <v>196.75</v>
      </c>
      <c r="H37" s="9">
        <v>0</v>
      </c>
      <c r="I37" s="9">
        <v>393.5</v>
      </c>
    </row>
    <row r="38" spans="1:9" x14ac:dyDescent="0.3">
      <c r="A38">
        <v>37</v>
      </c>
      <c r="B38" t="s">
        <v>45</v>
      </c>
      <c r="C38">
        <v>5</v>
      </c>
      <c r="D38">
        <v>96</v>
      </c>
      <c r="E38">
        <v>89</v>
      </c>
      <c r="F38">
        <v>1</v>
      </c>
      <c r="G38">
        <v>247.43</v>
      </c>
      <c r="H38" s="9">
        <v>0</v>
      </c>
      <c r="I38" s="9">
        <v>247.43</v>
      </c>
    </row>
    <row r="39" spans="1:9" x14ac:dyDescent="0.3">
      <c r="A39">
        <v>38</v>
      </c>
      <c r="B39" t="s">
        <v>46</v>
      </c>
      <c r="C39">
        <v>6</v>
      </c>
      <c r="D39">
        <v>93</v>
      </c>
      <c r="E39">
        <v>9</v>
      </c>
      <c r="F39">
        <v>1</v>
      </c>
      <c r="G39">
        <v>152.78</v>
      </c>
      <c r="H39" s="9">
        <v>0</v>
      </c>
      <c r="I39" s="9">
        <v>152.78</v>
      </c>
    </row>
    <row r="40" spans="1:9" x14ac:dyDescent="0.3">
      <c r="A40">
        <v>39</v>
      </c>
      <c r="B40" t="s">
        <v>47</v>
      </c>
      <c r="C40">
        <v>5</v>
      </c>
      <c r="D40">
        <v>110</v>
      </c>
      <c r="E40">
        <v>94</v>
      </c>
      <c r="F40">
        <v>1</v>
      </c>
      <c r="G40">
        <v>163.66</v>
      </c>
      <c r="H40" s="9">
        <v>0</v>
      </c>
      <c r="I40" s="9">
        <v>163.66</v>
      </c>
    </row>
    <row r="41" spans="1:9" x14ac:dyDescent="0.3">
      <c r="A41">
        <v>40</v>
      </c>
      <c r="B41" t="s">
        <v>48</v>
      </c>
      <c r="C41">
        <v>5</v>
      </c>
      <c r="D41">
        <v>39</v>
      </c>
      <c r="E41">
        <v>25</v>
      </c>
      <c r="F41">
        <v>1</v>
      </c>
      <c r="G41">
        <v>117.41</v>
      </c>
      <c r="H41" s="9">
        <v>0</v>
      </c>
      <c r="I41" s="9">
        <v>117.41</v>
      </c>
    </row>
    <row r="42" spans="1:9" x14ac:dyDescent="0.3">
      <c r="A42">
        <v>41</v>
      </c>
      <c r="B42" t="s">
        <v>49</v>
      </c>
      <c r="C42">
        <v>8</v>
      </c>
      <c r="D42">
        <v>154</v>
      </c>
      <c r="E42">
        <v>44</v>
      </c>
      <c r="F42">
        <v>1</v>
      </c>
      <c r="G42">
        <v>235.19</v>
      </c>
      <c r="H42" s="9">
        <v>0</v>
      </c>
      <c r="I42" s="9">
        <v>235.19</v>
      </c>
    </row>
    <row r="43" spans="1:9" x14ac:dyDescent="0.3">
      <c r="A43">
        <v>42</v>
      </c>
      <c r="B43" t="s">
        <v>50</v>
      </c>
      <c r="C43">
        <v>8</v>
      </c>
      <c r="D43">
        <v>143</v>
      </c>
      <c r="E43">
        <v>25</v>
      </c>
      <c r="F43">
        <v>1</v>
      </c>
      <c r="G43">
        <v>117.41</v>
      </c>
      <c r="H43" s="9">
        <v>0.05</v>
      </c>
      <c r="I43" s="9">
        <v>111.54</v>
      </c>
    </row>
    <row r="44" spans="1:9" x14ac:dyDescent="0.3">
      <c r="A44">
        <v>43</v>
      </c>
      <c r="B44" t="s">
        <v>51</v>
      </c>
      <c r="C44">
        <v>6</v>
      </c>
      <c r="D44">
        <v>177</v>
      </c>
      <c r="E44">
        <v>60</v>
      </c>
      <c r="F44">
        <v>1</v>
      </c>
      <c r="G44">
        <v>101.29</v>
      </c>
      <c r="H44" s="9">
        <v>0.05</v>
      </c>
      <c r="I44" s="9">
        <v>96.23</v>
      </c>
    </row>
    <row r="45" spans="1:9" x14ac:dyDescent="0.3">
      <c r="A45">
        <v>44</v>
      </c>
      <c r="B45" t="s">
        <v>52</v>
      </c>
      <c r="C45">
        <v>7</v>
      </c>
      <c r="D45">
        <v>37</v>
      </c>
      <c r="E45">
        <v>93</v>
      </c>
      <c r="F45">
        <v>1</v>
      </c>
      <c r="G45">
        <v>239.23</v>
      </c>
      <c r="H45" s="9">
        <v>0</v>
      </c>
      <c r="I45" s="9">
        <v>239.23</v>
      </c>
    </row>
    <row r="46" spans="1:9" x14ac:dyDescent="0.3">
      <c r="A46">
        <v>45</v>
      </c>
      <c r="B46" t="s">
        <v>53</v>
      </c>
      <c r="C46">
        <v>6</v>
      </c>
      <c r="D46">
        <v>125</v>
      </c>
      <c r="E46">
        <v>69</v>
      </c>
      <c r="F46">
        <v>1</v>
      </c>
      <c r="G46">
        <v>22.86</v>
      </c>
      <c r="H46" s="9">
        <v>0.15</v>
      </c>
      <c r="I46" s="9">
        <v>19.43</v>
      </c>
    </row>
    <row r="47" spans="1:9" x14ac:dyDescent="0.3">
      <c r="A47">
        <v>46</v>
      </c>
      <c r="B47" t="s">
        <v>54</v>
      </c>
      <c r="C47">
        <v>4</v>
      </c>
      <c r="D47">
        <v>94</v>
      </c>
      <c r="E47">
        <v>62</v>
      </c>
      <c r="F47">
        <v>1</v>
      </c>
      <c r="G47">
        <v>82.81</v>
      </c>
      <c r="H47" s="9">
        <v>0</v>
      </c>
      <c r="I47" s="9">
        <v>82.81</v>
      </c>
    </row>
    <row r="48" spans="1:9" x14ac:dyDescent="0.3">
      <c r="A48">
        <v>47</v>
      </c>
      <c r="B48" t="s">
        <v>55</v>
      </c>
      <c r="C48">
        <v>4</v>
      </c>
      <c r="D48">
        <v>149</v>
      </c>
      <c r="E48">
        <v>80</v>
      </c>
      <c r="F48">
        <v>1</v>
      </c>
      <c r="G48">
        <v>33.380000000000003</v>
      </c>
      <c r="H48" s="9">
        <v>0</v>
      </c>
      <c r="I48" s="9">
        <v>33.380000000000003</v>
      </c>
    </row>
    <row r="49" spans="1:9" x14ac:dyDescent="0.3">
      <c r="A49">
        <v>48</v>
      </c>
      <c r="B49" t="s">
        <v>56</v>
      </c>
      <c r="C49">
        <v>1</v>
      </c>
      <c r="D49">
        <v>218</v>
      </c>
      <c r="E49">
        <v>86</v>
      </c>
      <c r="F49">
        <v>1</v>
      </c>
      <c r="G49">
        <v>99.19</v>
      </c>
      <c r="H49" s="9">
        <v>0.15</v>
      </c>
      <c r="I49" s="9">
        <v>84.31</v>
      </c>
    </row>
    <row r="50" spans="1:9" x14ac:dyDescent="0.3">
      <c r="A50">
        <v>49</v>
      </c>
      <c r="B50" t="s">
        <v>57</v>
      </c>
      <c r="C50">
        <v>8</v>
      </c>
      <c r="D50">
        <v>83</v>
      </c>
      <c r="E50">
        <v>72</v>
      </c>
      <c r="F50">
        <v>1</v>
      </c>
      <c r="G50">
        <v>50.75</v>
      </c>
      <c r="H50" s="9">
        <v>0</v>
      </c>
      <c r="I50" s="9">
        <v>50.75</v>
      </c>
    </row>
    <row r="51" spans="1:9" x14ac:dyDescent="0.3">
      <c r="A51">
        <v>50</v>
      </c>
      <c r="B51" t="s">
        <v>58</v>
      </c>
      <c r="C51">
        <v>7</v>
      </c>
      <c r="D51">
        <v>193</v>
      </c>
      <c r="E51">
        <v>83</v>
      </c>
      <c r="F51">
        <v>1</v>
      </c>
      <c r="G51">
        <v>109.16</v>
      </c>
      <c r="H51" s="9">
        <v>0</v>
      </c>
      <c r="I51" s="9">
        <v>109.16</v>
      </c>
    </row>
    <row r="52" spans="1:9" x14ac:dyDescent="0.3">
      <c r="A52">
        <v>51</v>
      </c>
      <c r="B52" t="s">
        <v>59</v>
      </c>
      <c r="C52">
        <v>8</v>
      </c>
      <c r="D52">
        <v>127</v>
      </c>
      <c r="E52">
        <v>5</v>
      </c>
      <c r="F52">
        <v>1</v>
      </c>
      <c r="G52">
        <v>55.26</v>
      </c>
      <c r="H52" s="9">
        <v>0</v>
      </c>
      <c r="I52" s="9">
        <v>55.26</v>
      </c>
    </row>
    <row r="53" spans="1:9" x14ac:dyDescent="0.3">
      <c r="A53">
        <v>52</v>
      </c>
      <c r="B53" t="s">
        <v>60</v>
      </c>
      <c r="C53">
        <v>3</v>
      </c>
      <c r="D53">
        <v>217</v>
      </c>
      <c r="E53">
        <v>71</v>
      </c>
      <c r="F53">
        <v>1</v>
      </c>
      <c r="G53">
        <v>225.61</v>
      </c>
      <c r="H53" s="9">
        <v>0</v>
      </c>
      <c r="I53" s="9">
        <v>225.61</v>
      </c>
    </row>
    <row r="54" spans="1:9" x14ac:dyDescent="0.3">
      <c r="A54">
        <v>53</v>
      </c>
      <c r="B54" t="s">
        <v>61</v>
      </c>
      <c r="C54">
        <v>6</v>
      </c>
      <c r="D54">
        <v>195</v>
      </c>
      <c r="E54">
        <v>4</v>
      </c>
      <c r="F54">
        <v>1</v>
      </c>
      <c r="G54">
        <v>168</v>
      </c>
      <c r="H54" s="9">
        <v>0</v>
      </c>
      <c r="I54" s="9">
        <v>168</v>
      </c>
    </row>
    <row r="55" spans="1:9" x14ac:dyDescent="0.3">
      <c r="A55">
        <v>54</v>
      </c>
      <c r="B55" t="s">
        <v>62</v>
      </c>
      <c r="C55">
        <v>8</v>
      </c>
      <c r="D55">
        <v>17</v>
      </c>
      <c r="E55">
        <v>50</v>
      </c>
      <c r="F55">
        <v>1</v>
      </c>
      <c r="G55">
        <v>52.54</v>
      </c>
      <c r="H55" s="9">
        <v>0</v>
      </c>
      <c r="I55" s="9">
        <v>52.54</v>
      </c>
    </row>
    <row r="56" spans="1:9" x14ac:dyDescent="0.3">
      <c r="A56">
        <v>55</v>
      </c>
      <c r="B56" t="s">
        <v>63</v>
      </c>
      <c r="C56">
        <v>8</v>
      </c>
      <c r="D56">
        <v>200</v>
      </c>
      <c r="E56">
        <v>64</v>
      </c>
      <c r="F56">
        <v>1</v>
      </c>
      <c r="G56">
        <v>103.65</v>
      </c>
      <c r="H56" s="9">
        <v>0</v>
      </c>
      <c r="I56" s="9">
        <v>103.65</v>
      </c>
    </row>
    <row r="57" spans="1:9" x14ac:dyDescent="0.3">
      <c r="A57">
        <v>56</v>
      </c>
      <c r="B57" t="s">
        <v>64</v>
      </c>
      <c r="C57">
        <v>3</v>
      </c>
      <c r="D57">
        <v>139</v>
      </c>
      <c r="E57">
        <v>44</v>
      </c>
      <c r="F57">
        <v>1</v>
      </c>
      <c r="G57">
        <v>235.19</v>
      </c>
      <c r="H57" s="9">
        <v>0.1</v>
      </c>
      <c r="I57" s="9">
        <v>211.67</v>
      </c>
    </row>
    <row r="58" spans="1:9" x14ac:dyDescent="0.3">
      <c r="A58">
        <v>57</v>
      </c>
      <c r="B58" t="s">
        <v>65</v>
      </c>
      <c r="C58">
        <v>3</v>
      </c>
      <c r="D58">
        <v>190</v>
      </c>
      <c r="E58">
        <v>47</v>
      </c>
      <c r="F58">
        <v>1</v>
      </c>
      <c r="G58">
        <v>93.41</v>
      </c>
      <c r="H58" s="9">
        <v>0</v>
      </c>
      <c r="I58" s="9">
        <v>93.41</v>
      </c>
    </row>
    <row r="59" spans="1:9" x14ac:dyDescent="0.3">
      <c r="A59">
        <v>58</v>
      </c>
      <c r="B59" t="s">
        <v>66</v>
      </c>
      <c r="C59">
        <v>8</v>
      </c>
      <c r="D59">
        <v>87</v>
      </c>
      <c r="E59">
        <v>29</v>
      </c>
      <c r="F59">
        <v>1</v>
      </c>
      <c r="G59">
        <v>138.6</v>
      </c>
      <c r="H59" s="9">
        <v>0</v>
      </c>
      <c r="I59" s="9">
        <v>138.6</v>
      </c>
    </row>
    <row r="60" spans="1:9" x14ac:dyDescent="0.3">
      <c r="A60">
        <v>59</v>
      </c>
      <c r="B60" t="s">
        <v>67</v>
      </c>
      <c r="C60">
        <v>6</v>
      </c>
      <c r="D60">
        <v>106</v>
      </c>
      <c r="E60">
        <v>94</v>
      </c>
      <c r="F60">
        <v>1</v>
      </c>
      <c r="G60">
        <v>163.66</v>
      </c>
      <c r="H60" s="9">
        <v>0</v>
      </c>
      <c r="I60" s="9">
        <v>163.66</v>
      </c>
    </row>
    <row r="61" spans="1:9" x14ac:dyDescent="0.3">
      <c r="A61">
        <v>60</v>
      </c>
      <c r="B61" t="s">
        <v>68</v>
      </c>
      <c r="C61">
        <v>2</v>
      </c>
      <c r="D61">
        <v>132</v>
      </c>
      <c r="E61">
        <v>6</v>
      </c>
      <c r="F61">
        <v>2</v>
      </c>
      <c r="G61">
        <v>44.63</v>
      </c>
      <c r="H61" s="9">
        <v>0</v>
      </c>
      <c r="I61" s="9">
        <v>89.26</v>
      </c>
    </row>
    <row r="62" spans="1:9" x14ac:dyDescent="0.3">
      <c r="A62">
        <v>61</v>
      </c>
      <c r="B62" t="s">
        <v>69</v>
      </c>
      <c r="C62">
        <v>7</v>
      </c>
      <c r="D62">
        <v>43</v>
      </c>
      <c r="E62">
        <v>72</v>
      </c>
      <c r="F62">
        <v>1</v>
      </c>
      <c r="G62">
        <v>50.75</v>
      </c>
      <c r="H62" s="9">
        <v>0.05</v>
      </c>
      <c r="I62" s="9">
        <v>48.21</v>
      </c>
    </row>
    <row r="63" spans="1:9" x14ac:dyDescent="0.3">
      <c r="A63">
        <v>62</v>
      </c>
      <c r="B63" t="s">
        <v>70</v>
      </c>
      <c r="C63">
        <v>8</v>
      </c>
      <c r="D63">
        <v>47</v>
      </c>
      <c r="E63">
        <v>1</v>
      </c>
      <c r="F63">
        <v>1</v>
      </c>
      <c r="G63">
        <v>90.53</v>
      </c>
      <c r="H63" s="9">
        <v>0</v>
      </c>
      <c r="I63" s="9">
        <v>90.53</v>
      </c>
    </row>
    <row r="64" spans="1:9" x14ac:dyDescent="0.3">
      <c r="A64">
        <v>63</v>
      </c>
      <c r="B64" t="s">
        <v>71</v>
      </c>
      <c r="C64">
        <v>2</v>
      </c>
      <c r="D64">
        <v>165</v>
      </c>
      <c r="E64">
        <v>70</v>
      </c>
      <c r="F64">
        <v>1</v>
      </c>
      <c r="G64">
        <v>280.36</v>
      </c>
      <c r="H64" s="9">
        <v>0</v>
      </c>
      <c r="I64" s="9">
        <v>280.36</v>
      </c>
    </row>
    <row r="65" spans="1:9" x14ac:dyDescent="0.3">
      <c r="A65">
        <v>64</v>
      </c>
      <c r="B65" t="s">
        <v>72</v>
      </c>
      <c r="C65">
        <v>5</v>
      </c>
      <c r="D65">
        <v>101</v>
      </c>
      <c r="E65">
        <v>73</v>
      </c>
      <c r="F65">
        <v>1</v>
      </c>
      <c r="G65">
        <v>8.39</v>
      </c>
      <c r="H65" s="9">
        <v>0</v>
      </c>
      <c r="I65" s="9">
        <v>8.39</v>
      </c>
    </row>
    <row r="66" spans="1:9" x14ac:dyDescent="0.3">
      <c r="A66">
        <v>65</v>
      </c>
      <c r="B66" t="s">
        <v>73</v>
      </c>
      <c r="C66">
        <v>2</v>
      </c>
      <c r="D66">
        <v>103</v>
      </c>
      <c r="E66">
        <v>57</v>
      </c>
      <c r="F66">
        <v>4</v>
      </c>
      <c r="G66">
        <v>32.28</v>
      </c>
      <c r="H66" s="9">
        <v>0</v>
      </c>
      <c r="I66" s="9">
        <v>129.12</v>
      </c>
    </row>
    <row r="67" spans="1:9" x14ac:dyDescent="0.3">
      <c r="A67">
        <v>66</v>
      </c>
      <c r="B67" t="s">
        <v>74</v>
      </c>
      <c r="C67">
        <v>2</v>
      </c>
      <c r="D67">
        <v>27</v>
      </c>
      <c r="E67">
        <v>30</v>
      </c>
      <c r="F67">
        <v>1</v>
      </c>
      <c r="G67">
        <v>19.399999999999999</v>
      </c>
      <c r="H67" s="9">
        <v>0</v>
      </c>
      <c r="I67" s="9">
        <v>19.399999999999999</v>
      </c>
    </row>
    <row r="68" spans="1:9" x14ac:dyDescent="0.3">
      <c r="A68">
        <v>67</v>
      </c>
      <c r="B68" t="s">
        <v>62</v>
      </c>
      <c r="C68">
        <v>8</v>
      </c>
      <c r="D68">
        <v>24</v>
      </c>
      <c r="E68">
        <v>7</v>
      </c>
      <c r="F68">
        <v>1</v>
      </c>
      <c r="G68">
        <v>21.72</v>
      </c>
      <c r="H68" s="9">
        <v>0.1</v>
      </c>
      <c r="I68" s="9">
        <v>19.55</v>
      </c>
    </row>
    <row r="69" spans="1:9" x14ac:dyDescent="0.3">
      <c r="A69">
        <v>68</v>
      </c>
      <c r="B69" t="s">
        <v>75</v>
      </c>
      <c r="C69">
        <v>5</v>
      </c>
      <c r="D69">
        <v>15</v>
      </c>
      <c r="E69">
        <v>79</v>
      </c>
      <c r="F69">
        <v>1</v>
      </c>
      <c r="G69">
        <v>117.59</v>
      </c>
      <c r="H69" s="9">
        <v>0.1</v>
      </c>
      <c r="I69" s="9">
        <v>105.83</v>
      </c>
    </row>
    <row r="70" spans="1:9" x14ac:dyDescent="0.3">
      <c r="A70">
        <v>69</v>
      </c>
      <c r="B70" t="s">
        <v>76</v>
      </c>
      <c r="C70">
        <v>1</v>
      </c>
      <c r="D70">
        <v>95</v>
      </c>
      <c r="E70">
        <v>98</v>
      </c>
      <c r="F70">
        <v>1</v>
      </c>
      <c r="G70">
        <v>136.97</v>
      </c>
      <c r="H70" s="9">
        <v>0.05</v>
      </c>
      <c r="I70" s="9">
        <v>130.12</v>
      </c>
    </row>
    <row r="71" spans="1:9" x14ac:dyDescent="0.3">
      <c r="A71">
        <v>70</v>
      </c>
      <c r="B71" t="s">
        <v>77</v>
      </c>
      <c r="C71">
        <v>1</v>
      </c>
      <c r="D71">
        <v>78</v>
      </c>
      <c r="E71">
        <v>29</v>
      </c>
      <c r="F71">
        <v>2</v>
      </c>
      <c r="G71">
        <v>138.6</v>
      </c>
      <c r="H71" s="9">
        <v>0.05</v>
      </c>
      <c r="I71" s="9">
        <v>263.33999999999997</v>
      </c>
    </row>
    <row r="72" spans="1:9" x14ac:dyDescent="0.3">
      <c r="A72">
        <v>71</v>
      </c>
      <c r="B72" t="s">
        <v>78</v>
      </c>
      <c r="C72">
        <v>6</v>
      </c>
      <c r="D72">
        <v>119</v>
      </c>
      <c r="E72">
        <v>16</v>
      </c>
      <c r="F72">
        <v>1</v>
      </c>
      <c r="G72">
        <v>62.77</v>
      </c>
      <c r="H72" s="9">
        <v>0</v>
      </c>
      <c r="I72" s="9">
        <v>62.77</v>
      </c>
    </row>
    <row r="73" spans="1:9" x14ac:dyDescent="0.3">
      <c r="A73">
        <v>72</v>
      </c>
      <c r="B73" t="s">
        <v>79</v>
      </c>
      <c r="C73">
        <v>7</v>
      </c>
      <c r="D73">
        <v>143</v>
      </c>
      <c r="E73">
        <v>23</v>
      </c>
      <c r="F73">
        <v>1</v>
      </c>
      <c r="G73">
        <v>79.94</v>
      </c>
      <c r="H73" s="9">
        <v>0</v>
      </c>
      <c r="I73" s="9">
        <v>79.94</v>
      </c>
    </row>
    <row r="74" spans="1:9" x14ac:dyDescent="0.3">
      <c r="A74">
        <v>73</v>
      </c>
      <c r="B74" t="s">
        <v>80</v>
      </c>
      <c r="C74">
        <v>4</v>
      </c>
      <c r="D74">
        <v>7</v>
      </c>
      <c r="E74">
        <v>9</v>
      </c>
      <c r="F74">
        <v>2</v>
      </c>
      <c r="G74">
        <v>152.78</v>
      </c>
      <c r="H74" s="9">
        <v>0</v>
      </c>
      <c r="I74" s="9">
        <v>305.56</v>
      </c>
    </row>
    <row r="75" spans="1:9" x14ac:dyDescent="0.3">
      <c r="A75">
        <v>74</v>
      </c>
      <c r="B75" t="s">
        <v>81</v>
      </c>
      <c r="C75">
        <v>3</v>
      </c>
      <c r="D75">
        <v>19</v>
      </c>
      <c r="E75">
        <v>91</v>
      </c>
      <c r="F75">
        <v>1</v>
      </c>
      <c r="G75">
        <v>33.700000000000003</v>
      </c>
      <c r="H75" s="9">
        <v>0</v>
      </c>
      <c r="I75" s="9">
        <v>33.700000000000003</v>
      </c>
    </row>
    <row r="76" spans="1:9" x14ac:dyDescent="0.3">
      <c r="A76">
        <v>75</v>
      </c>
      <c r="B76" t="s">
        <v>82</v>
      </c>
      <c r="C76">
        <v>3</v>
      </c>
      <c r="D76">
        <v>98</v>
      </c>
      <c r="E76">
        <v>88</v>
      </c>
      <c r="F76">
        <v>1</v>
      </c>
      <c r="G76">
        <v>181.05</v>
      </c>
      <c r="H76" s="9">
        <v>0</v>
      </c>
      <c r="I76" s="9">
        <v>181.05</v>
      </c>
    </row>
    <row r="77" spans="1:9" x14ac:dyDescent="0.3">
      <c r="A77">
        <v>76</v>
      </c>
      <c r="B77" t="s">
        <v>83</v>
      </c>
      <c r="C77">
        <v>7</v>
      </c>
      <c r="D77">
        <v>167</v>
      </c>
      <c r="E77">
        <v>61</v>
      </c>
      <c r="F77">
        <v>1</v>
      </c>
      <c r="G77">
        <v>106.64</v>
      </c>
      <c r="H77" s="9">
        <v>0.2</v>
      </c>
      <c r="I77" s="9">
        <v>85.31</v>
      </c>
    </row>
    <row r="78" spans="1:9" x14ac:dyDescent="0.3">
      <c r="A78">
        <v>77</v>
      </c>
      <c r="B78" t="s">
        <v>84</v>
      </c>
      <c r="C78">
        <v>8</v>
      </c>
      <c r="D78">
        <v>51</v>
      </c>
      <c r="E78">
        <v>87</v>
      </c>
      <c r="F78">
        <v>1</v>
      </c>
      <c r="G78">
        <v>223.85</v>
      </c>
      <c r="H78" s="9">
        <v>0.05</v>
      </c>
      <c r="I78" s="9">
        <v>212.66</v>
      </c>
    </row>
    <row r="79" spans="1:9" x14ac:dyDescent="0.3">
      <c r="A79">
        <v>78</v>
      </c>
      <c r="B79" t="s">
        <v>85</v>
      </c>
      <c r="C79">
        <v>4</v>
      </c>
      <c r="D79">
        <v>148</v>
      </c>
      <c r="E79">
        <v>23</v>
      </c>
      <c r="F79">
        <v>1</v>
      </c>
      <c r="G79">
        <v>79.94</v>
      </c>
      <c r="H79" s="9">
        <v>0</v>
      </c>
      <c r="I79" s="9">
        <v>79.94</v>
      </c>
    </row>
    <row r="80" spans="1:9" x14ac:dyDescent="0.3">
      <c r="A80">
        <v>79</v>
      </c>
      <c r="B80" t="s">
        <v>86</v>
      </c>
      <c r="C80">
        <v>5</v>
      </c>
      <c r="D80">
        <v>74</v>
      </c>
      <c r="E80">
        <v>34</v>
      </c>
      <c r="F80">
        <v>2</v>
      </c>
      <c r="G80">
        <v>247.04</v>
      </c>
      <c r="H80" s="9">
        <v>0</v>
      </c>
      <c r="I80" s="9">
        <v>494.08</v>
      </c>
    </row>
    <row r="81" spans="1:9" x14ac:dyDescent="0.3">
      <c r="A81">
        <v>80</v>
      </c>
      <c r="B81" t="s">
        <v>87</v>
      </c>
      <c r="C81">
        <v>5</v>
      </c>
      <c r="D81">
        <v>82</v>
      </c>
      <c r="E81">
        <v>36</v>
      </c>
      <c r="F81">
        <v>2</v>
      </c>
      <c r="G81">
        <v>211.43</v>
      </c>
      <c r="H81" s="9">
        <v>0</v>
      </c>
      <c r="I81" s="9">
        <v>422.86</v>
      </c>
    </row>
    <row r="82" spans="1:9" x14ac:dyDescent="0.3">
      <c r="A82">
        <v>81</v>
      </c>
      <c r="B82" t="s">
        <v>88</v>
      </c>
      <c r="C82">
        <v>8</v>
      </c>
      <c r="D82">
        <v>34</v>
      </c>
      <c r="E82">
        <v>63</v>
      </c>
      <c r="F82">
        <v>1</v>
      </c>
      <c r="G82">
        <v>239.9</v>
      </c>
      <c r="H82" s="9">
        <v>0.1</v>
      </c>
      <c r="I82" s="9">
        <v>215.91</v>
      </c>
    </row>
    <row r="83" spans="1:9" x14ac:dyDescent="0.3">
      <c r="A83">
        <v>82</v>
      </c>
      <c r="B83" t="s">
        <v>89</v>
      </c>
      <c r="C83">
        <v>3</v>
      </c>
      <c r="D83">
        <v>164</v>
      </c>
      <c r="E83">
        <v>87</v>
      </c>
      <c r="F83">
        <v>1</v>
      </c>
      <c r="G83">
        <v>223.85</v>
      </c>
      <c r="H83" s="9">
        <v>0.1</v>
      </c>
      <c r="I83" s="9">
        <v>201.47</v>
      </c>
    </row>
    <row r="84" spans="1:9" x14ac:dyDescent="0.3">
      <c r="A84">
        <v>83</v>
      </c>
      <c r="B84" t="s">
        <v>90</v>
      </c>
      <c r="C84">
        <v>8</v>
      </c>
      <c r="D84">
        <v>147</v>
      </c>
      <c r="E84">
        <v>35</v>
      </c>
      <c r="F84">
        <v>1</v>
      </c>
      <c r="G84">
        <v>303.48</v>
      </c>
      <c r="H84" s="9">
        <v>0</v>
      </c>
      <c r="I84" s="9">
        <v>303.48</v>
      </c>
    </row>
    <row r="85" spans="1:9" x14ac:dyDescent="0.3">
      <c r="A85">
        <v>84</v>
      </c>
      <c r="B85" t="s">
        <v>91</v>
      </c>
      <c r="C85">
        <v>5</v>
      </c>
      <c r="D85">
        <v>130</v>
      </c>
      <c r="E85">
        <v>90</v>
      </c>
      <c r="F85">
        <v>1</v>
      </c>
      <c r="G85">
        <v>122.32</v>
      </c>
      <c r="H85" s="9">
        <v>0.15</v>
      </c>
      <c r="I85" s="9">
        <v>103.97</v>
      </c>
    </row>
    <row r="86" spans="1:9" x14ac:dyDescent="0.3">
      <c r="A86">
        <v>85</v>
      </c>
      <c r="B86" t="s">
        <v>92</v>
      </c>
      <c r="C86">
        <v>5</v>
      </c>
      <c r="D86">
        <v>108</v>
      </c>
      <c r="E86">
        <v>26</v>
      </c>
      <c r="F86">
        <v>2</v>
      </c>
      <c r="G86">
        <v>211.87</v>
      </c>
      <c r="H86" s="9">
        <v>0</v>
      </c>
      <c r="I86" s="9">
        <v>423.74</v>
      </c>
    </row>
    <row r="87" spans="1:9" x14ac:dyDescent="0.3">
      <c r="A87">
        <v>86</v>
      </c>
      <c r="B87" t="s">
        <v>42</v>
      </c>
      <c r="C87">
        <v>5</v>
      </c>
      <c r="D87">
        <v>115</v>
      </c>
      <c r="E87">
        <v>35</v>
      </c>
      <c r="F87">
        <v>1</v>
      </c>
      <c r="G87">
        <v>303.48</v>
      </c>
      <c r="H87" s="9">
        <v>0.05</v>
      </c>
      <c r="I87" s="9">
        <v>288.31</v>
      </c>
    </row>
    <row r="88" spans="1:9" x14ac:dyDescent="0.3">
      <c r="A88">
        <v>87</v>
      </c>
      <c r="B88" t="s">
        <v>93</v>
      </c>
      <c r="C88">
        <v>7</v>
      </c>
      <c r="D88">
        <v>90</v>
      </c>
      <c r="E88">
        <v>97</v>
      </c>
      <c r="F88">
        <v>1</v>
      </c>
      <c r="G88">
        <v>158.26</v>
      </c>
      <c r="H88" s="9">
        <v>0.1</v>
      </c>
      <c r="I88" s="9">
        <v>142.43</v>
      </c>
    </row>
    <row r="89" spans="1:9" x14ac:dyDescent="0.3">
      <c r="A89">
        <v>88</v>
      </c>
      <c r="B89" t="s">
        <v>94</v>
      </c>
      <c r="C89">
        <v>2</v>
      </c>
      <c r="D89">
        <v>56</v>
      </c>
      <c r="E89">
        <v>38</v>
      </c>
      <c r="F89">
        <v>1</v>
      </c>
      <c r="G89">
        <v>35.35</v>
      </c>
      <c r="H89" s="9">
        <v>0</v>
      </c>
      <c r="I89" s="9">
        <v>35.35</v>
      </c>
    </row>
    <row r="90" spans="1:9" x14ac:dyDescent="0.3">
      <c r="A90">
        <v>89</v>
      </c>
      <c r="B90" t="s">
        <v>95</v>
      </c>
      <c r="C90">
        <v>7</v>
      </c>
      <c r="D90">
        <v>99</v>
      </c>
      <c r="E90">
        <v>98</v>
      </c>
      <c r="F90">
        <v>4</v>
      </c>
      <c r="G90">
        <v>136.97</v>
      </c>
      <c r="H90" s="9">
        <v>0</v>
      </c>
      <c r="I90" s="9">
        <v>547.88</v>
      </c>
    </row>
    <row r="91" spans="1:9" x14ac:dyDescent="0.3">
      <c r="A91">
        <v>90</v>
      </c>
      <c r="B91" t="s">
        <v>96</v>
      </c>
      <c r="C91">
        <v>5</v>
      </c>
      <c r="D91">
        <v>24</v>
      </c>
      <c r="E91">
        <v>67</v>
      </c>
      <c r="F91">
        <v>1</v>
      </c>
      <c r="G91">
        <v>41.9</v>
      </c>
      <c r="H91" s="9">
        <v>0</v>
      </c>
      <c r="I91" s="9">
        <v>41.9</v>
      </c>
    </row>
    <row r="92" spans="1:9" x14ac:dyDescent="0.3">
      <c r="A92">
        <v>91</v>
      </c>
      <c r="B92" t="s">
        <v>97</v>
      </c>
      <c r="C92">
        <v>1</v>
      </c>
      <c r="D92">
        <v>9</v>
      </c>
      <c r="E92">
        <v>91</v>
      </c>
      <c r="F92">
        <v>1</v>
      </c>
      <c r="G92">
        <v>33.700000000000003</v>
      </c>
      <c r="H92" s="9">
        <v>0</v>
      </c>
      <c r="I92" s="9">
        <v>33.700000000000003</v>
      </c>
    </row>
    <row r="93" spans="1:9" x14ac:dyDescent="0.3">
      <c r="A93">
        <v>92</v>
      </c>
      <c r="B93" t="s">
        <v>98</v>
      </c>
      <c r="C93">
        <v>5</v>
      </c>
      <c r="D93">
        <v>210</v>
      </c>
      <c r="E93">
        <v>48</v>
      </c>
      <c r="F93">
        <v>1</v>
      </c>
      <c r="G93">
        <v>146.85</v>
      </c>
      <c r="H93" s="9">
        <v>0</v>
      </c>
      <c r="I93" s="9">
        <v>146.85</v>
      </c>
    </row>
    <row r="94" spans="1:9" x14ac:dyDescent="0.3">
      <c r="A94">
        <v>93</v>
      </c>
      <c r="B94" t="s">
        <v>99</v>
      </c>
      <c r="C94">
        <v>1</v>
      </c>
      <c r="D94">
        <v>217</v>
      </c>
      <c r="E94">
        <v>31</v>
      </c>
      <c r="F94">
        <v>3</v>
      </c>
      <c r="G94">
        <v>165.45</v>
      </c>
      <c r="H94" s="9">
        <v>0</v>
      </c>
      <c r="I94" s="9">
        <v>496.35</v>
      </c>
    </row>
    <row r="95" spans="1:9" x14ac:dyDescent="0.3">
      <c r="A95">
        <v>94</v>
      </c>
      <c r="B95" t="s">
        <v>100</v>
      </c>
      <c r="C95">
        <v>5</v>
      </c>
      <c r="D95">
        <v>54</v>
      </c>
      <c r="E95">
        <v>34</v>
      </c>
      <c r="F95">
        <v>2</v>
      </c>
      <c r="G95">
        <v>247.04</v>
      </c>
      <c r="H95" s="9">
        <v>0</v>
      </c>
      <c r="I95" s="9">
        <v>494.08</v>
      </c>
    </row>
    <row r="96" spans="1:9" x14ac:dyDescent="0.3">
      <c r="A96">
        <v>95</v>
      </c>
      <c r="B96" t="s">
        <v>101</v>
      </c>
      <c r="C96">
        <v>6</v>
      </c>
      <c r="D96">
        <v>104</v>
      </c>
      <c r="E96">
        <v>55</v>
      </c>
      <c r="F96">
        <v>2</v>
      </c>
      <c r="G96">
        <v>193.33</v>
      </c>
      <c r="H96" s="9">
        <v>0</v>
      </c>
      <c r="I96" s="9">
        <v>386.66</v>
      </c>
    </row>
    <row r="97" spans="1:9" x14ac:dyDescent="0.3">
      <c r="A97">
        <v>96</v>
      </c>
      <c r="B97" t="s">
        <v>102</v>
      </c>
      <c r="C97">
        <v>4</v>
      </c>
      <c r="D97">
        <v>116</v>
      </c>
      <c r="E97">
        <v>26</v>
      </c>
      <c r="F97">
        <v>1</v>
      </c>
      <c r="G97">
        <v>211.87</v>
      </c>
      <c r="H97" s="9">
        <v>0</v>
      </c>
      <c r="I97" s="9">
        <v>211.87</v>
      </c>
    </row>
    <row r="98" spans="1:9" x14ac:dyDescent="0.3">
      <c r="A98">
        <v>97</v>
      </c>
      <c r="B98" t="s">
        <v>103</v>
      </c>
      <c r="C98">
        <v>3</v>
      </c>
      <c r="D98">
        <v>202</v>
      </c>
      <c r="E98">
        <v>46</v>
      </c>
      <c r="F98">
        <v>2</v>
      </c>
      <c r="G98">
        <v>157</v>
      </c>
      <c r="H98" s="9">
        <v>0</v>
      </c>
      <c r="I98" s="9">
        <v>314</v>
      </c>
    </row>
    <row r="99" spans="1:9" x14ac:dyDescent="0.3">
      <c r="A99">
        <v>98</v>
      </c>
      <c r="B99" t="s">
        <v>104</v>
      </c>
      <c r="C99">
        <v>1</v>
      </c>
      <c r="D99">
        <v>130</v>
      </c>
      <c r="E99">
        <v>93</v>
      </c>
      <c r="F99">
        <v>1</v>
      </c>
      <c r="G99">
        <v>239.23</v>
      </c>
      <c r="H99" s="9">
        <v>0.2</v>
      </c>
      <c r="I99" s="9">
        <v>191.38</v>
      </c>
    </row>
    <row r="100" spans="1:9" x14ac:dyDescent="0.3">
      <c r="A100">
        <v>99</v>
      </c>
      <c r="B100" t="s">
        <v>105</v>
      </c>
      <c r="C100">
        <v>8</v>
      </c>
      <c r="D100">
        <v>140</v>
      </c>
      <c r="E100">
        <v>9</v>
      </c>
      <c r="F100">
        <v>1</v>
      </c>
      <c r="G100">
        <v>152.78</v>
      </c>
      <c r="H100" s="9">
        <v>0</v>
      </c>
      <c r="I100" s="9">
        <v>152.78</v>
      </c>
    </row>
    <row r="101" spans="1:9" x14ac:dyDescent="0.3">
      <c r="A101">
        <v>100</v>
      </c>
      <c r="B101" t="s">
        <v>106</v>
      </c>
      <c r="C101">
        <v>6</v>
      </c>
      <c r="D101">
        <v>3</v>
      </c>
      <c r="E101">
        <v>89</v>
      </c>
      <c r="F101">
        <v>2</v>
      </c>
      <c r="G101">
        <v>247.43</v>
      </c>
      <c r="H101" s="9">
        <v>0.05</v>
      </c>
      <c r="I101" s="9">
        <v>470.12</v>
      </c>
    </row>
    <row r="102" spans="1:9" x14ac:dyDescent="0.3">
      <c r="A102">
        <v>101</v>
      </c>
      <c r="B102" t="s">
        <v>107</v>
      </c>
      <c r="C102">
        <v>2</v>
      </c>
      <c r="D102">
        <v>69</v>
      </c>
      <c r="E102">
        <v>97</v>
      </c>
      <c r="F102">
        <v>1</v>
      </c>
      <c r="G102">
        <v>158.26</v>
      </c>
      <c r="H102" s="9">
        <v>0.1</v>
      </c>
      <c r="I102" s="9">
        <v>142.43</v>
      </c>
    </row>
    <row r="103" spans="1:9" x14ac:dyDescent="0.3">
      <c r="A103">
        <v>102</v>
      </c>
      <c r="B103" t="s">
        <v>97</v>
      </c>
      <c r="C103">
        <v>6</v>
      </c>
      <c r="D103">
        <v>89</v>
      </c>
      <c r="E103">
        <v>49</v>
      </c>
      <c r="F103">
        <v>1</v>
      </c>
      <c r="G103">
        <v>130.58000000000001</v>
      </c>
      <c r="H103" s="9">
        <v>0</v>
      </c>
      <c r="I103" s="9">
        <v>130.58000000000001</v>
      </c>
    </row>
    <row r="104" spans="1:9" x14ac:dyDescent="0.3">
      <c r="A104">
        <v>103</v>
      </c>
      <c r="B104" t="s">
        <v>40</v>
      </c>
      <c r="C104">
        <v>3</v>
      </c>
      <c r="D104">
        <v>127</v>
      </c>
      <c r="E104">
        <v>13</v>
      </c>
      <c r="F104">
        <v>2</v>
      </c>
      <c r="G104">
        <v>262.70999999999998</v>
      </c>
      <c r="H104" s="9">
        <v>0</v>
      </c>
      <c r="I104" s="9">
        <v>525.41999999999996</v>
      </c>
    </row>
    <row r="105" spans="1:9" x14ac:dyDescent="0.3">
      <c r="A105">
        <v>104</v>
      </c>
      <c r="B105" t="s">
        <v>108</v>
      </c>
      <c r="C105">
        <v>3</v>
      </c>
      <c r="D105">
        <v>178</v>
      </c>
      <c r="E105">
        <v>33</v>
      </c>
      <c r="F105">
        <v>1</v>
      </c>
      <c r="G105">
        <v>21.23</v>
      </c>
      <c r="H105" s="9">
        <v>0.05</v>
      </c>
      <c r="I105" s="9">
        <v>20.170000000000002</v>
      </c>
    </row>
    <row r="106" spans="1:9" x14ac:dyDescent="0.3">
      <c r="A106">
        <v>105</v>
      </c>
      <c r="B106" t="s">
        <v>109</v>
      </c>
      <c r="C106">
        <v>5</v>
      </c>
      <c r="D106">
        <v>188</v>
      </c>
      <c r="E106">
        <v>30</v>
      </c>
      <c r="F106">
        <v>2</v>
      </c>
      <c r="G106">
        <v>19.399999999999999</v>
      </c>
      <c r="H106" s="9">
        <v>0.05</v>
      </c>
      <c r="I106" s="9">
        <v>36.86</v>
      </c>
    </row>
    <row r="107" spans="1:9" x14ac:dyDescent="0.3">
      <c r="A107">
        <v>106</v>
      </c>
      <c r="B107" t="s">
        <v>110</v>
      </c>
      <c r="C107">
        <v>5</v>
      </c>
      <c r="D107">
        <v>33</v>
      </c>
      <c r="E107">
        <v>89</v>
      </c>
      <c r="F107">
        <v>3</v>
      </c>
      <c r="G107">
        <v>247.43</v>
      </c>
      <c r="H107" s="9">
        <v>0</v>
      </c>
      <c r="I107" s="9">
        <v>742.29</v>
      </c>
    </row>
    <row r="108" spans="1:9" x14ac:dyDescent="0.3">
      <c r="A108">
        <v>107</v>
      </c>
      <c r="B108" t="s">
        <v>111</v>
      </c>
      <c r="C108">
        <v>5</v>
      </c>
      <c r="D108">
        <v>95</v>
      </c>
      <c r="E108">
        <v>88</v>
      </c>
      <c r="F108">
        <v>1</v>
      </c>
      <c r="G108">
        <v>181.05</v>
      </c>
      <c r="H108" s="9">
        <v>0.05</v>
      </c>
      <c r="I108" s="9">
        <v>172</v>
      </c>
    </row>
    <row r="109" spans="1:9" x14ac:dyDescent="0.3">
      <c r="A109">
        <v>108</v>
      </c>
      <c r="B109" t="s">
        <v>112</v>
      </c>
      <c r="C109">
        <v>2</v>
      </c>
      <c r="D109">
        <v>150</v>
      </c>
      <c r="E109">
        <v>29</v>
      </c>
      <c r="F109">
        <v>2</v>
      </c>
      <c r="G109">
        <v>138.6</v>
      </c>
      <c r="H109" s="9">
        <v>0.05</v>
      </c>
      <c r="I109" s="9">
        <v>263.33999999999997</v>
      </c>
    </row>
    <row r="110" spans="1:9" x14ac:dyDescent="0.3">
      <c r="A110">
        <v>109</v>
      </c>
      <c r="B110" t="s">
        <v>113</v>
      </c>
      <c r="C110">
        <v>2</v>
      </c>
      <c r="D110">
        <v>102</v>
      </c>
      <c r="E110">
        <v>28</v>
      </c>
      <c r="F110">
        <v>1</v>
      </c>
      <c r="G110">
        <v>162.13</v>
      </c>
      <c r="H110" s="9">
        <v>0</v>
      </c>
      <c r="I110" s="9">
        <v>162.13</v>
      </c>
    </row>
    <row r="111" spans="1:9" x14ac:dyDescent="0.3">
      <c r="A111">
        <v>110</v>
      </c>
      <c r="B111" t="s">
        <v>114</v>
      </c>
      <c r="C111">
        <v>4</v>
      </c>
      <c r="D111">
        <v>84</v>
      </c>
      <c r="E111">
        <v>12</v>
      </c>
      <c r="F111">
        <v>1</v>
      </c>
      <c r="G111">
        <v>236.84</v>
      </c>
      <c r="H111" s="9">
        <v>0.15</v>
      </c>
      <c r="I111" s="9">
        <v>201.31</v>
      </c>
    </row>
    <row r="112" spans="1:9" x14ac:dyDescent="0.3">
      <c r="A112">
        <v>111</v>
      </c>
      <c r="B112" t="s">
        <v>115</v>
      </c>
      <c r="C112">
        <v>6</v>
      </c>
      <c r="D112">
        <v>67</v>
      </c>
      <c r="E112">
        <v>78</v>
      </c>
      <c r="F112">
        <v>2</v>
      </c>
      <c r="G112">
        <v>25.66</v>
      </c>
      <c r="H112" s="9">
        <v>0.05</v>
      </c>
      <c r="I112" s="9">
        <v>48.75</v>
      </c>
    </row>
    <row r="113" spans="1:9" x14ac:dyDescent="0.3">
      <c r="A113">
        <v>112</v>
      </c>
      <c r="B113" t="s">
        <v>116</v>
      </c>
      <c r="C113">
        <v>7</v>
      </c>
      <c r="D113">
        <v>137</v>
      </c>
      <c r="E113">
        <v>3</v>
      </c>
      <c r="F113">
        <v>2</v>
      </c>
      <c r="G113">
        <v>190.58</v>
      </c>
      <c r="H113" s="9">
        <v>0</v>
      </c>
      <c r="I113" s="9">
        <v>381.16</v>
      </c>
    </row>
    <row r="114" spans="1:9" x14ac:dyDescent="0.3">
      <c r="A114">
        <v>113</v>
      </c>
      <c r="B114" t="s">
        <v>117</v>
      </c>
      <c r="C114">
        <v>5</v>
      </c>
      <c r="D114">
        <v>58</v>
      </c>
      <c r="E114">
        <v>75</v>
      </c>
      <c r="F114">
        <v>1</v>
      </c>
      <c r="G114">
        <v>205.69</v>
      </c>
      <c r="H114" s="9">
        <v>0</v>
      </c>
      <c r="I114" s="9">
        <v>205.69</v>
      </c>
    </row>
    <row r="115" spans="1:9" x14ac:dyDescent="0.3">
      <c r="A115">
        <v>114</v>
      </c>
      <c r="B115" t="s">
        <v>118</v>
      </c>
      <c r="C115">
        <v>8</v>
      </c>
      <c r="D115">
        <v>21</v>
      </c>
      <c r="E115">
        <v>44</v>
      </c>
      <c r="F115">
        <v>1</v>
      </c>
      <c r="G115">
        <v>235.19</v>
      </c>
      <c r="H115" s="9">
        <v>0.05</v>
      </c>
      <c r="I115" s="9">
        <v>223.43</v>
      </c>
    </row>
    <row r="116" spans="1:9" x14ac:dyDescent="0.3">
      <c r="A116">
        <v>115</v>
      </c>
      <c r="B116" t="s">
        <v>119</v>
      </c>
      <c r="C116">
        <v>5</v>
      </c>
      <c r="D116">
        <v>182</v>
      </c>
      <c r="E116">
        <v>88</v>
      </c>
      <c r="F116">
        <v>1</v>
      </c>
      <c r="G116">
        <v>181.05</v>
      </c>
      <c r="H116" s="9">
        <v>0.1</v>
      </c>
      <c r="I116" s="9">
        <v>162.94999999999999</v>
      </c>
    </row>
    <row r="117" spans="1:9" x14ac:dyDescent="0.3">
      <c r="A117">
        <v>116</v>
      </c>
      <c r="B117" t="s">
        <v>58</v>
      </c>
      <c r="C117">
        <v>6</v>
      </c>
      <c r="D117">
        <v>193</v>
      </c>
      <c r="E117">
        <v>11</v>
      </c>
      <c r="F117">
        <v>1</v>
      </c>
      <c r="G117">
        <v>11.53</v>
      </c>
      <c r="H117" s="9">
        <v>0</v>
      </c>
      <c r="I117" s="9">
        <v>11.53</v>
      </c>
    </row>
    <row r="118" spans="1:9" x14ac:dyDescent="0.3">
      <c r="A118">
        <v>117</v>
      </c>
      <c r="B118" t="s">
        <v>120</v>
      </c>
      <c r="C118">
        <v>4</v>
      </c>
      <c r="D118">
        <v>15</v>
      </c>
      <c r="E118">
        <v>52</v>
      </c>
      <c r="F118">
        <v>2</v>
      </c>
      <c r="G118">
        <v>196.75</v>
      </c>
      <c r="H118" s="9">
        <v>0</v>
      </c>
      <c r="I118" s="9">
        <v>393.5</v>
      </c>
    </row>
    <row r="119" spans="1:9" x14ac:dyDescent="0.3">
      <c r="A119">
        <v>118</v>
      </c>
      <c r="B119" t="s">
        <v>121</v>
      </c>
      <c r="C119">
        <v>1</v>
      </c>
      <c r="D119">
        <v>174</v>
      </c>
      <c r="E119">
        <v>13</v>
      </c>
      <c r="F119">
        <v>1</v>
      </c>
      <c r="G119">
        <v>262.70999999999998</v>
      </c>
      <c r="H119" s="9">
        <v>0</v>
      </c>
      <c r="I119" s="9">
        <v>262.70999999999998</v>
      </c>
    </row>
    <row r="120" spans="1:9" x14ac:dyDescent="0.3">
      <c r="A120">
        <v>119</v>
      </c>
      <c r="B120" t="s">
        <v>122</v>
      </c>
      <c r="C120">
        <v>4</v>
      </c>
      <c r="D120">
        <v>212</v>
      </c>
      <c r="E120">
        <v>38</v>
      </c>
      <c r="F120">
        <v>1</v>
      </c>
      <c r="G120">
        <v>35.35</v>
      </c>
      <c r="H120" s="9">
        <v>0.1</v>
      </c>
      <c r="I120" s="9">
        <v>31.82</v>
      </c>
    </row>
    <row r="121" spans="1:9" x14ac:dyDescent="0.3">
      <c r="A121">
        <v>120</v>
      </c>
      <c r="B121" t="s">
        <v>123</v>
      </c>
      <c r="C121">
        <v>8</v>
      </c>
      <c r="D121">
        <v>94</v>
      </c>
      <c r="E121">
        <v>59</v>
      </c>
      <c r="F121">
        <v>1</v>
      </c>
      <c r="G121">
        <v>17.41</v>
      </c>
      <c r="H121" s="9">
        <v>0.15</v>
      </c>
      <c r="I121" s="9">
        <v>14.8</v>
      </c>
    </row>
    <row r="122" spans="1:9" x14ac:dyDescent="0.3">
      <c r="A122">
        <v>121</v>
      </c>
      <c r="B122" t="s">
        <v>124</v>
      </c>
      <c r="C122">
        <v>7</v>
      </c>
      <c r="D122">
        <v>164</v>
      </c>
      <c r="E122">
        <v>77</v>
      </c>
      <c r="F122">
        <v>1</v>
      </c>
      <c r="G122">
        <v>226.88</v>
      </c>
      <c r="H122" s="9">
        <v>0.15</v>
      </c>
      <c r="I122" s="9">
        <v>192.85</v>
      </c>
    </row>
    <row r="123" spans="1:9" x14ac:dyDescent="0.3">
      <c r="A123">
        <v>122</v>
      </c>
      <c r="B123" t="s">
        <v>125</v>
      </c>
      <c r="C123">
        <v>3</v>
      </c>
      <c r="D123">
        <v>140</v>
      </c>
      <c r="E123">
        <v>71</v>
      </c>
      <c r="F123">
        <v>1</v>
      </c>
      <c r="G123">
        <v>225.61</v>
      </c>
      <c r="H123" s="9">
        <v>0.2</v>
      </c>
      <c r="I123" s="9">
        <v>180.49</v>
      </c>
    </row>
    <row r="124" spans="1:9" x14ac:dyDescent="0.3">
      <c r="A124">
        <v>123</v>
      </c>
      <c r="B124" t="s">
        <v>126</v>
      </c>
      <c r="C124">
        <v>1</v>
      </c>
      <c r="D124">
        <v>157</v>
      </c>
      <c r="E124">
        <v>68</v>
      </c>
      <c r="F124">
        <v>1</v>
      </c>
      <c r="G124">
        <v>198.56</v>
      </c>
      <c r="H124" s="9">
        <v>0</v>
      </c>
      <c r="I124" s="9">
        <v>198.56</v>
      </c>
    </row>
    <row r="125" spans="1:9" x14ac:dyDescent="0.3">
      <c r="A125">
        <v>124</v>
      </c>
      <c r="B125" t="s">
        <v>127</v>
      </c>
      <c r="C125">
        <v>8</v>
      </c>
      <c r="D125">
        <v>144</v>
      </c>
      <c r="E125">
        <v>79</v>
      </c>
      <c r="F125">
        <v>2</v>
      </c>
      <c r="G125">
        <v>117.59</v>
      </c>
      <c r="H125" s="9">
        <v>0.15</v>
      </c>
      <c r="I125" s="9">
        <v>199.9</v>
      </c>
    </row>
    <row r="126" spans="1:9" x14ac:dyDescent="0.3">
      <c r="A126">
        <v>125</v>
      </c>
      <c r="B126" t="s">
        <v>128</v>
      </c>
      <c r="C126">
        <v>2</v>
      </c>
      <c r="D126">
        <v>118</v>
      </c>
      <c r="E126">
        <v>47</v>
      </c>
      <c r="F126">
        <v>2</v>
      </c>
      <c r="G126">
        <v>93.41</v>
      </c>
      <c r="H126" s="9">
        <v>0</v>
      </c>
      <c r="I126" s="9">
        <v>186.82</v>
      </c>
    </row>
    <row r="127" spans="1:9" x14ac:dyDescent="0.3">
      <c r="A127">
        <v>126</v>
      </c>
      <c r="B127" t="s">
        <v>72</v>
      </c>
      <c r="C127">
        <v>3</v>
      </c>
      <c r="D127">
        <v>92</v>
      </c>
      <c r="E127">
        <v>41</v>
      </c>
      <c r="F127">
        <v>1</v>
      </c>
      <c r="G127">
        <v>45.5</v>
      </c>
      <c r="H127" s="9">
        <v>0.15</v>
      </c>
      <c r="I127" s="9">
        <v>38.67</v>
      </c>
    </row>
    <row r="128" spans="1:9" x14ac:dyDescent="0.3">
      <c r="A128">
        <v>127</v>
      </c>
      <c r="B128" t="s">
        <v>129</v>
      </c>
      <c r="C128">
        <v>8</v>
      </c>
      <c r="D128">
        <v>108</v>
      </c>
      <c r="E128">
        <v>50</v>
      </c>
      <c r="F128">
        <v>2</v>
      </c>
      <c r="G128">
        <v>52.54</v>
      </c>
      <c r="H128" s="9">
        <v>0</v>
      </c>
      <c r="I128" s="9">
        <v>105.08</v>
      </c>
    </row>
    <row r="129" spans="1:9" x14ac:dyDescent="0.3">
      <c r="A129">
        <v>128</v>
      </c>
      <c r="B129" t="s">
        <v>130</v>
      </c>
      <c r="C129">
        <v>7</v>
      </c>
      <c r="D129">
        <v>86</v>
      </c>
      <c r="E129">
        <v>29</v>
      </c>
      <c r="F129">
        <v>1</v>
      </c>
      <c r="G129">
        <v>138.6</v>
      </c>
      <c r="H129" s="9">
        <v>0.15</v>
      </c>
      <c r="I129" s="9">
        <v>117.81</v>
      </c>
    </row>
    <row r="130" spans="1:9" x14ac:dyDescent="0.3">
      <c r="A130">
        <v>129</v>
      </c>
      <c r="B130" t="s">
        <v>131</v>
      </c>
      <c r="C130">
        <v>7</v>
      </c>
      <c r="D130">
        <v>40</v>
      </c>
      <c r="E130">
        <v>12</v>
      </c>
      <c r="F130">
        <v>1</v>
      </c>
      <c r="G130">
        <v>236.84</v>
      </c>
      <c r="H130" s="9">
        <v>0</v>
      </c>
      <c r="I130" s="9">
        <v>236.84</v>
      </c>
    </row>
    <row r="131" spans="1:9" x14ac:dyDescent="0.3">
      <c r="A131">
        <v>130</v>
      </c>
      <c r="B131" t="s">
        <v>132</v>
      </c>
      <c r="C131">
        <v>8</v>
      </c>
      <c r="D131">
        <v>3</v>
      </c>
      <c r="E131">
        <v>41</v>
      </c>
      <c r="F131">
        <v>1</v>
      </c>
      <c r="G131">
        <v>45.5</v>
      </c>
      <c r="H131" s="9">
        <v>0</v>
      </c>
      <c r="I131" s="9">
        <v>45.5</v>
      </c>
    </row>
    <row r="132" spans="1:9" x14ac:dyDescent="0.3">
      <c r="A132">
        <v>131</v>
      </c>
      <c r="B132" t="s">
        <v>35</v>
      </c>
      <c r="C132">
        <v>5</v>
      </c>
      <c r="D132">
        <v>120</v>
      </c>
      <c r="E132">
        <v>44</v>
      </c>
      <c r="F132">
        <v>2</v>
      </c>
      <c r="G132">
        <v>235.19</v>
      </c>
      <c r="H132" s="9">
        <v>0.1</v>
      </c>
      <c r="I132" s="9">
        <v>423.34</v>
      </c>
    </row>
    <row r="133" spans="1:9" x14ac:dyDescent="0.3">
      <c r="A133">
        <v>132</v>
      </c>
      <c r="B133" t="s">
        <v>133</v>
      </c>
      <c r="C133">
        <v>6</v>
      </c>
      <c r="D133">
        <v>146</v>
      </c>
      <c r="E133">
        <v>37</v>
      </c>
      <c r="F133">
        <v>1</v>
      </c>
      <c r="G133">
        <v>88.87</v>
      </c>
      <c r="H133" s="9">
        <v>0</v>
      </c>
      <c r="I133" s="9">
        <v>88.87</v>
      </c>
    </row>
    <row r="134" spans="1:9" x14ac:dyDescent="0.3">
      <c r="A134">
        <v>133</v>
      </c>
      <c r="B134" t="s">
        <v>134</v>
      </c>
      <c r="C134">
        <v>8</v>
      </c>
      <c r="D134">
        <v>97</v>
      </c>
      <c r="E134">
        <v>84</v>
      </c>
      <c r="F134">
        <v>2</v>
      </c>
      <c r="G134">
        <v>26.78</v>
      </c>
      <c r="H134" s="9">
        <v>0</v>
      </c>
      <c r="I134" s="9">
        <v>53.56</v>
      </c>
    </row>
    <row r="135" spans="1:9" x14ac:dyDescent="0.3">
      <c r="A135">
        <v>134</v>
      </c>
      <c r="B135" t="s">
        <v>135</v>
      </c>
      <c r="C135">
        <v>4</v>
      </c>
      <c r="D135">
        <v>154</v>
      </c>
      <c r="E135">
        <v>81</v>
      </c>
      <c r="F135">
        <v>1</v>
      </c>
      <c r="G135">
        <v>225.3</v>
      </c>
      <c r="H135" s="9">
        <v>0</v>
      </c>
      <c r="I135" s="9">
        <v>225.3</v>
      </c>
    </row>
    <row r="136" spans="1:9" x14ac:dyDescent="0.3">
      <c r="A136">
        <v>135</v>
      </c>
      <c r="B136" t="s">
        <v>136</v>
      </c>
      <c r="C136">
        <v>2</v>
      </c>
      <c r="D136">
        <v>190</v>
      </c>
      <c r="E136">
        <v>20</v>
      </c>
      <c r="F136">
        <v>1</v>
      </c>
      <c r="G136">
        <v>85.89</v>
      </c>
      <c r="H136" s="9">
        <v>0</v>
      </c>
      <c r="I136" s="9">
        <v>85.89</v>
      </c>
    </row>
    <row r="137" spans="1:9" x14ac:dyDescent="0.3">
      <c r="A137">
        <v>136</v>
      </c>
      <c r="B137" t="s">
        <v>137</v>
      </c>
      <c r="C137">
        <v>6</v>
      </c>
      <c r="D137">
        <v>182</v>
      </c>
      <c r="E137">
        <v>28</v>
      </c>
      <c r="F137">
        <v>1</v>
      </c>
      <c r="G137">
        <v>162.13</v>
      </c>
      <c r="H137" s="9">
        <v>0</v>
      </c>
      <c r="I137" s="9">
        <v>162.13</v>
      </c>
    </row>
    <row r="138" spans="1:9" x14ac:dyDescent="0.3">
      <c r="A138">
        <v>137</v>
      </c>
      <c r="B138" t="s">
        <v>138</v>
      </c>
      <c r="C138">
        <v>7</v>
      </c>
      <c r="D138">
        <v>18</v>
      </c>
      <c r="E138">
        <v>45</v>
      </c>
      <c r="F138">
        <v>4</v>
      </c>
      <c r="G138">
        <v>70.989999999999995</v>
      </c>
      <c r="H138" s="9">
        <v>0.2</v>
      </c>
      <c r="I138" s="9">
        <v>227.17</v>
      </c>
    </row>
    <row r="139" spans="1:9" x14ac:dyDescent="0.3">
      <c r="A139">
        <v>138</v>
      </c>
      <c r="B139" t="s">
        <v>139</v>
      </c>
      <c r="C139">
        <v>4</v>
      </c>
      <c r="D139">
        <v>143</v>
      </c>
      <c r="E139">
        <v>1</v>
      </c>
      <c r="F139">
        <v>1</v>
      </c>
      <c r="G139">
        <v>90.53</v>
      </c>
      <c r="H139" s="9">
        <v>0.05</v>
      </c>
      <c r="I139" s="9">
        <v>86</v>
      </c>
    </row>
    <row r="140" spans="1:9" x14ac:dyDescent="0.3">
      <c r="A140">
        <v>139</v>
      </c>
      <c r="B140" t="s">
        <v>140</v>
      </c>
      <c r="C140">
        <v>8</v>
      </c>
      <c r="D140">
        <v>85</v>
      </c>
      <c r="E140">
        <v>17</v>
      </c>
      <c r="F140">
        <v>1</v>
      </c>
      <c r="G140">
        <v>97.14</v>
      </c>
      <c r="H140" s="9">
        <v>0</v>
      </c>
      <c r="I140" s="9">
        <v>97.14</v>
      </c>
    </row>
    <row r="141" spans="1:9" x14ac:dyDescent="0.3">
      <c r="A141">
        <v>140</v>
      </c>
      <c r="B141" t="s">
        <v>141</v>
      </c>
      <c r="C141">
        <v>4</v>
      </c>
      <c r="D141">
        <v>218</v>
      </c>
      <c r="E141">
        <v>1</v>
      </c>
      <c r="F141">
        <v>1</v>
      </c>
      <c r="G141">
        <v>90.53</v>
      </c>
      <c r="H141" s="9">
        <v>0</v>
      </c>
      <c r="I141" s="9">
        <v>90.53</v>
      </c>
    </row>
    <row r="142" spans="1:9" x14ac:dyDescent="0.3">
      <c r="A142">
        <v>141</v>
      </c>
      <c r="B142" t="s">
        <v>142</v>
      </c>
      <c r="C142">
        <v>1</v>
      </c>
      <c r="D142">
        <v>10</v>
      </c>
      <c r="E142">
        <v>2</v>
      </c>
      <c r="F142">
        <v>1</v>
      </c>
      <c r="G142">
        <v>274.16000000000003</v>
      </c>
      <c r="H142" s="9">
        <v>0.2</v>
      </c>
      <c r="I142" s="9">
        <v>219.33</v>
      </c>
    </row>
    <row r="143" spans="1:9" x14ac:dyDescent="0.3">
      <c r="A143">
        <v>142</v>
      </c>
      <c r="B143" t="s">
        <v>143</v>
      </c>
      <c r="C143">
        <v>4</v>
      </c>
      <c r="D143">
        <v>119</v>
      </c>
      <c r="E143">
        <v>62</v>
      </c>
      <c r="F143">
        <v>2</v>
      </c>
      <c r="G143">
        <v>82.81</v>
      </c>
      <c r="H143" s="9">
        <v>0</v>
      </c>
      <c r="I143" s="9">
        <v>165.62</v>
      </c>
    </row>
    <row r="144" spans="1:9" x14ac:dyDescent="0.3">
      <c r="A144">
        <v>143</v>
      </c>
      <c r="B144" t="s">
        <v>144</v>
      </c>
      <c r="C144">
        <v>4</v>
      </c>
      <c r="D144">
        <v>80</v>
      </c>
      <c r="E144">
        <v>86</v>
      </c>
      <c r="F144">
        <v>1</v>
      </c>
      <c r="G144">
        <v>99.19</v>
      </c>
      <c r="H144" s="9">
        <v>0.15</v>
      </c>
      <c r="I144" s="9">
        <v>84.31</v>
      </c>
    </row>
    <row r="145" spans="1:9" x14ac:dyDescent="0.3">
      <c r="A145">
        <v>144</v>
      </c>
      <c r="B145" t="s">
        <v>145</v>
      </c>
      <c r="C145">
        <v>4</v>
      </c>
      <c r="D145">
        <v>189</v>
      </c>
      <c r="E145">
        <v>81</v>
      </c>
      <c r="F145">
        <v>1</v>
      </c>
      <c r="G145">
        <v>225.3</v>
      </c>
      <c r="H145" s="9">
        <v>0.15</v>
      </c>
      <c r="I145" s="9">
        <v>191.5</v>
      </c>
    </row>
    <row r="146" spans="1:9" x14ac:dyDescent="0.3">
      <c r="A146">
        <v>145</v>
      </c>
      <c r="B146" t="s">
        <v>146</v>
      </c>
      <c r="C146">
        <v>4</v>
      </c>
      <c r="D146">
        <v>214</v>
      </c>
      <c r="E146">
        <v>78</v>
      </c>
      <c r="F146">
        <v>1</v>
      </c>
      <c r="G146">
        <v>25.66</v>
      </c>
      <c r="H146" s="9">
        <v>0</v>
      </c>
      <c r="I146" s="9">
        <v>25.66</v>
      </c>
    </row>
    <row r="147" spans="1:9" x14ac:dyDescent="0.3">
      <c r="A147">
        <v>146</v>
      </c>
      <c r="B147" t="s">
        <v>69</v>
      </c>
      <c r="C147">
        <v>3</v>
      </c>
      <c r="D147">
        <v>182</v>
      </c>
      <c r="E147">
        <v>73</v>
      </c>
      <c r="F147">
        <v>1</v>
      </c>
      <c r="G147">
        <v>8.39</v>
      </c>
      <c r="H147" s="9">
        <v>0</v>
      </c>
      <c r="I147" s="9">
        <v>8.39</v>
      </c>
    </row>
    <row r="148" spans="1:9" x14ac:dyDescent="0.3">
      <c r="A148">
        <v>147</v>
      </c>
      <c r="B148" t="s">
        <v>48</v>
      </c>
      <c r="C148">
        <v>5</v>
      </c>
      <c r="D148">
        <v>32</v>
      </c>
      <c r="E148">
        <v>97</v>
      </c>
      <c r="F148">
        <v>1</v>
      </c>
      <c r="G148">
        <v>158.26</v>
      </c>
      <c r="H148" s="9">
        <v>0</v>
      </c>
      <c r="I148" s="9">
        <v>158.26</v>
      </c>
    </row>
    <row r="149" spans="1:9" x14ac:dyDescent="0.3">
      <c r="A149">
        <v>148</v>
      </c>
      <c r="B149" t="s">
        <v>147</v>
      </c>
      <c r="C149">
        <v>3</v>
      </c>
      <c r="D149">
        <v>210</v>
      </c>
      <c r="E149">
        <v>15</v>
      </c>
      <c r="F149">
        <v>1</v>
      </c>
      <c r="G149">
        <v>58.26</v>
      </c>
      <c r="H149" s="9">
        <v>0.05</v>
      </c>
      <c r="I149" s="9">
        <v>55.35</v>
      </c>
    </row>
    <row r="150" spans="1:9" x14ac:dyDescent="0.3">
      <c r="A150">
        <v>149</v>
      </c>
      <c r="B150" t="s">
        <v>103</v>
      </c>
      <c r="C150">
        <v>3</v>
      </c>
      <c r="D150">
        <v>97</v>
      </c>
      <c r="E150">
        <v>45</v>
      </c>
      <c r="F150">
        <v>1</v>
      </c>
      <c r="G150">
        <v>70.989999999999995</v>
      </c>
      <c r="H150" s="9">
        <v>0.1</v>
      </c>
      <c r="I150" s="9">
        <v>63.89</v>
      </c>
    </row>
    <row r="151" spans="1:9" x14ac:dyDescent="0.3">
      <c r="A151">
        <v>150</v>
      </c>
      <c r="B151" t="s">
        <v>148</v>
      </c>
      <c r="C151">
        <v>1</v>
      </c>
      <c r="D151">
        <v>6</v>
      </c>
      <c r="E151">
        <v>58</v>
      </c>
      <c r="F151">
        <v>1</v>
      </c>
      <c r="G151">
        <v>64.400000000000006</v>
      </c>
      <c r="H151" s="9">
        <v>0.2</v>
      </c>
      <c r="I151" s="9">
        <v>51.52</v>
      </c>
    </row>
    <row r="152" spans="1:9" x14ac:dyDescent="0.3">
      <c r="A152">
        <v>151</v>
      </c>
      <c r="B152" t="s">
        <v>107</v>
      </c>
      <c r="C152">
        <v>1</v>
      </c>
      <c r="D152">
        <v>194</v>
      </c>
      <c r="E152">
        <v>17</v>
      </c>
      <c r="F152">
        <v>1</v>
      </c>
      <c r="G152">
        <v>97.14</v>
      </c>
      <c r="H152" s="9">
        <v>0.2</v>
      </c>
      <c r="I152" s="9">
        <v>77.709999999999994</v>
      </c>
    </row>
    <row r="153" spans="1:9" x14ac:dyDescent="0.3">
      <c r="A153">
        <v>152</v>
      </c>
      <c r="B153" t="s">
        <v>149</v>
      </c>
      <c r="C153">
        <v>4</v>
      </c>
      <c r="D153">
        <v>179</v>
      </c>
      <c r="E153">
        <v>76</v>
      </c>
      <c r="F153">
        <v>1</v>
      </c>
      <c r="G153">
        <v>181.01</v>
      </c>
      <c r="H153" s="9">
        <v>0</v>
      </c>
      <c r="I153" s="9">
        <v>181.01</v>
      </c>
    </row>
    <row r="154" spans="1:9" x14ac:dyDescent="0.3">
      <c r="A154">
        <v>153</v>
      </c>
      <c r="B154" t="s">
        <v>150</v>
      </c>
      <c r="C154">
        <v>1</v>
      </c>
      <c r="D154">
        <v>31</v>
      </c>
      <c r="E154">
        <v>43</v>
      </c>
      <c r="F154">
        <v>2</v>
      </c>
      <c r="G154">
        <v>16.04</v>
      </c>
      <c r="H154" s="9">
        <v>0.05</v>
      </c>
      <c r="I154" s="9">
        <v>30.48</v>
      </c>
    </row>
    <row r="155" spans="1:9" x14ac:dyDescent="0.3">
      <c r="A155">
        <v>154</v>
      </c>
      <c r="B155" t="s">
        <v>151</v>
      </c>
      <c r="C155">
        <v>5</v>
      </c>
      <c r="D155">
        <v>5</v>
      </c>
      <c r="E155">
        <v>16</v>
      </c>
      <c r="F155">
        <v>1</v>
      </c>
      <c r="G155">
        <v>62.77</v>
      </c>
      <c r="H155" s="9">
        <v>0</v>
      </c>
      <c r="I155" s="9">
        <v>62.77</v>
      </c>
    </row>
    <row r="156" spans="1:9" x14ac:dyDescent="0.3">
      <c r="A156">
        <v>155</v>
      </c>
      <c r="B156" t="s">
        <v>152</v>
      </c>
      <c r="C156">
        <v>3</v>
      </c>
      <c r="D156">
        <v>133</v>
      </c>
      <c r="E156">
        <v>96</v>
      </c>
      <c r="F156">
        <v>1</v>
      </c>
      <c r="G156">
        <v>132.69</v>
      </c>
      <c r="H156" s="9">
        <v>0</v>
      </c>
      <c r="I156" s="9">
        <v>132.69</v>
      </c>
    </row>
    <row r="157" spans="1:9" x14ac:dyDescent="0.3">
      <c r="A157">
        <v>156</v>
      </c>
      <c r="B157" t="s">
        <v>153</v>
      </c>
      <c r="C157">
        <v>2</v>
      </c>
      <c r="D157">
        <v>84</v>
      </c>
      <c r="E157">
        <v>19</v>
      </c>
      <c r="F157">
        <v>1</v>
      </c>
      <c r="G157">
        <v>138.31</v>
      </c>
      <c r="H157" s="9">
        <v>0.2</v>
      </c>
      <c r="I157" s="9">
        <v>110.65</v>
      </c>
    </row>
    <row r="158" spans="1:9" x14ac:dyDescent="0.3">
      <c r="A158">
        <v>157</v>
      </c>
      <c r="B158" t="s">
        <v>154</v>
      </c>
      <c r="C158">
        <v>8</v>
      </c>
      <c r="D158">
        <v>192</v>
      </c>
      <c r="E158">
        <v>28</v>
      </c>
      <c r="F158">
        <v>2</v>
      </c>
      <c r="G158">
        <v>162.13</v>
      </c>
      <c r="H158" s="9">
        <v>0</v>
      </c>
      <c r="I158" s="9">
        <v>324.26</v>
      </c>
    </row>
    <row r="159" spans="1:9" x14ac:dyDescent="0.3">
      <c r="A159">
        <v>158</v>
      </c>
      <c r="B159" t="s">
        <v>155</v>
      </c>
      <c r="C159">
        <v>6</v>
      </c>
      <c r="D159">
        <v>184</v>
      </c>
      <c r="E159">
        <v>23</v>
      </c>
      <c r="F159">
        <v>1</v>
      </c>
      <c r="G159">
        <v>79.94</v>
      </c>
      <c r="H159" s="9">
        <v>0.1</v>
      </c>
      <c r="I159" s="9">
        <v>71.95</v>
      </c>
    </row>
    <row r="160" spans="1:9" x14ac:dyDescent="0.3">
      <c r="A160">
        <v>159</v>
      </c>
      <c r="B160" t="s">
        <v>156</v>
      </c>
      <c r="C160">
        <v>8</v>
      </c>
      <c r="D160">
        <v>126</v>
      </c>
      <c r="E160">
        <v>62</v>
      </c>
      <c r="F160">
        <v>2</v>
      </c>
      <c r="G160">
        <v>82.81</v>
      </c>
      <c r="H160" s="9">
        <v>0.2</v>
      </c>
      <c r="I160" s="9">
        <v>132.5</v>
      </c>
    </row>
    <row r="161" spans="1:9" x14ac:dyDescent="0.3">
      <c r="A161">
        <v>160</v>
      </c>
      <c r="B161" t="s">
        <v>157</v>
      </c>
      <c r="C161">
        <v>4</v>
      </c>
      <c r="D161">
        <v>40</v>
      </c>
      <c r="E161">
        <v>56</v>
      </c>
      <c r="F161">
        <v>4</v>
      </c>
      <c r="G161">
        <v>232.81</v>
      </c>
      <c r="H161" s="9">
        <v>0</v>
      </c>
      <c r="I161" s="9">
        <v>931.24</v>
      </c>
    </row>
    <row r="162" spans="1:9" x14ac:dyDescent="0.3">
      <c r="A162">
        <v>161</v>
      </c>
      <c r="B162" t="s">
        <v>158</v>
      </c>
      <c r="C162">
        <v>5</v>
      </c>
      <c r="D162">
        <v>103</v>
      </c>
      <c r="E162">
        <v>71</v>
      </c>
      <c r="F162">
        <v>1</v>
      </c>
      <c r="G162">
        <v>225.61</v>
      </c>
      <c r="H162" s="9">
        <v>0.2</v>
      </c>
      <c r="I162" s="9">
        <v>180.49</v>
      </c>
    </row>
    <row r="163" spans="1:9" x14ac:dyDescent="0.3">
      <c r="A163">
        <v>162</v>
      </c>
      <c r="B163" t="s">
        <v>159</v>
      </c>
      <c r="C163">
        <v>1</v>
      </c>
      <c r="D163">
        <v>129</v>
      </c>
      <c r="E163">
        <v>88</v>
      </c>
      <c r="F163">
        <v>1</v>
      </c>
      <c r="G163">
        <v>181.05</v>
      </c>
      <c r="H163" s="9">
        <v>0</v>
      </c>
      <c r="I163" s="9">
        <v>181.05</v>
      </c>
    </row>
    <row r="164" spans="1:9" x14ac:dyDescent="0.3">
      <c r="A164">
        <v>163</v>
      </c>
      <c r="B164" t="s">
        <v>138</v>
      </c>
      <c r="C164">
        <v>8</v>
      </c>
      <c r="D164">
        <v>137</v>
      </c>
      <c r="E164">
        <v>57</v>
      </c>
      <c r="F164">
        <v>1</v>
      </c>
      <c r="G164">
        <v>32.28</v>
      </c>
      <c r="H164" s="9">
        <v>0</v>
      </c>
      <c r="I164" s="9">
        <v>32.28</v>
      </c>
    </row>
    <row r="165" spans="1:9" x14ac:dyDescent="0.3">
      <c r="A165">
        <v>164</v>
      </c>
      <c r="B165" t="s">
        <v>160</v>
      </c>
      <c r="C165">
        <v>7</v>
      </c>
      <c r="D165">
        <v>109</v>
      </c>
      <c r="E165">
        <v>55</v>
      </c>
      <c r="F165">
        <v>2</v>
      </c>
      <c r="G165">
        <v>193.33</v>
      </c>
      <c r="H165" s="9">
        <v>0</v>
      </c>
      <c r="I165" s="9">
        <v>386.66</v>
      </c>
    </row>
    <row r="166" spans="1:9" x14ac:dyDescent="0.3">
      <c r="A166">
        <v>165</v>
      </c>
      <c r="B166" t="s">
        <v>120</v>
      </c>
      <c r="C166">
        <v>8</v>
      </c>
      <c r="D166">
        <v>120</v>
      </c>
      <c r="E166">
        <v>89</v>
      </c>
      <c r="F166">
        <v>1</v>
      </c>
      <c r="G166">
        <v>247.43</v>
      </c>
      <c r="H166" s="9">
        <v>0</v>
      </c>
      <c r="I166" s="9">
        <v>247.43</v>
      </c>
    </row>
    <row r="167" spans="1:9" x14ac:dyDescent="0.3">
      <c r="A167">
        <v>166</v>
      </c>
      <c r="B167" t="s">
        <v>161</v>
      </c>
      <c r="C167">
        <v>2</v>
      </c>
      <c r="D167">
        <v>134</v>
      </c>
      <c r="E167">
        <v>65</v>
      </c>
      <c r="F167">
        <v>1</v>
      </c>
      <c r="G167">
        <v>71.14</v>
      </c>
      <c r="H167" s="9">
        <v>0</v>
      </c>
      <c r="I167" s="9">
        <v>71.14</v>
      </c>
    </row>
    <row r="168" spans="1:9" x14ac:dyDescent="0.3">
      <c r="A168">
        <v>167</v>
      </c>
      <c r="B168" t="s">
        <v>162</v>
      </c>
      <c r="C168">
        <v>6</v>
      </c>
      <c r="D168">
        <v>71</v>
      </c>
      <c r="E168">
        <v>11</v>
      </c>
      <c r="F168">
        <v>1</v>
      </c>
      <c r="G168">
        <v>11.53</v>
      </c>
      <c r="H168" s="9">
        <v>0.1</v>
      </c>
      <c r="I168" s="9">
        <v>10.38</v>
      </c>
    </row>
    <row r="169" spans="1:9" x14ac:dyDescent="0.3">
      <c r="A169">
        <v>168</v>
      </c>
      <c r="B169" t="s">
        <v>163</v>
      </c>
      <c r="C169">
        <v>2</v>
      </c>
      <c r="D169">
        <v>49</v>
      </c>
      <c r="E169">
        <v>62</v>
      </c>
      <c r="F169">
        <v>1</v>
      </c>
      <c r="G169">
        <v>82.81</v>
      </c>
      <c r="H169" s="9">
        <v>0</v>
      </c>
      <c r="I169" s="9">
        <v>82.81</v>
      </c>
    </row>
    <row r="170" spans="1:9" x14ac:dyDescent="0.3">
      <c r="A170">
        <v>169</v>
      </c>
      <c r="B170" t="s">
        <v>164</v>
      </c>
      <c r="C170">
        <v>5</v>
      </c>
      <c r="D170">
        <v>21</v>
      </c>
      <c r="E170">
        <v>60</v>
      </c>
      <c r="F170">
        <v>1</v>
      </c>
      <c r="G170">
        <v>101.29</v>
      </c>
      <c r="H170" s="9">
        <v>0</v>
      </c>
      <c r="I170" s="9">
        <v>101.29</v>
      </c>
    </row>
    <row r="171" spans="1:9" x14ac:dyDescent="0.3">
      <c r="A171">
        <v>170</v>
      </c>
      <c r="B171" t="s">
        <v>165</v>
      </c>
      <c r="C171">
        <v>7</v>
      </c>
      <c r="D171">
        <v>151</v>
      </c>
      <c r="E171">
        <v>48</v>
      </c>
      <c r="F171">
        <v>2</v>
      </c>
      <c r="G171">
        <v>146.85</v>
      </c>
      <c r="H171" s="9">
        <v>0.1</v>
      </c>
      <c r="I171" s="9">
        <v>264.33</v>
      </c>
    </row>
    <row r="172" spans="1:9" x14ac:dyDescent="0.3">
      <c r="A172">
        <v>171</v>
      </c>
      <c r="B172" t="s">
        <v>166</v>
      </c>
      <c r="C172">
        <v>8</v>
      </c>
      <c r="D172">
        <v>190</v>
      </c>
      <c r="E172">
        <v>63</v>
      </c>
      <c r="F172">
        <v>1</v>
      </c>
      <c r="G172">
        <v>239.9</v>
      </c>
      <c r="H172" s="9">
        <v>0</v>
      </c>
      <c r="I172" s="9">
        <v>239.9</v>
      </c>
    </row>
    <row r="173" spans="1:9" x14ac:dyDescent="0.3">
      <c r="A173">
        <v>172</v>
      </c>
      <c r="B173" t="s">
        <v>167</v>
      </c>
      <c r="C173">
        <v>7</v>
      </c>
      <c r="D173">
        <v>74</v>
      </c>
      <c r="E173">
        <v>86</v>
      </c>
      <c r="F173">
        <v>1</v>
      </c>
      <c r="G173">
        <v>99.19</v>
      </c>
      <c r="H173" s="9">
        <v>0.2</v>
      </c>
      <c r="I173" s="9">
        <v>79.349999999999994</v>
      </c>
    </row>
    <row r="174" spans="1:9" x14ac:dyDescent="0.3">
      <c r="A174">
        <v>173</v>
      </c>
      <c r="B174" t="s">
        <v>168</v>
      </c>
      <c r="C174">
        <v>2</v>
      </c>
      <c r="D174">
        <v>128</v>
      </c>
      <c r="E174">
        <v>49</v>
      </c>
      <c r="F174">
        <v>1</v>
      </c>
      <c r="G174">
        <v>130.58000000000001</v>
      </c>
      <c r="H174" s="9">
        <v>0</v>
      </c>
      <c r="I174" s="9">
        <v>130.58000000000001</v>
      </c>
    </row>
    <row r="175" spans="1:9" x14ac:dyDescent="0.3">
      <c r="A175">
        <v>174</v>
      </c>
      <c r="B175" t="s">
        <v>169</v>
      </c>
      <c r="C175">
        <v>7</v>
      </c>
      <c r="D175">
        <v>216</v>
      </c>
      <c r="E175">
        <v>15</v>
      </c>
      <c r="F175">
        <v>1</v>
      </c>
      <c r="G175">
        <v>58.26</v>
      </c>
      <c r="H175" s="9">
        <v>0.05</v>
      </c>
      <c r="I175" s="9">
        <v>55.35</v>
      </c>
    </row>
    <row r="176" spans="1:9" x14ac:dyDescent="0.3">
      <c r="A176">
        <v>175</v>
      </c>
      <c r="B176" t="s">
        <v>170</v>
      </c>
      <c r="C176">
        <v>4</v>
      </c>
      <c r="D176">
        <v>162</v>
      </c>
      <c r="E176">
        <v>94</v>
      </c>
      <c r="F176">
        <v>2</v>
      </c>
      <c r="G176">
        <v>163.66</v>
      </c>
      <c r="H176" s="9">
        <v>0.05</v>
      </c>
      <c r="I176" s="9">
        <v>310.95</v>
      </c>
    </row>
    <row r="177" spans="1:9" x14ac:dyDescent="0.3">
      <c r="A177">
        <v>176</v>
      </c>
      <c r="B177" t="s">
        <v>171</v>
      </c>
      <c r="C177">
        <v>6</v>
      </c>
      <c r="D177">
        <v>5</v>
      </c>
      <c r="E177">
        <v>75</v>
      </c>
      <c r="F177">
        <v>1</v>
      </c>
      <c r="G177">
        <v>205.69</v>
      </c>
      <c r="H177" s="9">
        <v>0.05</v>
      </c>
      <c r="I177" s="9">
        <v>195.41</v>
      </c>
    </row>
    <row r="178" spans="1:9" x14ac:dyDescent="0.3">
      <c r="A178">
        <v>177</v>
      </c>
      <c r="B178" t="s">
        <v>172</v>
      </c>
      <c r="C178">
        <v>7</v>
      </c>
      <c r="D178">
        <v>28</v>
      </c>
      <c r="E178">
        <v>75</v>
      </c>
      <c r="F178">
        <v>3</v>
      </c>
      <c r="G178">
        <v>205.69</v>
      </c>
      <c r="H178" s="9">
        <v>0.1</v>
      </c>
      <c r="I178" s="9">
        <v>555.36</v>
      </c>
    </row>
    <row r="179" spans="1:9" x14ac:dyDescent="0.3">
      <c r="A179">
        <v>178</v>
      </c>
      <c r="B179" t="s">
        <v>173</v>
      </c>
      <c r="C179">
        <v>2</v>
      </c>
      <c r="D179">
        <v>171</v>
      </c>
      <c r="E179">
        <v>47</v>
      </c>
      <c r="F179">
        <v>1</v>
      </c>
      <c r="G179">
        <v>93.41</v>
      </c>
      <c r="H179" s="9">
        <v>0</v>
      </c>
      <c r="I179" s="9">
        <v>93.41</v>
      </c>
    </row>
    <row r="180" spans="1:9" x14ac:dyDescent="0.3">
      <c r="A180">
        <v>179</v>
      </c>
      <c r="B180" t="s">
        <v>174</v>
      </c>
      <c r="C180">
        <v>7</v>
      </c>
      <c r="D180">
        <v>95</v>
      </c>
      <c r="E180">
        <v>91</v>
      </c>
      <c r="F180">
        <v>1</v>
      </c>
      <c r="G180">
        <v>33.700000000000003</v>
      </c>
      <c r="H180" s="9">
        <v>0</v>
      </c>
      <c r="I180" s="9">
        <v>33.700000000000003</v>
      </c>
    </row>
    <row r="181" spans="1:9" x14ac:dyDescent="0.3">
      <c r="A181">
        <v>180</v>
      </c>
      <c r="B181" t="s">
        <v>174</v>
      </c>
      <c r="C181">
        <v>5</v>
      </c>
      <c r="D181">
        <v>208</v>
      </c>
      <c r="E181">
        <v>36</v>
      </c>
      <c r="F181">
        <v>2</v>
      </c>
      <c r="G181">
        <v>211.43</v>
      </c>
      <c r="H181" s="9">
        <v>0</v>
      </c>
      <c r="I181" s="9">
        <v>422.86</v>
      </c>
    </row>
    <row r="182" spans="1:9" x14ac:dyDescent="0.3">
      <c r="A182">
        <v>181</v>
      </c>
      <c r="B182" t="s">
        <v>175</v>
      </c>
      <c r="C182">
        <v>3</v>
      </c>
      <c r="D182">
        <v>84</v>
      </c>
      <c r="E182">
        <v>37</v>
      </c>
      <c r="F182">
        <v>1</v>
      </c>
      <c r="G182">
        <v>88.87</v>
      </c>
      <c r="H182" s="9">
        <v>0</v>
      </c>
      <c r="I182" s="9">
        <v>88.87</v>
      </c>
    </row>
    <row r="183" spans="1:9" x14ac:dyDescent="0.3">
      <c r="A183">
        <v>182</v>
      </c>
      <c r="B183" t="s">
        <v>176</v>
      </c>
      <c r="C183">
        <v>2</v>
      </c>
      <c r="D183">
        <v>94</v>
      </c>
      <c r="E183">
        <v>24</v>
      </c>
      <c r="F183">
        <v>1</v>
      </c>
      <c r="G183">
        <v>91.73</v>
      </c>
      <c r="H183" s="9">
        <v>0</v>
      </c>
      <c r="I183" s="9">
        <v>91.73</v>
      </c>
    </row>
    <row r="184" spans="1:9" x14ac:dyDescent="0.3">
      <c r="A184">
        <v>183</v>
      </c>
      <c r="B184" t="s">
        <v>14</v>
      </c>
      <c r="C184">
        <v>2</v>
      </c>
      <c r="D184">
        <v>110</v>
      </c>
      <c r="E184">
        <v>58</v>
      </c>
      <c r="F184">
        <v>2</v>
      </c>
      <c r="G184">
        <v>64.400000000000006</v>
      </c>
      <c r="H184" s="9">
        <v>0.1</v>
      </c>
      <c r="I184" s="9">
        <v>115.92</v>
      </c>
    </row>
    <row r="185" spans="1:9" x14ac:dyDescent="0.3">
      <c r="A185">
        <v>184</v>
      </c>
      <c r="B185" t="s">
        <v>177</v>
      </c>
      <c r="C185">
        <v>7</v>
      </c>
      <c r="D185">
        <v>47</v>
      </c>
      <c r="E185">
        <v>14</v>
      </c>
      <c r="F185">
        <v>1</v>
      </c>
      <c r="G185">
        <v>70.08</v>
      </c>
      <c r="H185" s="9">
        <v>0</v>
      </c>
      <c r="I185" s="9">
        <v>70.08</v>
      </c>
    </row>
    <row r="186" spans="1:9" x14ac:dyDescent="0.3">
      <c r="A186">
        <v>185</v>
      </c>
      <c r="B186" t="s">
        <v>178</v>
      </c>
      <c r="C186">
        <v>6</v>
      </c>
      <c r="D186">
        <v>146</v>
      </c>
      <c r="E186">
        <v>57</v>
      </c>
      <c r="F186">
        <v>1</v>
      </c>
      <c r="G186">
        <v>32.28</v>
      </c>
      <c r="H186" s="9">
        <v>0</v>
      </c>
      <c r="I186" s="9">
        <v>32.28</v>
      </c>
    </row>
    <row r="187" spans="1:9" x14ac:dyDescent="0.3">
      <c r="A187">
        <v>186</v>
      </c>
      <c r="B187" t="s">
        <v>179</v>
      </c>
      <c r="C187">
        <v>1</v>
      </c>
      <c r="D187">
        <v>131</v>
      </c>
      <c r="E187">
        <v>67</v>
      </c>
      <c r="F187">
        <v>1</v>
      </c>
      <c r="G187">
        <v>41.9</v>
      </c>
      <c r="H187" s="9">
        <v>0</v>
      </c>
      <c r="I187" s="9">
        <v>41.9</v>
      </c>
    </row>
    <row r="188" spans="1:9" x14ac:dyDescent="0.3">
      <c r="A188">
        <v>187</v>
      </c>
      <c r="B188" t="s">
        <v>18</v>
      </c>
      <c r="C188">
        <v>2</v>
      </c>
      <c r="D188">
        <v>216</v>
      </c>
      <c r="E188">
        <v>13</v>
      </c>
      <c r="F188">
        <v>4</v>
      </c>
      <c r="G188">
        <v>262.70999999999998</v>
      </c>
      <c r="H188" s="9">
        <v>0.05</v>
      </c>
      <c r="I188" s="9">
        <v>998.3</v>
      </c>
    </row>
    <row r="189" spans="1:9" x14ac:dyDescent="0.3">
      <c r="A189">
        <v>188</v>
      </c>
      <c r="B189" t="s">
        <v>56</v>
      </c>
      <c r="C189">
        <v>6</v>
      </c>
      <c r="D189">
        <v>198</v>
      </c>
      <c r="E189">
        <v>14</v>
      </c>
      <c r="F189">
        <v>1</v>
      </c>
      <c r="G189">
        <v>70.08</v>
      </c>
      <c r="H189" s="9">
        <v>0.1</v>
      </c>
      <c r="I189" s="9">
        <v>63.07</v>
      </c>
    </row>
    <row r="190" spans="1:9" x14ac:dyDescent="0.3">
      <c r="A190">
        <v>189</v>
      </c>
      <c r="B190" t="s">
        <v>180</v>
      </c>
      <c r="C190">
        <v>1</v>
      </c>
      <c r="D190">
        <v>91</v>
      </c>
      <c r="E190">
        <v>37</v>
      </c>
      <c r="F190">
        <v>2</v>
      </c>
      <c r="G190">
        <v>88.87</v>
      </c>
      <c r="H190" s="9">
        <v>0.15</v>
      </c>
      <c r="I190" s="9">
        <v>151.08000000000001</v>
      </c>
    </row>
    <row r="191" spans="1:9" x14ac:dyDescent="0.3">
      <c r="A191">
        <v>190</v>
      </c>
      <c r="B191" t="s">
        <v>89</v>
      </c>
      <c r="C191">
        <v>5</v>
      </c>
      <c r="D191">
        <v>138</v>
      </c>
      <c r="E191">
        <v>61</v>
      </c>
      <c r="F191">
        <v>1</v>
      </c>
      <c r="G191">
        <v>106.64</v>
      </c>
      <c r="H191" s="9">
        <v>0.1</v>
      </c>
      <c r="I191" s="9">
        <v>95.98</v>
      </c>
    </row>
    <row r="192" spans="1:9" x14ac:dyDescent="0.3">
      <c r="A192">
        <v>191</v>
      </c>
      <c r="B192" t="s">
        <v>181</v>
      </c>
      <c r="C192">
        <v>2</v>
      </c>
      <c r="D192">
        <v>173</v>
      </c>
      <c r="E192">
        <v>75</v>
      </c>
      <c r="F192">
        <v>1</v>
      </c>
      <c r="G192">
        <v>205.69</v>
      </c>
      <c r="H192" s="9">
        <v>0</v>
      </c>
      <c r="I192" s="9">
        <v>205.69</v>
      </c>
    </row>
    <row r="193" spans="1:9" x14ac:dyDescent="0.3">
      <c r="A193">
        <v>192</v>
      </c>
      <c r="B193" t="s">
        <v>47</v>
      </c>
      <c r="C193">
        <v>4</v>
      </c>
      <c r="D193">
        <v>122</v>
      </c>
      <c r="E193">
        <v>10</v>
      </c>
      <c r="F193">
        <v>2</v>
      </c>
      <c r="G193">
        <v>168.82</v>
      </c>
      <c r="H193" s="9">
        <v>0</v>
      </c>
      <c r="I193" s="9">
        <v>337.64</v>
      </c>
    </row>
    <row r="194" spans="1:9" x14ac:dyDescent="0.3">
      <c r="A194">
        <v>193</v>
      </c>
      <c r="B194" t="s">
        <v>131</v>
      </c>
      <c r="C194">
        <v>8</v>
      </c>
      <c r="D194">
        <v>54</v>
      </c>
      <c r="E194">
        <v>28</v>
      </c>
      <c r="F194">
        <v>1</v>
      </c>
      <c r="G194">
        <v>162.13</v>
      </c>
      <c r="H194" s="9">
        <v>0</v>
      </c>
      <c r="I194" s="9">
        <v>162.13</v>
      </c>
    </row>
    <row r="195" spans="1:9" x14ac:dyDescent="0.3">
      <c r="A195">
        <v>194</v>
      </c>
      <c r="B195" t="s">
        <v>182</v>
      </c>
      <c r="C195">
        <v>2</v>
      </c>
      <c r="D195">
        <v>150</v>
      </c>
      <c r="E195">
        <v>92</v>
      </c>
      <c r="F195">
        <v>1</v>
      </c>
      <c r="G195">
        <v>223.32</v>
      </c>
      <c r="H195" s="9">
        <v>0.05</v>
      </c>
      <c r="I195" s="9">
        <v>212.15</v>
      </c>
    </row>
    <row r="196" spans="1:9" x14ac:dyDescent="0.3">
      <c r="A196">
        <v>195</v>
      </c>
      <c r="B196" t="s">
        <v>183</v>
      </c>
      <c r="C196">
        <v>6</v>
      </c>
      <c r="D196">
        <v>116</v>
      </c>
      <c r="E196">
        <v>71</v>
      </c>
      <c r="F196">
        <v>1</v>
      </c>
      <c r="G196">
        <v>225.61</v>
      </c>
      <c r="H196" s="9">
        <v>0</v>
      </c>
      <c r="I196" s="9">
        <v>225.61</v>
      </c>
    </row>
    <row r="197" spans="1:9" x14ac:dyDescent="0.3">
      <c r="A197">
        <v>196</v>
      </c>
      <c r="B197" t="s">
        <v>184</v>
      </c>
      <c r="C197">
        <v>5</v>
      </c>
      <c r="D197">
        <v>62</v>
      </c>
      <c r="E197">
        <v>31</v>
      </c>
      <c r="F197">
        <v>1</v>
      </c>
      <c r="G197">
        <v>165.45</v>
      </c>
      <c r="H197" s="9">
        <v>0</v>
      </c>
      <c r="I197" s="9">
        <v>165.45</v>
      </c>
    </row>
    <row r="198" spans="1:9" x14ac:dyDescent="0.3">
      <c r="A198">
        <v>197</v>
      </c>
      <c r="B198" t="s">
        <v>185</v>
      </c>
      <c r="C198">
        <v>7</v>
      </c>
      <c r="D198">
        <v>182</v>
      </c>
      <c r="E198">
        <v>39</v>
      </c>
      <c r="F198">
        <v>1</v>
      </c>
      <c r="G198">
        <v>181.34</v>
      </c>
      <c r="H198" s="9">
        <v>0.05</v>
      </c>
      <c r="I198" s="9">
        <v>172.27</v>
      </c>
    </row>
    <row r="199" spans="1:9" x14ac:dyDescent="0.3">
      <c r="A199">
        <v>198</v>
      </c>
      <c r="B199" t="s">
        <v>186</v>
      </c>
      <c r="C199">
        <v>5</v>
      </c>
      <c r="D199">
        <v>63</v>
      </c>
      <c r="E199">
        <v>69</v>
      </c>
      <c r="F199">
        <v>1</v>
      </c>
      <c r="G199">
        <v>22.86</v>
      </c>
      <c r="H199" s="9">
        <v>0</v>
      </c>
      <c r="I199" s="9">
        <v>22.86</v>
      </c>
    </row>
    <row r="200" spans="1:9" x14ac:dyDescent="0.3">
      <c r="A200">
        <v>199</v>
      </c>
      <c r="B200" t="s">
        <v>76</v>
      </c>
      <c r="C200">
        <v>3</v>
      </c>
      <c r="D200">
        <v>110</v>
      </c>
      <c r="E200">
        <v>41</v>
      </c>
      <c r="F200">
        <v>1</v>
      </c>
      <c r="G200">
        <v>45.5</v>
      </c>
      <c r="H200" s="9">
        <v>0</v>
      </c>
      <c r="I200" s="9">
        <v>45.5</v>
      </c>
    </row>
    <row r="201" spans="1:9" x14ac:dyDescent="0.3">
      <c r="A201">
        <v>200</v>
      </c>
      <c r="B201" t="s">
        <v>187</v>
      </c>
      <c r="C201">
        <v>5</v>
      </c>
      <c r="D201">
        <v>25</v>
      </c>
      <c r="E201">
        <v>53</v>
      </c>
      <c r="F201">
        <v>1</v>
      </c>
      <c r="G201">
        <v>229.6</v>
      </c>
      <c r="H201" s="9">
        <v>0.1</v>
      </c>
      <c r="I201" s="9">
        <v>206.64</v>
      </c>
    </row>
    <row r="202" spans="1:9" x14ac:dyDescent="0.3">
      <c r="A202">
        <v>201</v>
      </c>
      <c r="B202" t="s">
        <v>188</v>
      </c>
      <c r="C202">
        <v>6</v>
      </c>
      <c r="D202">
        <v>62</v>
      </c>
      <c r="E202">
        <v>95</v>
      </c>
      <c r="F202">
        <v>1</v>
      </c>
      <c r="G202">
        <v>201.94</v>
      </c>
      <c r="H202" s="9">
        <v>0</v>
      </c>
      <c r="I202" s="9">
        <v>201.94</v>
      </c>
    </row>
    <row r="203" spans="1:9" x14ac:dyDescent="0.3">
      <c r="A203">
        <v>202</v>
      </c>
      <c r="B203" t="s">
        <v>189</v>
      </c>
      <c r="C203">
        <v>3</v>
      </c>
      <c r="D203">
        <v>177</v>
      </c>
      <c r="E203">
        <v>82</v>
      </c>
      <c r="F203">
        <v>2</v>
      </c>
      <c r="G203">
        <v>151.85</v>
      </c>
      <c r="H203" s="9">
        <v>0</v>
      </c>
      <c r="I203" s="9">
        <v>303.7</v>
      </c>
    </row>
    <row r="204" spans="1:9" x14ac:dyDescent="0.3">
      <c r="A204">
        <v>203</v>
      </c>
      <c r="B204" t="s">
        <v>85</v>
      </c>
      <c r="C204">
        <v>7</v>
      </c>
      <c r="D204">
        <v>201</v>
      </c>
      <c r="E204">
        <v>96</v>
      </c>
      <c r="F204">
        <v>1</v>
      </c>
      <c r="G204">
        <v>132.69</v>
      </c>
      <c r="H204" s="9">
        <v>0</v>
      </c>
      <c r="I204" s="9">
        <v>132.69</v>
      </c>
    </row>
    <row r="205" spans="1:9" x14ac:dyDescent="0.3">
      <c r="A205">
        <v>204</v>
      </c>
      <c r="B205" t="s">
        <v>45</v>
      </c>
      <c r="C205">
        <v>3</v>
      </c>
      <c r="D205">
        <v>189</v>
      </c>
      <c r="E205">
        <v>34</v>
      </c>
      <c r="F205">
        <v>1</v>
      </c>
      <c r="G205">
        <v>247.04</v>
      </c>
      <c r="H205" s="9">
        <v>0.05</v>
      </c>
      <c r="I205" s="9">
        <v>234.69</v>
      </c>
    </row>
    <row r="206" spans="1:9" x14ac:dyDescent="0.3">
      <c r="A206">
        <v>205</v>
      </c>
      <c r="B206" t="s">
        <v>190</v>
      </c>
      <c r="C206">
        <v>2</v>
      </c>
      <c r="D206">
        <v>44</v>
      </c>
      <c r="E206">
        <v>59</v>
      </c>
      <c r="F206">
        <v>1</v>
      </c>
      <c r="G206">
        <v>17.41</v>
      </c>
      <c r="H206" s="9">
        <v>0.1</v>
      </c>
      <c r="I206" s="9">
        <v>15.67</v>
      </c>
    </row>
    <row r="207" spans="1:9" x14ac:dyDescent="0.3">
      <c r="A207">
        <v>206</v>
      </c>
      <c r="B207" t="s">
        <v>169</v>
      </c>
      <c r="C207">
        <v>7</v>
      </c>
      <c r="D207">
        <v>194</v>
      </c>
      <c r="E207">
        <v>95</v>
      </c>
      <c r="F207">
        <v>2</v>
      </c>
      <c r="G207">
        <v>201.94</v>
      </c>
      <c r="H207" s="9">
        <v>0</v>
      </c>
      <c r="I207" s="9">
        <v>403.88</v>
      </c>
    </row>
    <row r="208" spans="1:9" x14ac:dyDescent="0.3">
      <c r="A208">
        <v>207</v>
      </c>
      <c r="B208" t="s">
        <v>191</v>
      </c>
      <c r="C208">
        <v>8</v>
      </c>
      <c r="D208">
        <v>168</v>
      </c>
      <c r="E208">
        <v>44</v>
      </c>
      <c r="F208">
        <v>1</v>
      </c>
      <c r="G208">
        <v>235.19</v>
      </c>
      <c r="H208" s="9">
        <v>0</v>
      </c>
      <c r="I208" s="9">
        <v>235.19</v>
      </c>
    </row>
    <row r="209" spans="1:9" x14ac:dyDescent="0.3">
      <c r="A209">
        <v>208</v>
      </c>
      <c r="B209" t="s">
        <v>192</v>
      </c>
      <c r="C209">
        <v>3</v>
      </c>
      <c r="D209">
        <v>112</v>
      </c>
      <c r="E209">
        <v>89</v>
      </c>
      <c r="F209">
        <v>1</v>
      </c>
      <c r="G209">
        <v>247.43</v>
      </c>
      <c r="H209" s="9">
        <v>0.05</v>
      </c>
      <c r="I209" s="9">
        <v>235.06</v>
      </c>
    </row>
    <row r="210" spans="1:9" x14ac:dyDescent="0.3">
      <c r="A210">
        <v>209</v>
      </c>
      <c r="B210" t="s">
        <v>193</v>
      </c>
      <c r="C210">
        <v>5</v>
      </c>
      <c r="D210">
        <v>199</v>
      </c>
      <c r="E210">
        <v>76</v>
      </c>
      <c r="F210">
        <v>2</v>
      </c>
      <c r="G210">
        <v>181.01</v>
      </c>
      <c r="H210" s="9">
        <v>0</v>
      </c>
      <c r="I210" s="9">
        <v>362.02</v>
      </c>
    </row>
    <row r="211" spans="1:9" x14ac:dyDescent="0.3">
      <c r="A211">
        <v>210</v>
      </c>
      <c r="B211" t="s">
        <v>77</v>
      </c>
      <c r="C211">
        <v>2</v>
      </c>
      <c r="D211">
        <v>34</v>
      </c>
      <c r="E211">
        <v>69</v>
      </c>
      <c r="F211">
        <v>1</v>
      </c>
      <c r="G211">
        <v>22.86</v>
      </c>
      <c r="H211" s="9">
        <v>0.1</v>
      </c>
      <c r="I211" s="9">
        <v>20.57</v>
      </c>
    </row>
    <row r="212" spans="1:9" x14ac:dyDescent="0.3">
      <c r="A212">
        <v>211</v>
      </c>
      <c r="B212" t="s">
        <v>152</v>
      </c>
      <c r="C212">
        <v>3</v>
      </c>
      <c r="D212">
        <v>23</v>
      </c>
      <c r="E212">
        <v>95</v>
      </c>
      <c r="F212">
        <v>1</v>
      </c>
      <c r="G212">
        <v>201.94</v>
      </c>
      <c r="H212" s="9">
        <v>0.1</v>
      </c>
      <c r="I212" s="9">
        <v>181.75</v>
      </c>
    </row>
    <row r="213" spans="1:9" x14ac:dyDescent="0.3">
      <c r="A213">
        <v>212</v>
      </c>
      <c r="B213" t="s">
        <v>194</v>
      </c>
      <c r="C213">
        <v>1</v>
      </c>
      <c r="D213">
        <v>162</v>
      </c>
      <c r="E213">
        <v>17</v>
      </c>
      <c r="F213">
        <v>1</v>
      </c>
      <c r="G213">
        <v>97.14</v>
      </c>
      <c r="H213" s="9">
        <v>0</v>
      </c>
      <c r="I213" s="9">
        <v>97.14</v>
      </c>
    </row>
    <row r="214" spans="1:9" x14ac:dyDescent="0.3">
      <c r="A214">
        <v>213</v>
      </c>
      <c r="B214" t="s">
        <v>195</v>
      </c>
      <c r="C214">
        <v>5</v>
      </c>
      <c r="D214">
        <v>29</v>
      </c>
      <c r="E214">
        <v>5</v>
      </c>
      <c r="F214">
        <v>1</v>
      </c>
      <c r="G214">
        <v>55.26</v>
      </c>
      <c r="H214" s="9">
        <v>0.15</v>
      </c>
      <c r="I214" s="9">
        <v>46.97</v>
      </c>
    </row>
    <row r="215" spans="1:9" x14ac:dyDescent="0.3">
      <c r="A215">
        <v>214</v>
      </c>
      <c r="B215" t="s">
        <v>196</v>
      </c>
      <c r="C215">
        <v>7</v>
      </c>
      <c r="D215">
        <v>102</v>
      </c>
      <c r="E215">
        <v>26</v>
      </c>
      <c r="F215">
        <v>2</v>
      </c>
      <c r="G215">
        <v>211.87</v>
      </c>
      <c r="H215" s="9">
        <v>0.05</v>
      </c>
      <c r="I215" s="9">
        <v>402.55</v>
      </c>
    </row>
    <row r="216" spans="1:9" x14ac:dyDescent="0.3">
      <c r="A216">
        <v>215</v>
      </c>
      <c r="B216" t="s">
        <v>197</v>
      </c>
      <c r="C216">
        <v>8</v>
      </c>
      <c r="D216">
        <v>190</v>
      </c>
      <c r="E216">
        <v>95</v>
      </c>
      <c r="F216">
        <v>2</v>
      </c>
      <c r="G216">
        <v>201.94</v>
      </c>
      <c r="H216" s="9">
        <v>0</v>
      </c>
      <c r="I216" s="9">
        <v>403.88</v>
      </c>
    </row>
    <row r="217" spans="1:9" x14ac:dyDescent="0.3">
      <c r="A217">
        <v>216</v>
      </c>
      <c r="B217" t="s">
        <v>198</v>
      </c>
      <c r="C217">
        <v>5</v>
      </c>
      <c r="D217">
        <v>182</v>
      </c>
      <c r="E217">
        <v>46</v>
      </c>
      <c r="F217">
        <v>1</v>
      </c>
      <c r="G217">
        <v>157</v>
      </c>
      <c r="H217" s="9">
        <v>0.15</v>
      </c>
      <c r="I217" s="9">
        <v>133.44999999999999</v>
      </c>
    </row>
    <row r="218" spans="1:9" x14ac:dyDescent="0.3">
      <c r="A218">
        <v>217</v>
      </c>
      <c r="B218" t="s">
        <v>199</v>
      </c>
      <c r="C218">
        <v>2</v>
      </c>
      <c r="D218">
        <v>24</v>
      </c>
      <c r="E218">
        <v>19</v>
      </c>
      <c r="F218">
        <v>1</v>
      </c>
      <c r="G218">
        <v>138.31</v>
      </c>
      <c r="H218" s="9">
        <v>0.1</v>
      </c>
      <c r="I218" s="9">
        <v>124.48</v>
      </c>
    </row>
    <row r="219" spans="1:9" x14ac:dyDescent="0.3">
      <c r="A219">
        <v>218</v>
      </c>
      <c r="B219" t="s">
        <v>200</v>
      </c>
      <c r="C219">
        <v>7</v>
      </c>
      <c r="D219">
        <v>145</v>
      </c>
      <c r="E219">
        <v>65</v>
      </c>
      <c r="F219">
        <v>1</v>
      </c>
      <c r="G219">
        <v>71.14</v>
      </c>
      <c r="H219" s="9">
        <v>0.05</v>
      </c>
      <c r="I219" s="9">
        <v>67.58</v>
      </c>
    </row>
    <row r="220" spans="1:9" x14ac:dyDescent="0.3">
      <c r="A220">
        <v>219</v>
      </c>
      <c r="B220" t="s">
        <v>201</v>
      </c>
      <c r="C220">
        <v>5</v>
      </c>
      <c r="D220">
        <v>206</v>
      </c>
      <c r="E220">
        <v>86</v>
      </c>
      <c r="F220">
        <v>2</v>
      </c>
      <c r="G220">
        <v>99.19</v>
      </c>
      <c r="H220" s="9">
        <v>0</v>
      </c>
      <c r="I220" s="9">
        <v>198.38</v>
      </c>
    </row>
    <row r="221" spans="1:9" x14ac:dyDescent="0.3">
      <c r="A221">
        <v>220</v>
      </c>
      <c r="B221" t="s">
        <v>202</v>
      </c>
      <c r="C221">
        <v>5</v>
      </c>
      <c r="D221">
        <v>33</v>
      </c>
      <c r="E221">
        <v>13</v>
      </c>
      <c r="F221">
        <v>3</v>
      </c>
      <c r="G221">
        <v>262.70999999999998</v>
      </c>
      <c r="H221" s="9">
        <v>0</v>
      </c>
      <c r="I221" s="9">
        <v>788.13</v>
      </c>
    </row>
    <row r="222" spans="1:9" x14ac:dyDescent="0.3">
      <c r="A222">
        <v>221</v>
      </c>
      <c r="B222" t="s">
        <v>203</v>
      </c>
      <c r="C222">
        <v>4</v>
      </c>
      <c r="D222">
        <v>108</v>
      </c>
      <c r="E222">
        <v>33</v>
      </c>
      <c r="F222">
        <v>2</v>
      </c>
      <c r="G222">
        <v>21.23</v>
      </c>
      <c r="H222" s="9">
        <v>0.05</v>
      </c>
      <c r="I222" s="9">
        <v>40.340000000000003</v>
      </c>
    </row>
    <row r="223" spans="1:9" x14ac:dyDescent="0.3">
      <c r="A223">
        <v>222</v>
      </c>
      <c r="B223" t="s">
        <v>204</v>
      </c>
      <c r="C223">
        <v>1</v>
      </c>
      <c r="D223">
        <v>147</v>
      </c>
      <c r="E223">
        <v>30</v>
      </c>
      <c r="F223">
        <v>1</v>
      </c>
      <c r="G223">
        <v>19.399999999999999</v>
      </c>
      <c r="H223" s="9">
        <v>0.05</v>
      </c>
      <c r="I223" s="9">
        <v>18.43</v>
      </c>
    </row>
    <row r="224" spans="1:9" x14ac:dyDescent="0.3">
      <c r="A224">
        <v>223</v>
      </c>
      <c r="B224" t="s">
        <v>205</v>
      </c>
      <c r="C224">
        <v>4</v>
      </c>
      <c r="D224">
        <v>68</v>
      </c>
      <c r="E224">
        <v>84</v>
      </c>
      <c r="F224">
        <v>1</v>
      </c>
      <c r="G224">
        <v>26.78</v>
      </c>
      <c r="H224" s="9">
        <v>0</v>
      </c>
      <c r="I224" s="9">
        <v>26.78</v>
      </c>
    </row>
    <row r="225" spans="1:9" x14ac:dyDescent="0.3">
      <c r="A225">
        <v>224</v>
      </c>
      <c r="B225" t="s">
        <v>206</v>
      </c>
      <c r="C225">
        <v>4</v>
      </c>
      <c r="D225">
        <v>217</v>
      </c>
      <c r="E225">
        <v>74</v>
      </c>
      <c r="F225">
        <v>1</v>
      </c>
      <c r="G225">
        <v>205.01</v>
      </c>
      <c r="H225" s="9">
        <v>0.1</v>
      </c>
      <c r="I225" s="9">
        <v>184.51</v>
      </c>
    </row>
    <row r="226" spans="1:9" x14ac:dyDescent="0.3">
      <c r="A226">
        <v>225</v>
      </c>
      <c r="B226" t="s">
        <v>207</v>
      </c>
      <c r="C226">
        <v>5</v>
      </c>
      <c r="D226">
        <v>67</v>
      </c>
      <c r="E226">
        <v>96</v>
      </c>
      <c r="F226">
        <v>1</v>
      </c>
      <c r="G226">
        <v>132.69</v>
      </c>
      <c r="H226" s="9">
        <v>0</v>
      </c>
      <c r="I226" s="9">
        <v>132.69</v>
      </c>
    </row>
    <row r="227" spans="1:9" x14ac:dyDescent="0.3">
      <c r="A227">
        <v>226</v>
      </c>
      <c r="B227" t="s">
        <v>208</v>
      </c>
      <c r="C227">
        <v>6</v>
      </c>
      <c r="D227">
        <v>55</v>
      </c>
      <c r="E227">
        <v>8</v>
      </c>
      <c r="F227">
        <v>1</v>
      </c>
      <c r="G227">
        <v>259.11</v>
      </c>
      <c r="H227" s="9">
        <v>0</v>
      </c>
      <c r="I227" s="9">
        <v>259.11</v>
      </c>
    </row>
    <row r="228" spans="1:9" x14ac:dyDescent="0.3">
      <c r="A228">
        <v>227</v>
      </c>
      <c r="B228" t="s">
        <v>209</v>
      </c>
      <c r="C228">
        <v>1</v>
      </c>
      <c r="D228">
        <v>14</v>
      </c>
      <c r="E228">
        <v>62</v>
      </c>
      <c r="F228">
        <v>1</v>
      </c>
      <c r="G228">
        <v>82.81</v>
      </c>
      <c r="H228" s="9">
        <v>0</v>
      </c>
      <c r="I228" s="9">
        <v>82.81</v>
      </c>
    </row>
    <row r="229" spans="1:9" x14ac:dyDescent="0.3">
      <c r="A229">
        <v>228</v>
      </c>
      <c r="B229" t="s">
        <v>210</v>
      </c>
      <c r="C229">
        <v>7</v>
      </c>
      <c r="D229">
        <v>132</v>
      </c>
      <c r="E229">
        <v>77</v>
      </c>
      <c r="F229">
        <v>1</v>
      </c>
      <c r="G229">
        <v>226.88</v>
      </c>
      <c r="H229" s="9">
        <v>0.2</v>
      </c>
      <c r="I229" s="9">
        <v>181.5</v>
      </c>
    </row>
    <row r="230" spans="1:9" x14ac:dyDescent="0.3">
      <c r="A230">
        <v>229</v>
      </c>
      <c r="B230" t="s">
        <v>211</v>
      </c>
      <c r="C230">
        <v>3</v>
      </c>
      <c r="D230">
        <v>149</v>
      </c>
      <c r="E230">
        <v>19</v>
      </c>
      <c r="F230">
        <v>2</v>
      </c>
      <c r="G230">
        <v>138.31</v>
      </c>
      <c r="H230" s="9">
        <v>0</v>
      </c>
      <c r="I230" s="9">
        <v>276.62</v>
      </c>
    </row>
    <row r="231" spans="1:9" x14ac:dyDescent="0.3">
      <c r="A231">
        <v>230</v>
      </c>
      <c r="B231" t="s">
        <v>212</v>
      </c>
      <c r="C231">
        <v>4</v>
      </c>
      <c r="D231">
        <v>22</v>
      </c>
      <c r="E231">
        <v>94</v>
      </c>
      <c r="F231">
        <v>1</v>
      </c>
      <c r="G231">
        <v>163.66</v>
      </c>
      <c r="H231" s="9">
        <v>0.05</v>
      </c>
      <c r="I231" s="9">
        <v>155.47999999999999</v>
      </c>
    </row>
    <row r="232" spans="1:9" x14ac:dyDescent="0.3">
      <c r="A232">
        <v>231</v>
      </c>
      <c r="B232" t="s">
        <v>213</v>
      </c>
      <c r="C232">
        <v>6</v>
      </c>
      <c r="D232">
        <v>204</v>
      </c>
      <c r="E232">
        <v>63</v>
      </c>
      <c r="F232">
        <v>2</v>
      </c>
      <c r="G232">
        <v>239.9</v>
      </c>
      <c r="H232" s="9">
        <v>0.05</v>
      </c>
      <c r="I232" s="9">
        <v>455.81</v>
      </c>
    </row>
    <row r="233" spans="1:9" x14ac:dyDescent="0.3">
      <c r="A233">
        <v>232</v>
      </c>
      <c r="B233" t="s">
        <v>214</v>
      </c>
      <c r="C233">
        <v>7</v>
      </c>
      <c r="D233">
        <v>29</v>
      </c>
      <c r="E233">
        <v>4</v>
      </c>
      <c r="F233">
        <v>1</v>
      </c>
      <c r="G233">
        <v>168</v>
      </c>
      <c r="H233" s="9">
        <v>0.1</v>
      </c>
      <c r="I233" s="9">
        <v>151.19999999999999</v>
      </c>
    </row>
    <row r="234" spans="1:9" x14ac:dyDescent="0.3">
      <c r="A234">
        <v>233</v>
      </c>
      <c r="B234" t="s">
        <v>215</v>
      </c>
      <c r="C234">
        <v>7</v>
      </c>
      <c r="D234">
        <v>116</v>
      </c>
      <c r="E234">
        <v>97</v>
      </c>
      <c r="F234">
        <v>1</v>
      </c>
      <c r="G234">
        <v>158.26</v>
      </c>
      <c r="H234" s="9">
        <v>0.15</v>
      </c>
      <c r="I234" s="9">
        <v>134.52000000000001</v>
      </c>
    </row>
    <row r="235" spans="1:9" x14ac:dyDescent="0.3">
      <c r="A235">
        <v>234</v>
      </c>
      <c r="B235" t="s">
        <v>216</v>
      </c>
      <c r="C235">
        <v>8</v>
      </c>
      <c r="D235">
        <v>182</v>
      </c>
      <c r="E235">
        <v>54</v>
      </c>
      <c r="F235">
        <v>2</v>
      </c>
      <c r="G235">
        <v>245.9</v>
      </c>
      <c r="H235" s="9">
        <v>0</v>
      </c>
      <c r="I235" s="9">
        <v>491.8</v>
      </c>
    </row>
    <row r="236" spans="1:9" x14ac:dyDescent="0.3">
      <c r="A236">
        <v>235</v>
      </c>
      <c r="B236" t="s">
        <v>217</v>
      </c>
      <c r="C236">
        <v>6</v>
      </c>
      <c r="D236">
        <v>27</v>
      </c>
      <c r="E236">
        <v>46</v>
      </c>
      <c r="F236">
        <v>1</v>
      </c>
      <c r="G236">
        <v>157</v>
      </c>
      <c r="H236" s="9">
        <v>0</v>
      </c>
      <c r="I236" s="9">
        <v>157</v>
      </c>
    </row>
    <row r="237" spans="1:9" x14ac:dyDescent="0.3">
      <c r="A237">
        <v>236</v>
      </c>
      <c r="B237" t="s">
        <v>218</v>
      </c>
      <c r="C237">
        <v>7</v>
      </c>
      <c r="D237">
        <v>114</v>
      </c>
      <c r="E237">
        <v>14</v>
      </c>
      <c r="F237">
        <v>2</v>
      </c>
      <c r="G237">
        <v>70.08</v>
      </c>
      <c r="H237" s="9">
        <v>0</v>
      </c>
      <c r="I237" s="9">
        <v>140.16</v>
      </c>
    </row>
    <row r="238" spans="1:9" x14ac:dyDescent="0.3">
      <c r="A238">
        <v>237</v>
      </c>
      <c r="B238" t="s">
        <v>219</v>
      </c>
      <c r="C238">
        <v>5</v>
      </c>
      <c r="D238">
        <v>179</v>
      </c>
      <c r="E238">
        <v>73</v>
      </c>
      <c r="F238">
        <v>1</v>
      </c>
      <c r="G238">
        <v>8.39</v>
      </c>
      <c r="H238" s="9">
        <v>0</v>
      </c>
      <c r="I238" s="9">
        <v>8.39</v>
      </c>
    </row>
    <row r="239" spans="1:9" x14ac:dyDescent="0.3">
      <c r="A239">
        <v>238</v>
      </c>
      <c r="B239" t="s">
        <v>184</v>
      </c>
      <c r="C239">
        <v>7</v>
      </c>
      <c r="D239">
        <v>108</v>
      </c>
      <c r="E239">
        <v>42</v>
      </c>
      <c r="F239">
        <v>1</v>
      </c>
      <c r="G239">
        <v>127.97</v>
      </c>
      <c r="H239" s="9">
        <v>0</v>
      </c>
      <c r="I239" s="9">
        <v>127.97</v>
      </c>
    </row>
    <row r="240" spans="1:9" x14ac:dyDescent="0.3">
      <c r="A240">
        <v>239</v>
      </c>
      <c r="B240" t="s">
        <v>9</v>
      </c>
      <c r="C240">
        <v>6</v>
      </c>
      <c r="D240">
        <v>185</v>
      </c>
      <c r="E240">
        <v>30</v>
      </c>
      <c r="F240">
        <v>2</v>
      </c>
      <c r="G240">
        <v>19.399999999999999</v>
      </c>
      <c r="H240" s="9">
        <v>0.15</v>
      </c>
      <c r="I240" s="9">
        <v>32.979999999999997</v>
      </c>
    </row>
    <row r="241" spans="1:9" x14ac:dyDescent="0.3">
      <c r="A241">
        <v>240</v>
      </c>
      <c r="B241" t="s">
        <v>220</v>
      </c>
      <c r="C241">
        <v>8</v>
      </c>
      <c r="D241">
        <v>2</v>
      </c>
      <c r="E241">
        <v>59</v>
      </c>
      <c r="F241">
        <v>2</v>
      </c>
      <c r="G241">
        <v>17.41</v>
      </c>
      <c r="H241" s="9">
        <v>0.15</v>
      </c>
      <c r="I241" s="9">
        <v>29.6</v>
      </c>
    </row>
    <row r="242" spans="1:9" x14ac:dyDescent="0.3">
      <c r="A242">
        <v>241</v>
      </c>
      <c r="B242" t="s">
        <v>221</v>
      </c>
      <c r="C242">
        <v>2</v>
      </c>
      <c r="D242">
        <v>149</v>
      </c>
      <c r="E242">
        <v>17</v>
      </c>
      <c r="F242">
        <v>1</v>
      </c>
      <c r="G242">
        <v>97.14</v>
      </c>
      <c r="H242" s="9">
        <v>0.05</v>
      </c>
      <c r="I242" s="9">
        <v>92.28</v>
      </c>
    </row>
    <row r="243" spans="1:9" x14ac:dyDescent="0.3">
      <c r="A243">
        <v>242</v>
      </c>
      <c r="B243" t="s">
        <v>222</v>
      </c>
      <c r="C243">
        <v>2</v>
      </c>
      <c r="D243">
        <v>202</v>
      </c>
      <c r="E243">
        <v>55</v>
      </c>
      <c r="F243">
        <v>1</v>
      </c>
      <c r="G243">
        <v>193.33</v>
      </c>
      <c r="H243" s="9">
        <v>0.15</v>
      </c>
      <c r="I243" s="9">
        <v>164.33</v>
      </c>
    </row>
    <row r="244" spans="1:9" x14ac:dyDescent="0.3">
      <c r="A244">
        <v>243</v>
      </c>
      <c r="B244" t="s">
        <v>223</v>
      </c>
      <c r="C244">
        <v>7</v>
      </c>
      <c r="D244">
        <v>168</v>
      </c>
      <c r="E244">
        <v>16</v>
      </c>
      <c r="F244">
        <v>1</v>
      </c>
      <c r="G244">
        <v>62.77</v>
      </c>
      <c r="H244" s="9">
        <v>0</v>
      </c>
      <c r="I244" s="9">
        <v>62.77</v>
      </c>
    </row>
    <row r="245" spans="1:9" x14ac:dyDescent="0.3">
      <c r="A245">
        <v>244</v>
      </c>
      <c r="B245" t="s">
        <v>20</v>
      </c>
      <c r="C245">
        <v>2</v>
      </c>
      <c r="D245">
        <v>165</v>
      </c>
      <c r="E245">
        <v>83</v>
      </c>
      <c r="F245">
        <v>3</v>
      </c>
      <c r="G245">
        <v>109.16</v>
      </c>
      <c r="H245" s="9">
        <v>0</v>
      </c>
      <c r="I245" s="9">
        <v>327.48</v>
      </c>
    </row>
    <row r="246" spans="1:9" x14ac:dyDescent="0.3">
      <c r="A246">
        <v>245</v>
      </c>
      <c r="B246" t="s">
        <v>98</v>
      </c>
      <c r="C246">
        <v>5</v>
      </c>
      <c r="D246">
        <v>205</v>
      </c>
      <c r="E246">
        <v>25</v>
      </c>
      <c r="F246">
        <v>1</v>
      </c>
      <c r="G246">
        <v>117.41</v>
      </c>
      <c r="H246" s="9">
        <v>0</v>
      </c>
      <c r="I246" s="9">
        <v>117.41</v>
      </c>
    </row>
    <row r="247" spans="1:9" x14ac:dyDescent="0.3">
      <c r="A247">
        <v>246</v>
      </c>
      <c r="B247" t="s">
        <v>188</v>
      </c>
      <c r="C247">
        <v>4</v>
      </c>
      <c r="D247">
        <v>216</v>
      </c>
      <c r="E247">
        <v>40</v>
      </c>
      <c r="F247">
        <v>1</v>
      </c>
      <c r="G247">
        <v>144.41999999999999</v>
      </c>
      <c r="H247" s="9">
        <v>0</v>
      </c>
      <c r="I247" s="9">
        <v>144.41999999999999</v>
      </c>
    </row>
    <row r="248" spans="1:9" x14ac:dyDescent="0.3">
      <c r="A248">
        <v>247</v>
      </c>
      <c r="B248" t="s">
        <v>16</v>
      </c>
      <c r="C248">
        <v>3</v>
      </c>
      <c r="D248">
        <v>5</v>
      </c>
      <c r="E248">
        <v>78</v>
      </c>
      <c r="F248">
        <v>1</v>
      </c>
      <c r="G248">
        <v>25.66</v>
      </c>
      <c r="H248" s="9">
        <v>0</v>
      </c>
      <c r="I248" s="9">
        <v>25.66</v>
      </c>
    </row>
    <row r="249" spans="1:9" x14ac:dyDescent="0.3">
      <c r="A249">
        <v>248</v>
      </c>
      <c r="B249" t="s">
        <v>224</v>
      </c>
      <c r="C249">
        <v>2</v>
      </c>
      <c r="D249">
        <v>85</v>
      </c>
      <c r="E249">
        <v>30</v>
      </c>
      <c r="F249">
        <v>1</v>
      </c>
      <c r="G249">
        <v>19.399999999999999</v>
      </c>
      <c r="H249" s="9">
        <v>0</v>
      </c>
      <c r="I249" s="9">
        <v>19.399999999999999</v>
      </c>
    </row>
    <row r="250" spans="1:9" x14ac:dyDescent="0.3">
      <c r="A250">
        <v>249</v>
      </c>
      <c r="B250" t="s">
        <v>225</v>
      </c>
      <c r="C250">
        <v>4</v>
      </c>
      <c r="D250">
        <v>158</v>
      </c>
      <c r="E250">
        <v>73</v>
      </c>
      <c r="F250">
        <v>1</v>
      </c>
      <c r="G250">
        <v>8.39</v>
      </c>
      <c r="H250" s="9">
        <v>0</v>
      </c>
      <c r="I250" s="9">
        <v>8.39</v>
      </c>
    </row>
    <row r="251" spans="1:9" x14ac:dyDescent="0.3">
      <c r="A251">
        <v>250</v>
      </c>
      <c r="B251" t="s">
        <v>226</v>
      </c>
      <c r="C251">
        <v>6</v>
      </c>
      <c r="D251">
        <v>139</v>
      </c>
      <c r="E251">
        <v>7</v>
      </c>
      <c r="F251">
        <v>1</v>
      </c>
      <c r="G251">
        <v>21.72</v>
      </c>
      <c r="H251" s="9">
        <v>0</v>
      </c>
      <c r="I251" s="9">
        <v>21.72</v>
      </c>
    </row>
    <row r="252" spans="1:9" x14ac:dyDescent="0.3">
      <c r="A252">
        <v>251</v>
      </c>
      <c r="B252" t="s">
        <v>227</v>
      </c>
      <c r="C252">
        <v>4</v>
      </c>
      <c r="D252">
        <v>67</v>
      </c>
      <c r="E252">
        <v>45</v>
      </c>
      <c r="F252">
        <v>1</v>
      </c>
      <c r="G252">
        <v>70.989999999999995</v>
      </c>
      <c r="H252" s="9">
        <v>0</v>
      </c>
      <c r="I252" s="9">
        <v>70.989999999999995</v>
      </c>
    </row>
    <row r="253" spans="1:9" x14ac:dyDescent="0.3">
      <c r="A253">
        <v>252</v>
      </c>
      <c r="B253" t="s">
        <v>228</v>
      </c>
      <c r="C253">
        <v>3</v>
      </c>
      <c r="D253">
        <v>31</v>
      </c>
      <c r="E253">
        <v>5</v>
      </c>
      <c r="F253">
        <v>3</v>
      </c>
      <c r="G253">
        <v>55.26</v>
      </c>
      <c r="H253" s="9">
        <v>0</v>
      </c>
      <c r="I253" s="9">
        <v>165.78</v>
      </c>
    </row>
    <row r="254" spans="1:9" x14ac:dyDescent="0.3">
      <c r="A254">
        <v>253</v>
      </c>
      <c r="B254" t="s">
        <v>229</v>
      </c>
      <c r="C254">
        <v>4</v>
      </c>
      <c r="D254">
        <v>191</v>
      </c>
      <c r="E254">
        <v>1</v>
      </c>
      <c r="F254">
        <v>1</v>
      </c>
      <c r="G254">
        <v>90.53</v>
      </c>
      <c r="H254" s="9">
        <v>0</v>
      </c>
      <c r="I254" s="9">
        <v>90.53</v>
      </c>
    </row>
    <row r="255" spans="1:9" x14ac:dyDescent="0.3">
      <c r="A255">
        <v>254</v>
      </c>
      <c r="B255" t="s">
        <v>230</v>
      </c>
      <c r="C255">
        <v>3</v>
      </c>
      <c r="D255">
        <v>95</v>
      </c>
      <c r="E255">
        <v>36</v>
      </c>
      <c r="F255">
        <v>1</v>
      </c>
      <c r="G255">
        <v>211.43</v>
      </c>
      <c r="H255" s="9">
        <v>0.2</v>
      </c>
      <c r="I255" s="9">
        <v>169.14</v>
      </c>
    </row>
    <row r="256" spans="1:9" x14ac:dyDescent="0.3">
      <c r="A256">
        <v>255</v>
      </c>
      <c r="B256" t="s">
        <v>231</v>
      </c>
      <c r="C256">
        <v>3</v>
      </c>
      <c r="D256">
        <v>47</v>
      </c>
      <c r="E256">
        <v>29</v>
      </c>
      <c r="F256">
        <v>1</v>
      </c>
      <c r="G256">
        <v>138.6</v>
      </c>
      <c r="H256" s="9">
        <v>0.2</v>
      </c>
      <c r="I256" s="9">
        <v>110.88</v>
      </c>
    </row>
    <row r="257" spans="1:9" x14ac:dyDescent="0.3">
      <c r="A257">
        <v>256</v>
      </c>
      <c r="B257" t="s">
        <v>232</v>
      </c>
      <c r="C257">
        <v>8</v>
      </c>
      <c r="D257">
        <v>77</v>
      </c>
      <c r="E257">
        <v>34</v>
      </c>
      <c r="F257">
        <v>1</v>
      </c>
      <c r="G257">
        <v>247.04</v>
      </c>
      <c r="H257" s="9">
        <v>0</v>
      </c>
      <c r="I257" s="9">
        <v>247.04</v>
      </c>
    </row>
    <row r="258" spans="1:9" x14ac:dyDescent="0.3">
      <c r="A258">
        <v>257</v>
      </c>
      <c r="B258" t="s">
        <v>233</v>
      </c>
      <c r="C258">
        <v>6</v>
      </c>
      <c r="D258">
        <v>183</v>
      </c>
      <c r="E258">
        <v>91</v>
      </c>
      <c r="F258">
        <v>1</v>
      </c>
      <c r="G258">
        <v>33.700000000000003</v>
      </c>
      <c r="H258" s="9">
        <v>0</v>
      </c>
      <c r="I258" s="9">
        <v>33.700000000000003</v>
      </c>
    </row>
    <row r="259" spans="1:9" x14ac:dyDescent="0.3">
      <c r="A259">
        <v>258</v>
      </c>
      <c r="B259" t="s">
        <v>234</v>
      </c>
      <c r="C259">
        <v>3</v>
      </c>
      <c r="D259">
        <v>58</v>
      </c>
      <c r="E259">
        <v>74</v>
      </c>
      <c r="F259">
        <v>1</v>
      </c>
      <c r="G259">
        <v>205.01</v>
      </c>
      <c r="H259" s="9">
        <v>0</v>
      </c>
      <c r="I259" s="9">
        <v>205.01</v>
      </c>
    </row>
    <row r="260" spans="1:9" x14ac:dyDescent="0.3">
      <c r="A260">
        <v>259</v>
      </c>
      <c r="B260" t="s">
        <v>235</v>
      </c>
      <c r="C260">
        <v>2</v>
      </c>
      <c r="D260">
        <v>216</v>
      </c>
      <c r="E260">
        <v>40</v>
      </c>
      <c r="F260">
        <v>1</v>
      </c>
      <c r="G260">
        <v>144.41999999999999</v>
      </c>
      <c r="H260" s="9">
        <v>0</v>
      </c>
      <c r="I260" s="9">
        <v>144.41999999999999</v>
      </c>
    </row>
    <row r="261" spans="1:9" x14ac:dyDescent="0.3">
      <c r="A261">
        <v>260</v>
      </c>
      <c r="B261" t="s">
        <v>236</v>
      </c>
      <c r="C261">
        <v>8</v>
      </c>
      <c r="D261">
        <v>80</v>
      </c>
      <c r="E261">
        <v>57</v>
      </c>
      <c r="F261">
        <v>1</v>
      </c>
      <c r="G261">
        <v>32.28</v>
      </c>
      <c r="H261" s="9">
        <v>0</v>
      </c>
      <c r="I261" s="9">
        <v>32.28</v>
      </c>
    </row>
    <row r="262" spans="1:9" x14ac:dyDescent="0.3">
      <c r="A262">
        <v>261</v>
      </c>
      <c r="B262" t="s">
        <v>237</v>
      </c>
      <c r="C262">
        <v>5</v>
      </c>
      <c r="D262">
        <v>36</v>
      </c>
      <c r="E262">
        <v>34</v>
      </c>
      <c r="F262">
        <v>1</v>
      </c>
      <c r="G262">
        <v>247.04</v>
      </c>
      <c r="H262" s="9">
        <v>0</v>
      </c>
      <c r="I262" s="9">
        <v>247.04</v>
      </c>
    </row>
    <row r="263" spans="1:9" x14ac:dyDescent="0.3">
      <c r="A263">
        <v>262</v>
      </c>
      <c r="B263" t="s">
        <v>238</v>
      </c>
      <c r="C263">
        <v>6</v>
      </c>
      <c r="D263">
        <v>25</v>
      </c>
      <c r="E263">
        <v>80</v>
      </c>
      <c r="F263">
        <v>3</v>
      </c>
      <c r="G263">
        <v>33.380000000000003</v>
      </c>
      <c r="H263" s="9">
        <v>0</v>
      </c>
      <c r="I263" s="9">
        <v>100.14</v>
      </c>
    </row>
    <row r="264" spans="1:9" x14ac:dyDescent="0.3">
      <c r="A264">
        <v>263</v>
      </c>
      <c r="B264" t="s">
        <v>47</v>
      </c>
      <c r="C264">
        <v>2</v>
      </c>
      <c r="D264">
        <v>211</v>
      </c>
      <c r="E264">
        <v>13</v>
      </c>
      <c r="F264">
        <v>1</v>
      </c>
      <c r="G264">
        <v>262.70999999999998</v>
      </c>
      <c r="H264" s="9">
        <v>0.05</v>
      </c>
      <c r="I264" s="9">
        <v>249.57</v>
      </c>
    </row>
    <row r="265" spans="1:9" x14ac:dyDescent="0.3">
      <c r="A265">
        <v>264</v>
      </c>
      <c r="B265" t="s">
        <v>239</v>
      </c>
      <c r="C265">
        <v>8</v>
      </c>
      <c r="D265">
        <v>14</v>
      </c>
      <c r="E265">
        <v>31</v>
      </c>
      <c r="F265">
        <v>1</v>
      </c>
      <c r="G265">
        <v>165.45</v>
      </c>
      <c r="H265" s="9">
        <v>0</v>
      </c>
      <c r="I265" s="9">
        <v>165.45</v>
      </c>
    </row>
    <row r="266" spans="1:9" x14ac:dyDescent="0.3">
      <c r="A266">
        <v>265</v>
      </c>
      <c r="B266" t="s">
        <v>240</v>
      </c>
      <c r="C266">
        <v>1</v>
      </c>
      <c r="D266">
        <v>183</v>
      </c>
      <c r="E266">
        <v>70</v>
      </c>
      <c r="F266">
        <v>1</v>
      </c>
      <c r="G266">
        <v>280.36</v>
      </c>
      <c r="H266" s="9">
        <v>0</v>
      </c>
      <c r="I266" s="9">
        <v>280.36</v>
      </c>
    </row>
    <row r="267" spans="1:9" x14ac:dyDescent="0.3">
      <c r="A267">
        <v>266</v>
      </c>
      <c r="B267" t="s">
        <v>241</v>
      </c>
      <c r="C267">
        <v>6</v>
      </c>
      <c r="D267">
        <v>26</v>
      </c>
      <c r="E267">
        <v>100</v>
      </c>
      <c r="F267">
        <v>1</v>
      </c>
      <c r="G267">
        <v>39.06</v>
      </c>
      <c r="H267" s="9">
        <v>0</v>
      </c>
      <c r="I267" s="9">
        <v>39.06</v>
      </c>
    </row>
    <row r="268" spans="1:9" x14ac:dyDescent="0.3">
      <c r="A268">
        <v>267</v>
      </c>
      <c r="B268" t="s">
        <v>242</v>
      </c>
      <c r="C268">
        <v>2</v>
      </c>
      <c r="D268">
        <v>155</v>
      </c>
      <c r="E268">
        <v>99</v>
      </c>
      <c r="F268">
        <v>1</v>
      </c>
      <c r="G268">
        <v>15.44</v>
      </c>
      <c r="H268" s="9">
        <v>0</v>
      </c>
      <c r="I268" s="9">
        <v>15.44</v>
      </c>
    </row>
    <row r="269" spans="1:9" x14ac:dyDescent="0.3">
      <c r="A269">
        <v>268</v>
      </c>
      <c r="B269" t="s">
        <v>116</v>
      </c>
      <c r="C269">
        <v>7</v>
      </c>
      <c r="D269">
        <v>72</v>
      </c>
      <c r="E269">
        <v>38</v>
      </c>
      <c r="F269">
        <v>1</v>
      </c>
      <c r="G269">
        <v>35.35</v>
      </c>
      <c r="H269" s="9">
        <v>0.1</v>
      </c>
      <c r="I269" s="9">
        <v>31.82</v>
      </c>
    </row>
    <row r="270" spans="1:9" x14ac:dyDescent="0.3">
      <c r="A270">
        <v>269</v>
      </c>
      <c r="B270" t="s">
        <v>243</v>
      </c>
      <c r="C270">
        <v>1</v>
      </c>
      <c r="D270">
        <v>27</v>
      </c>
      <c r="E270">
        <v>80</v>
      </c>
      <c r="F270">
        <v>1</v>
      </c>
      <c r="G270">
        <v>33.380000000000003</v>
      </c>
      <c r="H270" s="9">
        <v>0</v>
      </c>
      <c r="I270" s="9">
        <v>33.380000000000003</v>
      </c>
    </row>
    <row r="271" spans="1:9" x14ac:dyDescent="0.3">
      <c r="A271">
        <v>270</v>
      </c>
      <c r="B271" t="s">
        <v>244</v>
      </c>
      <c r="C271">
        <v>4</v>
      </c>
      <c r="D271">
        <v>131</v>
      </c>
      <c r="E271">
        <v>100</v>
      </c>
      <c r="F271">
        <v>3</v>
      </c>
      <c r="G271">
        <v>39.06</v>
      </c>
      <c r="H271" s="9">
        <v>0</v>
      </c>
      <c r="I271" s="9">
        <v>117.18</v>
      </c>
    </row>
    <row r="272" spans="1:9" x14ac:dyDescent="0.3">
      <c r="A272">
        <v>271</v>
      </c>
      <c r="B272" t="s">
        <v>245</v>
      </c>
      <c r="C272">
        <v>8</v>
      </c>
      <c r="D272">
        <v>12</v>
      </c>
      <c r="E272">
        <v>75</v>
      </c>
      <c r="F272">
        <v>2</v>
      </c>
      <c r="G272">
        <v>205.69</v>
      </c>
      <c r="H272" s="9">
        <v>0.05</v>
      </c>
      <c r="I272" s="9">
        <v>390.81</v>
      </c>
    </row>
    <row r="273" spans="1:9" x14ac:dyDescent="0.3">
      <c r="A273">
        <v>272</v>
      </c>
      <c r="B273" t="s">
        <v>246</v>
      </c>
      <c r="C273">
        <v>3</v>
      </c>
      <c r="D273">
        <v>108</v>
      </c>
      <c r="E273">
        <v>7</v>
      </c>
      <c r="F273">
        <v>1</v>
      </c>
      <c r="G273">
        <v>21.72</v>
      </c>
      <c r="H273" s="9">
        <v>0</v>
      </c>
      <c r="I273" s="9">
        <v>21.72</v>
      </c>
    </row>
    <row r="274" spans="1:9" x14ac:dyDescent="0.3">
      <c r="A274">
        <v>273</v>
      </c>
      <c r="B274" t="s">
        <v>247</v>
      </c>
      <c r="C274">
        <v>8</v>
      </c>
      <c r="D274">
        <v>119</v>
      </c>
      <c r="E274">
        <v>22</v>
      </c>
      <c r="F274">
        <v>2</v>
      </c>
      <c r="G274">
        <v>49.91</v>
      </c>
      <c r="H274" s="9">
        <v>0</v>
      </c>
      <c r="I274" s="9">
        <v>99.82</v>
      </c>
    </row>
    <row r="275" spans="1:9" x14ac:dyDescent="0.3">
      <c r="A275">
        <v>274</v>
      </c>
      <c r="B275" t="s">
        <v>248</v>
      </c>
      <c r="C275">
        <v>6</v>
      </c>
      <c r="D275">
        <v>76</v>
      </c>
      <c r="E275">
        <v>87</v>
      </c>
      <c r="F275">
        <v>1</v>
      </c>
      <c r="G275">
        <v>223.85</v>
      </c>
      <c r="H275" s="9">
        <v>0.15</v>
      </c>
      <c r="I275" s="9">
        <v>190.27</v>
      </c>
    </row>
    <row r="276" spans="1:9" x14ac:dyDescent="0.3">
      <c r="A276">
        <v>275</v>
      </c>
      <c r="B276" t="s">
        <v>249</v>
      </c>
      <c r="C276">
        <v>3</v>
      </c>
      <c r="D276">
        <v>26</v>
      </c>
      <c r="E276">
        <v>81</v>
      </c>
      <c r="F276">
        <v>3</v>
      </c>
      <c r="G276">
        <v>225.3</v>
      </c>
      <c r="H276" s="9">
        <v>0.2</v>
      </c>
      <c r="I276" s="9">
        <v>540.72</v>
      </c>
    </row>
    <row r="277" spans="1:9" x14ac:dyDescent="0.3">
      <c r="A277">
        <v>276</v>
      </c>
      <c r="B277" t="s">
        <v>250</v>
      </c>
      <c r="C277">
        <v>4</v>
      </c>
      <c r="D277">
        <v>130</v>
      </c>
      <c r="E277">
        <v>43</v>
      </c>
      <c r="F277">
        <v>1</v>
      </c>
      <c r="G277">
        <v>16.04</v>
      </c>
      <c r="H277" s="9">
        <v>0</v>
      </c>
      <c r="I277" s="9">
        <v>16.04</v>
      </c>
    </row>
    <row r="278" spans="1:9" x14ac:dyDescent="0.3">
      <c r="A278">
        <v>277</v>
      </c>
      <c r="B278" t="s">
        <v>251</v>
      </c>
      <c r="C278">
        <v>8</v>
      </c>
      <c r="D278">
        <v>119</v>
      </c>
      <c r="E278">
        <v>31</v>
      </c>
      <c r="F278">
        <v>2</v>
      </c>
      <c r="G278">
        <v>165.45</v>
      </c>
      <c r="H278" s="9">
        <v>0.05</v>
      </c>
      <c r="I278" s="9">
        <v>314.35000000000002</v>
      </c>
    </row>
    <row r="279" spans="1:9" x14ac:dyDescent="0.3">
      <c r="A279">
        <v>278</v>
      </c>
      <c r="B279" t="s">
        <v>252</v>
      </c>
      <c r="C279">
        <v>6</v>
      </c>
      <c r="D279">
        <v>82</v>
      </c>
      <c r="E279">
        <v>52</v>
      </c>
      <c r="F279">
        <v>1</v>
      </c>
      <c r="G279">
        <v>196.75</v>
      </c>
      <c r="H279" s="9">
        <v>0.05</v>
      </c>
      <c r="I279" s="9">
        <v>186.91</v>
      </c>
    </row>
    <row r="280" spans="1:9" x14ac:dyDescent="0.3">
      <c r="A280">
        <v>279</v>
      </c>
      <c r="B280" t="s">
        <v>253</v>
      </c>
      <c r="C280">
        <v>5</v>
      </c>
      <c r="D280">
        <v>204</v>
      </c>
      <c r="E280">
        <v>100</v>
      </c>
      <c r="F280">
        <v>1</v>
      </c>
      <c r="G280">
        <v>39.06</v>
      </c>
      <c r="H280" s="9">
        <v>0</v>
      </c>
      <c r="I280" s="9">
        <v>39.06</v>
      </c>
    </row>
    <row r="281" spans="1:9" x14ac:dyDescent="0.3">
      <c r="A281">
        <v>280</v>
      </c>
      <c r="B281" t="s">
        <v>254</v>
      </c>
      <c r="C281">
        <v>7</v>
      </c>
      <c r="D281">
        <v>127</v>
      </c>
      <c r="E281">
        <v>68</v>
      </c>
      <c r="F281">
        <v>1</v>
      </c>
      <c r="G281">
        <v>198.56</v>
      </c>
      <c r="H281" s="9">
        <v>0</v>
      </c>
      <c r="I281" s="9">
        <v>198.56</v>
      </c>
    </row>
    <row r="282" spans="1:9" x14ac:dyDescent="0.3">
      <c r="A282">
        <v>281</v>
      </c>
      <c r="B282" t="s">
        <v>255</v>
      </c>
      <c r="C282">
        <v>1</v>
      </c>
      <c r="D282">
        <v>173</v>
      </c>
      <c r="E282">
        <v>8</v>
      </c>
      <c r="F282">
        <v>1</v>
      </c>
      <c r="G282">
        <v>259.11</v>
      </c>
      <c r="H282" s="9">
        <v>0.1</v>
      </c>
      <c r="I282" s="9">
        <v>233.2</v>
      </c>
    </row>
    <row r="283" spans="1:9" x14ac:dyDescent="0.3">
      <c r="A283">
        <v>282</v>
      </c>
      <c r="B283" t="s">
        <v>256</v>
      </c>
      <c r="C283">
        <v>2</v>
      </c>
      <c r="D283">
        <v>103</v>
      </c>
      <c r="E283">
        <v>47</v>
      </c>
      <c r="F283">
        <v>1</v>
      </c>
      <c r="G283">
        <v>93.41</v>
      </c>
      <c r="H283" s="9">
        <v>0</v>
      </c>
      <c r="I283" s="9">
        <v>93.41</v>
      </c>
    </row>
    <row r="284" spans="1:9" x14ac:dyDescent="0.3">
      <c r="A284">
        <v>283</v>
      </c>
      <c r="B284" t="s">
        <v>18</v>
      </c>
      <c r="C284">
        <v>2</v>
      </c>
      <c r="D284">
        <v>88</v>
      </c>
      <c r="E284">
        <v>67</v>
      </c>
      <c r="F284">
        <v>1</v>
      </c>
      <c r="G284">
        <v>41.9</v>
      </c>
      <c r="H284" s="9">
        <v>0.15</v>
      </c>
      <c r="I284" s="9">
        <v>35.61</v>
      </c>
    </row>
    <row r="285" spans="1:9" x14ac:dyDescent="0.3">
      <c r="A285">
        <v>284</v>
      </c>
      <c r="B285" t="s">
        <v>257</v>
      </c>
      <c r="C285">
        <v>5</v>
      </c>
      <c r="D285">
        <v>190</v>
      </c>
      <c r="E285">
        <v>93</v>
      </c>
      <c r="F285">
        <v>1</v>
      </c>
      <c r="G285">
        <v>239.23</v>
      </c>
      <c r="H285" s="9">
        <v>0.05</v>
      </c>
      <c r="I285" s="9">
        <v>227.27</v>
      </c>
    </row>
    <row r="286" spans="1:9" x14ac:dyDescent="0.3">
      <c r="A286">
        <v>285</v>
      </c>
      <c r="B286" t="s">
        <v>258</v>
      </c>
      <c r="C286">
        <v>3</v>
      </c>
      <c r="D286">
        <v>148</v>
      </c>
      <c r="E286">
        <v>77</v>
      </c>
      <c r="F286">
        <v>1</v>
      </c>
      <c r="G286">
        <v>226.88</v>
      </c>
      <c r="H286" s="9">
        <v>0.2</v>
      </c>
      <c r="I286" s="9">
        <v>181.5</v>
      </c>
    </row>
    <row r="287" spans="1:9" x14ac:dyDescent="0.3">
      <c r="A287">
        <v>286</v>
      </c>
      <c r="B287" t="s">
        <v>16</v>
      </c>
      <c r="C287">
        <v>2</v>
      </c>
      <c r="D287">
        <v>35</v>
      </c>
      <c r="E287">
        <v>83</v>
      </c>
      <c r="F287">
        <v>1</v>
      </c>
      <c r="G287">
        <v>109.16</v>
      </c>
      <c r="H287" s="9">
        <v>0.1</v>
      </c>
      <c r="I287" s="9">
        <v>98.24</v>
      </c>
    </row>
    <row r="288" spans="1:9" x14ac:dyDescent="0.3">
      <c r="A288">
        <v>287</v>
      </c>
      <c r="B288" t="s">
        <v>259</v>
      </c>
      <c r="C288">
        <v>6</v>
      </c>
      <c r="D288">
        <v>80</v>
      </c>
      <c r="E288">
        <v>7</v>
      </c>
      <c r="F288">
        <v>1</v>
      </c>
      <c r="G288">
        <v>21.72</v>
      </c>
      <c r="H288" s="9">
        <v>0</v>
      </c>
      <c r="I288" s="9">
        <v>21.72</v>
      </c>
    </row>
    <row r="289" spans="1:9" x14ac:dyDescent="0.3">
      <c r="A289">
        <v>288</v>
      </c>
      <c r="B289" t="s">
        <v>239</v>
      </c>
      <c r="C289">
        <v>7</v>
      </c>
      <c r="D289">
        <v>217</v>
      </c>
      <c r="E289">
        <v>90</v>
      </c>
      <c r="F289">
        <v>2</v>
      </c>
      <c r="G289">
        <v>122.32</v>
      </c>
      <c r="H289" s="9">
        <v>0.2</v>
      </c>
      <c r="I289" s="9">
        <v>195.71</v>
      </c>
    </row>
    <row r="290" spans="1:9" x14ac:dyDescent="0.3">
      <c r="A290">
        <v>289</v>
      </c>
      <c r="B290" t="s">
        <v>260</v>
      </c>
      <c r="C290">
        <v>2</v>
      </c>
      <c r="D290">
        <v>167</v>
      </c>
      <c r="E290">
        <v>10</v>
      </c>
      <c r="F290">
        <v>1</v>
      </c>
      <c r="G290">
        <v>168.82</v>
      </c>
      <c r="H290" s="9">
        <v>0.05</v>
      </c>
      <c r="I290" s="9">
        <v>160.38</v>
      </c>
    </row>
    <row r="291" spans="1:9" x14ac:dyDescent="0.3">
      <c r="A291">
        <v>290</v>
      </c>
      <c r="B291" t="s">
        <v>261</v>
      </c>
      <c r="C291">
        <v>7</v>
      </c>
      <c r="D291">
        <v>135</v>
      </c>
      <c r="E291">
        <v>72</v>
      </c>
      <c r="F291">
        <v>1</v>
      </c>
      <c r="G291">
        <v>50.75</v>
      </c>
      <c r="H291" s="9">
        <v>0</v>
      </c>
      <c r="I291" s="9">
        <v>50.75</v>
      </c>
    </row>
    <row r="292" spans="1:9" x14ac:dyDescent="0.3">
      <c r="A292">
        <v>291</v>
      </c>
      <c r="B292" t="s">
        <v>69</v>
      </c>
      <c r="C292">
        <v>3</v>
      </c>
      <c r="D292">
        <v>216</v>
      </c>
      <c r="E292">
        <v>24</v>
      </c>
      <c r="F292">
        <v>5</v>
      </c>
      <c r="G292">
        <v>91.73</v>
      </c>
      <c r="H292" s="9">
        <v>0.1</v>
      </c>
      <c r="I292" s="9">
        <v>412.79</v>
      </c>
    </row>
    <row r="293" spans="1:9" x14ac:dyDescent="0.3">
      <c r="A293">
        <v>292</v>
      </c>
      <c r="B293" t="s">
        <v>262</v>
      </c>
      <c r="C293">
        <v>7</v>
      </c>
      <c r="D293">
        <v>130</v>
      </c>
      <c r="E293">
        <v>74</v>
      </c>
      <c r="F293">
        <v>1</v>
      </c>
      <c r="G293">
        <v>205.01</v>
      </c>
      <c r="H293" s="9">
        <v>0</v>
      </c>
      <c r="I293" s="9">
        <v>205.01</v>
      </c>
    </row>
    <row r="294" spans="1:9" x14ac:dyDescent="0.3">
      <c r="A294">
        <v>293</v>
      </c>
      <c r="B294" t="s">
        <v>263</v>
      </c>
      <c r="C294">
        <v>6</v>
      </c>
      <c r="D294">
        <v>42</v>
      </c>
      <c r="E294">
        <v>26</v>
      </c>
      <c r="F294">
        <v>2</v>
      </c>
      <c r="G294">
        <v>211.87</v>
      </c>
      <c r="H294" s="9">
        <v>0</v>
      </c>
      <c r="I294" s="9">
        <v>423.74</v>
      </c>
    </row>
    <row r="295" spans="1:9" x14ac:dyDescent="0.3">
      <c r="A295">
        <v>294</v>
      </c>
      <c r="B295" t="s">
        <v>264</v>
      </c>
      <c r="C295">
        <v>6</v>
      </c>
      <c r="D295">
        <v>101</v>
      </c>
      <c r="E295">
        <v>27</v>
      </c>
      <c r="F295">
        <v>1</v>
      </c>
      <c r="G295">
        <v>66.790000000000006</v>
      </c>
      <c r="H295" s="9">
        <v>0</v>
      </c>
      <c r="I295" s="9">
        <v>66.790000000000006</v>
      </c>
    </row>
    <row r="296" spans="1:9" x14ac:dyDescent="0.3">
      <c r="A296">
        <v>295</v>
      </c>
      <c r="B296" t="s">
        <v>105</v>
      </c>
      <c r="C296">
        <v>3</v>
      </c>
      <c r="D296">
        <v>34</v>
      </c>
      <c r="E296">
        <v>19</v>
      </c>
      <c r="F296">
        <v>1</v>
      </c>
      <c r="G296">
        <v>138.31</v>
      </c>
      <c r="H296" s="9">
        <v>0.1</v>
      </c>
      <c r="I296" s="9">
        <v>124.48</v>
      </c>
    </row>
    <row r="297" spans="1:9" x14ac:dyDescent="0.3">
      <c r="A297">
        <v>296</v>
      </c>
      <c r="B297" t="s">
        <v>265</v>
      </c>
      <c r="C297">
        <v>6</v>
      </c>
      <c r="D297">
        <v>8</v>
      </c>
      <c r="E297">
        <v>82</v>
      </c>
      <c r="F297">
        <v>1</v>
      </c>
      <c r="G297">
        <v>151.85</v>
      </c>
      <c r="H297" s="9">
        <v>0</v>
      </c>
      <c r="I297" s="9">
        <v>151.85</v>
      </c>
    </row>
    <row r="298" spans="1:9" x14ac:dyDescent="0.3">
      <c r="A298">
        <v>297</v>
      </c>
      <c r="B298" t="s">
        <v>266</v>
      </c>
      <c r="C298">
        <v>4</v>
      </c>
      <c r="D298">
        <v>201</v>
      </c>
      <c r="E298">
        <v>32</v>
      </c>
      <c r="F298">
        <v>1</v>
      </c>
      <c r="G298">
        <v>47.81</v>
      </c>
      <c r="H298" s="9">
        <v>0.05</v>
      </c>
      <c r="I298" s="9">
        <v>45.42</v>
      </c>
    </row>
    <row r="299" spans="1:9" x14ac:dyDescent="0.3">
      <c r="A299">
        <v>298</v>
      </c>
      <c r="B299" t="s">
        <v>185</v>
      </c>
      <c r="C299">
        <v>3</v>
      </c>
      <c r="D299">
        <v>114</v>
      </c>
      <c r="E299">
        <v>92</v>
      </c>
      <c r="F299">
        <v>1</v>
      </c>
      <c r="G299">
        <v>223.32</v>
      </c>
      <c r="H299" s="9">
        <v>0</v>
      </c>
      <c r="I299" s="9">
        <v>223.32</v>
      </c>
    </row>
    <row r="300" spans="1:9" x14ac:dyDescent="0.3">
      <c r="A300">
        <v>299</v>
      </c>
      <c r="B300" t="s">
        <v>267</v>
      </c>
      <c r="C300">
        <v>2</v>
      </c>
      <c r="D300">
        <v>54</v>
      </c>
      <c r="E300">
        <v>81</v>
      </c>
      <c r="F300">
        <v>1</v>
      </c>
      <c r="G300">
        <v>225.3</v>
      </c>
      <c r="H300" s="9">
        <v>0</v>
      </c>
      <c r="I300" s="9">
        <v>225.3</v>
      </c>
    </row>
    <row r="301" spans="1:9" x14ac:dyDescent="0.3">
      <c r="A301">
        <v>300</v>
      </c>
      <c r="B301" t="s">
        <v>268</v>
      </c>
      <c r="C301">
        <v>2</v>
      </c>
      <c r="D301">
        <v>72</v>
      </c>
      <c r="E301">
        <v>22</v>
      </c>
      <c r="F301">
        <v>2</v>
      </c>
      <c r="G301">
        <v>49.91</v>
      </c>
      <c r="H301" s="9">
        <v>0</v>
      </c>
      <c r="I301" s="9">
        <v>99.82</v>
      </c>
    </row>
    <row r="302" spans="1:9" x14ac:dyDescent="0.3">
      <c r="A302">
        <v>301</v>
      </c>
      <c r="B302" t="s">
        <v>47</v>
      </c>
      <c r="C302">
        <v>1</v>
      </c>
      <c r="D302">
        <v>136</v>
      </c>
      <c r="E302">
        <v>19</v>
      </c>
      <c r="F302">
        <v>1</v>
      </c>
      <c r="G302">
        <v>138.31</v>
      </c>
      <c r="H302" s="9">
        <v>0.05</v>
      </c>
      <c r="I302" s="9">
        <v>131.38999999999999</v>
      </c>
    </row>
    <row r="303" spans="1:9" x14ac:dyDescent="0.3">
      <c r="A303">
        <v>302</v>
      </c>
      <c r="B303" t="s">
        <v>269</v>
      </c>
      <c r="C303">
        <v>3</v>
      </c>
      <c r="D303">
        <v>11</v>
      </c>
      <c r="E303">
        <v>21</v>
      </c>
      <c r="F303">
        <v>1</v>
      </c>
      <c r="G303">
        <v>187.71</v>
      </c>
      <c r="H303" s="9">
        <v>0</v>
      </c>
      <c r="I303" s="9">
        <v>187.71</v>
      </c>
    </row>
    <row r="304" spans="1:9" x14ac:dyDescent="0.3">
      <c r="A304">
        <v>303</v>
      </c>
      <c r="B304" t="s">
        <v>270</v>
      </c>
      <c r="C304">
        <v>3</v>
      </c>
      <c r="D304">
        <v>136</v>
      </c>
      <c r="E304">
        <v>4</v>
      </c>
      <c r="F304">
        <v>1</v>
      </c>
      <c r="G304">
        <v>168</v>
      </c>
      <c r="H304" s="9">
        <v>0</v>
      </c>
      <c r="I304" s="9">
        <v>168</v>
      </c>
    </row>
    <row r="305" spans="1:9" x14ac:dyDescent="0.3">
      <c r="A305">
        <v>304</v>
      </c>
      <c r="B305" t="s">
        <v>271</v>
      </c>
      <c r="C305">
        <v>3</v>
      </c>
      <c r="D305">
        <v>180</v>
      </c>
      <c r="E305">
        <v>19</v>
      </c>
      <c r="F305">
        <v>1</v>
      </c>
      <c r="G305">
        <v>138.31</v>
      </c>
      <c r="H305" s="9">
        <v>0.15</v>
      </c>
      <c r="I305" s="9">
        <v>117.56</v>
      </c>
    </row>
    <row r="306" spans="1:9" x14ac:dyDescent="0.3">
      <c r="A306">
        <v>305</v>
      </c>
      <c r="B306" t="s">
        <v>272</v>
      </c>
      <c r="C306">
        <v>8</v>
      </c>
      <c r="D306">
        <v>141</v>
      </c>
      <c r="E306">
        <v>13</v>
      </c>
      <c r="F306">
        <v>2</v>
      </c>
      <c r="G306">
        <v>262.70999999999998</v>
      </c>
      <c r="H306" s="9">
        <v>0.05</v>
      </c>
      <c r="I306" s="9">
        <v>499.15</v>
      </c>
    </row>
    <row r="307" spans="1:9" x14ac:dyDescent="0.3">
      <c r="A307">
        <v>306</v>
      </c>
      <c r="B307" t="s">
        <v>273</v>
      </c>
      <c r="C307">
        <v>7</v>
      </c>
      <c r="D307">
        <v>109</v>
      </c>
      <c r="E307">
        <v>97</v>
      </c>
      <c r="F307">
        <v>1</v>
      </c>
      <c r="G307">
        <v>158.26</v>
      </c>
      <c r="H307" s="9">
        <v>0</v>
      </c>
      <c r="I307" s="9">
        <v>158.26</v>
      </c>
    </row>
    <row r="308" spans="1:9" x14ac:dyDescent="0.3">
      <c r="A308">
        <v>307</v>
      </c>
      <c r="B308" t="s">
        <v>274</v>
      </c>
      <c r="C308">
        <v>4</v>
      </c>
      <c r="D308">
        <v>145</v>
      </c>
      <c r="E308">
        <v>20</v>
      </c>
      <c r="F308">
        <v>1</v>
      </c>
      <c r="G308">
        <v>85.89</v>
      </c>
      <c r="H308" s="9">
        <v>0.1</v>
      </c>
      <c r="I308" s="9">
        <v>77.3</v>
      </c>
    </row>
    <row r="309" spans="1:9" x14ac:dyDescent="0.3">
      <c r="A309">
        <v>308</v>
      </c>
      <c r="B309" t="s">
        <v>275</v>
      </c>
      <c r="C309">
        <v>5</v>
      </c>
      <c r="D309">
        <v>114</v>
      </c>
      <c r="E309">
        <v>17</v>
      </c>
      <c r="F309">
        <v>2</v>
      </c>
      <c r="G309">
        <v>97.14</v>
      </c>
      <c r="H309" s="9">
        <v>0</v>
      </c>
      <c r="I309" s="9">
        <v>194.28</v>
      </c>
    </row>
    <row r="310" spans="1:9" x14ac:dyDescent="0.3">
      <c r="A310">
        <v>309</v>
      </c>
      <c r="B310" t="s">
        <v>233</v>
      </c>
      <c r="C310">
        <v>4</v>
      </c>
      <c r="D310">
        <v>50</v>
      </c>
      <c r="E310">
        <v>62</v>
      </c>
      <c r="F310">
        <v>1</v>
      </c>
      <c r="G310">
        <v>82.81</v>
      </c>
      <c r="H310" s="9">
        <v>0.2</v>
      </c>
      <c r="I310" s="9">
        <v>66.25</v>
      </c>
    </row>
    <row r="311" spans="1:9" x14ac:dyDescent="0.3">
      <c r="A311">
        <v>310</v>
      </c>
      <c r="B311" t="s">
        <v>276</v>
      </c>
      <c r="C311">
        <v>5</v>
      </c>
      <c r="D311">
        <v>215</v>
      </c>
      <c r="E311">
        <v>40</v>
      </c>
      <c r="F311">
        <v>2</v>
      </c>
      <c r="G311">
        <v>144.41999999999999</v>
      </c>
      <c r="H311" s="9">
        <v>0</v>
      </c>
      <c r="I311" s="9">
        <v>288.83999999999997</v>
      </c>
    </row>
    <row r="312" spans="1:9" x14ac:dyDescent="0.3">
      <c r="A312">
        <v>311</v>
      </c>
      <c r="B312" t="s">
        <v>236</v>
      </c>
      <c r="C312">
        <v>4</v>
      </c>
      <c r="D312">
        <v>19</v>
      </c>
      <c r="E312">
        <v>32</v>
      </c>
      <c r="F312">
        <v>1</v>
      </c>
      <c r="G312">
        <v>47.81</v>
      </c>
      <c r="H312" s="9">
        <v>0.1</v>
      </c>
      <c r="I312" s="9">
        <v>43.03</v>
      </c>
    </row>
    <row r="313" spans="1:9" x14ac:dyDescent="0.3">
      <c r="A313">
        <v>312</v>
      </c>
      <c r="B313" t="s">
        <v>277</v>
      </c>
      <c r="C313">
        <v>8</v>
      </c>
      <c r="D313">
        <v>48</v>
      </c>
      <c r="E313">
        <v>72</v>
      </c>
      <c r="F313">
        <v>1</v>
      </c>
      <c r="G313">
        <v>50.75</v>
      </c>
      <c r="H313" s="9">
        <v>0</v>
      </c>
      <c r="I313" s="9">
        <v>50.75</v>
      </c>
    </row>
    <row r="314" spans="1:9" x14ac:dyDescent="0.3">
      <c r="A314">
        <v>313</v>
      </c>
      <c r="B314" t="s">
        <v>37</v>
      </c>
      <c r="C314">
        <v>5</v>
      </c>
      <c r="D314">
        <v>137</v>
      </c>
      <c r="E314">
        <v>97</v>
      </c>
      <c r="F314">
        <v>1</v>
      </c>
      <c r="G314">
        <v>158.26</v>
      </c>
      <c r="H314" s="9">
        <v>0</v>
      </c>
      <c r="I314" s="9">
        <v>158.26</v>
      </c>
    </row>
    <row r="315" spans="1:9" x14ac:dyDescent="0.3">
      <c r="A315">
        <v>314</v>
      </c>
      <c r="B315" t="s">
        <v>278</v>
      </c>
      <c r="C315">
        <v>7</v>
      </c>
      <c r="D315">
        <v>47</v>
      </c>
      <c r="E315">
        <v>36</v>
      </c>
      <c r="F315">
        <v>1</v>
      </c>
      <c r="G315">
        <v>211.43</v>
      </c>
      <c r="H315" s="9">
        <v>0</v>
      </c>
      <c r="I315" s="9">
        <v>211.43</v>
      </c>
    </row>
    <row r="316" spans="1:9" x14ac:dyDescent="0.3">
      <c r="A316">
        <v>315</v>
      </c>
      <c r="B316" t="s">
        <v>279</v>
      </c>
      <c r="C316">
        <v>4</v>
      </c>
      <c r="D316">
        <v>45</v>
      </c>
      <c r="E316">
        <v>9</v>
      </c>
      <c r="F316">
        <v>4</v>
      </c>
      <c r="G316">
        <v>152.78</v>
      </c>
      <c r="H316" s="9">
        <v>0.15</v>
      </c>
      <c r="I316" s="9">
        <v>519.45000000000005</v>
      </c>
    </row>
    <row r="317" spans="1:9" x14ac:dyDescent="0.3">
      <c r="A317">
        <v>316</v>
      </c>
      <c r="B317" t="s">
        <v>280</v>
      </c>
      <c r="C317">
        <v>5</v>
      </c>
      <c r="D317">
        <v>146</v>
      </c>
      <c r="E317">
        <v>100</v>
      </c>
      <c r="F317">
        <v>1</v>
      </c>
      <c r="G317">
        <v>39.06</v>
      </c>
      <c r="H317" s="9">
        <v>0.1</v>
      </c>
      <c r="I317" s="9">
        <v>35.15</v>
      </c>
    </row>
    <row r="318" spans="1:9" x14ac:dyDescent="0.3">
      <c r="A318">
        <v>317</v>
      </c>
      <c r="B318" t="s">
        <v>281</v>
      </c>
      <c r="C318">
        <v>8</v>
      </c>
      <c r="D318">
        <v>163</v>
      </c>
      <c r="E318">
        <v>71</v>
      </c>
      <c r="F318">
        <v>1</v>
      </c>
      <c r="G318">
        <v>225.61</v>
      </c>
      <c r="H318" s="9">
        <v>0</v>
      </c>
      <c r="I318" s="9">
        <v>225.61</v>
      </c>
    </row>
    <row r="319" spans="1:9" x14ac:dyDescent="0.3">
      <c r="A319">
        <v>318</v>
      </c>
      <c r="B319" t="s">
        <v>282</v>
      </c>
      <c r="C319">
        <v>2</v>
      </c>
      <c r="D319">
        <v>180</v>
      </c>
      <c r="E319">
        <v>80</v>
      </c>
      <c r="F319">
        <v>1</v>
      </c>
      <c r="G319">
        <v>33.380000000000003</v>
      </c>
      <c r="H319" s="9">
        <v>0</v>
      </c>
      <c r="I319" s="9">
        <v>33.380000000000003</v>
      </c>
    </row>
    <row r="320" spans="1:9" x14ac:dyDescent="0.3">
      <c r="A320">
        <v>319</v>
      </c>
      <c r="B320" t="s">
        <v>283</v>
      </c>
      <c r="C320">
        <v>5</v>
      </c>
      <c r="D320">
        <v>198</v>
      </c>
      <c r="E320">
        <v>97</v>
      </c>
      <c r="F320">
        <v>1</v>
      </c>
      <c r="G320">
        <v>158.26</v>
      </c>
      <c r="H320" s="9">
        <v>0</v>
      </c>
      <c r="I320" s="9">
        <v>158.26</v>
      </c>
    </row>
    <row r="321" spans="1:9" x14ac:dyDescent="0.3">
      <c r="A321">
        <v>320</v>
      </c>
      <c r="B321" t="s">
        <v>284</v>
      </c>
      <c r="C321">
        <v>3</v>
      </c>
      <c r="D321">
        <v>6</v>
      </c>
      <c r="E321">
        <v>48</v>
      </c>
      <c r="F321">
        <v>1</v>
      </c>
      <c r="G321">
        <v>146.85</v>
      </c>
      <c r="H321" s="9">
        <v>0</v>
      </c>
      <c r="I321" s="9">
        <v>146.85</v>
      </c>
    </row>
    <row r="322" spans="1:9" x14ac:dyDescent="0.3">
      <c r="A322">
        <v>321</v>
      </c>
      <c r="B322" t="s">
        <v>285</v>
      </c>
      <c r="C322">
        <v>8</v>
      </c>
      <c r="D322">
        <v>217</v>
      </c>
      <c r="E322">
        <v>69</v>
      </c>
      <c r="F322">
        <v>1</v>
      </c>
      <c r="G322">
        <v>22.86</v>
      </c>
      <c r="H322" s="9">
        <v>0</v>
      </c>
      <c r="I322" s="9">
        <v>22.86</v>
      </c>
    </row>
    <row r="323" spans="1:9" x14ac:dyDescent="0.3">
      <c r="A323">
        <v>322</v>
      </c>
      <c r="B323" t="s">
        <v>286</v>
      </c>
      <c r="C323">
        <v>7</v>
      </c>
      <c r="D323">
        <v>8</v>
      </c>
      <c r="E323">
        <v>73</v>
      </c>
      <c r="F323">
        <v>1</v>
      </c>
      <c r="G323">
        <v>8.39</v>
      </c>
      <c r="H323" s="9">
        <v>0</v>
      </c>
      <c r="I323" s="9">
        <v>8.39</v>
      </c>
    </row>
    <row r="324" spans="1:9" x14ac:dyDescent="0.3">
      <c r="A324">
        <v>323</v>
      </c>
      <c r="B324" t="s">
        <v>141</v>
      </c>
      <c r="C324">
        <v>4</v>
      </c>
      <c r="D324">
        <v>84</v>
      </c>
      <c r="E324">
        <v>16</v>
      </c>
      <c r="F324">
        <v>1</v>
      </c>
      <c r="G324">
        <v>62.77</v>
      </c>
      <c r="H324" s="9">
        <v>0.05</v>
      </c>
      <c r="I324" s="9">
        <v>59.63</v>
      </c>
    </row>
    <row r="325" spans="1:9" x14ac:dyDescent="0.3">
      <c r="A325">
        <v>324</v>
      </c>
      <c r="B325" t="s">
        <v>287</v>
      </c>
      <c r="C325">
        <v>6</v>
      </c>
      <c r="D325">
        <v>59</v>
      </c>
      <c r="E325">
        <v>66</v>
      </c>
      <c r="F325">
        <v>1</v>
      </c>
      <c r="G325">
        <v>169.57</v>
      </c>
      <c r="H325" s="9">
        <v>0</v>
      </c>
      <c r="I325" s="9">
        <v>169.57</v>
      </c>
    </row>
    <row r="326" spans="1:9" x14ac:dyDescent="0.3">
      <c r="A326">
        <v>325</v>
      </c>
      <c r="B326" t="s">
        <v>288</v>
      </c>
      <c r="C326">
        <v>7</v>
      </c>
      <c r="D326">
        <v>28</v>
      </c>
      <c r="E326">
        <v>44</v>
      </c>
      <c r="F326">
        <v>1</v>
      </c>
      <c r="G326">
        <v>235.19</v>
      </c>
      <c r="H326" s="9">
        <v>0</v>
      </c>
      <c r="I326" s="9">
        <v>235.19</v>
      </c>
    </row>
    <row r="327" spans="1:9" x14ac:dyDescent="0.3">
      <c r="A327">
        <v>326</v>
      </c>
      <c r="B327" t="s">
        <v>289</v>
      </c>
      <c r="C327">
        <v>7</v>
      </c>
      <c r="D327">
        <v>155</v>
      </c>
      <c r="E327">
        <v>91</v>
      </c>
      <c r="F327">
        <v>2</v>
      </c>
      <c r="G327">
        <v>33.700000000000003</v>
      </c>
      <c r="H327" s="9">
        <v>0</v>
      </c>
      <c r="I327" s="9">
        <v>67.400000000000006</v>
      </c>
    </row>
    <row r="328" spans="1:9" x14ac:dyDescent="0.3">
      <c r="A328">
        <v>327</v>
      </c>
      <c r="B328" t="s">
        <v>61</v>
      </c>
      <c r="C328">
        <v>6</v>
      </c>
      <c r="D328">
        <v>2</v>
      </c>
      <c r="E328">
        <v>42</v>
      </c>
      <c r="F328">
        <v>2</v>
      </c>
      <c r="G328">
        <v>127.97</v>
      </c>
      <c r="H328" s="9">
        <v>0.05</v>
      </c>
      <c r="I328" s="9">
        <v>243.14</v>
      </c>
    </row>
    <row r="329" spans="1:9" x14ac:dyDescent="0.3">
      <c r="A329">
        <v>328</v>
      </c>
      <c r="B329" t="s">
        <v>290</v>
      </c>
      <c r="C329">
        <v>7</v>
      </c>
      <c r="D329">
        <v>131</v>
      </c>
      <c r="E329">
        <v>35</v>
      </c>
      <c r="F329">
        <v>1</v>
      </c>
      <c r="G329">
        <v>303.48</v>
      </c>
      <c r="H329" s="9">
        <v>0</v>
      </c>
      <c r="I329" s="9">
        <v>303.48</v>
      </c>
    </row>
    <row r="330" spans="1:9" x14ac:dyDescent="0.3">
      <c r="A330">
        <v>329</v>
      </c>
      <c r="B330" t="s">
        <v>195</v>
      </c>
      <c r="C330">
        <v>6</v>
      </c>
      <c r="D330">
        <v>16</v>
      </c>
      <c r="E330">
        <v>92</v>
      </c>
      <c r="F330">
        <v>2</v>
      </c>
      <c r="G330">
        <v>223.32</v>
      </c>
      <c r="H330" s="9">
        <v>0.05</v>
      </c>
      <c r="I330" s="9">
        <v>424.31</v>
      </c>
    </row>
    <row r="331" spans="1:9" x14ac:dyDescent="0.3">
      <c r="A331">
        <v>330</v>
      </c>
      <c r="B331" t="s">
        <v>182</v>
      </c>
      <c r="C331">
        <v>1</v>
      </c>
      <c r="D331">
        <v>197</v>
      </c>
      <c r="E331">
        <v>65</v>
      </c>
      <c r="F331">
        <v>1</v>
      </c>
      <c r="G331">
        <v>71.14</v>
      </c>
      <c r="H331" s="9">
        <v>0</v>
      </c>
      <c r="I331" s="9">
        <v>71.14</v>
      </c>
    </row>
    <row r="332" spans="1:9" x14ac:dyDescent="0.3">
      <c r="A332">
        <v>331</v>
      </c>
      <c r="B332" t="s">
        <v>291</v>
      </c>
      <c r="C332">
        <v>2</v>
      </c>
      <c r="D332">
        <v>184</v>
      </c>
      <c r="E332">
        <v>86</v>
      </c>
      <c r="F332">
        <v>1</v>
      </c>
      <c r="G332">
        <v>99.19</v>
      </c>
      <c r="H332" s="9">
        <v>0</v>
      </c>
      <c r="I332" s="9">
        <v>99.19</v>
      </c>
    </row>
    <row r="333" spans="1:9" x14ac:dyDescent="0.3">
      <c r="A333">
        <v>332</v>
      </c>
      <c r="B333" t="s">
        <v>292</v>
      </c>
      <c r="C333">
        <v>3</v>
      </c>
      <c r="D333">
        <v>146</v>
      </c>
      <c r="E333">
        <v>21</v>
      </c>
      <c r="F333">
        <v>1</v>
      </c>
      <c r="G333">
        <v>187.71</v>
      </c>
      <c r="H333" s="9">
        <v>0</v>
      </c>
      <c r="I333" s="9">
        <v>187.71</v>
      </c>
    </row>
    <row r="334" spans="1:9" x14ac:dyDescent="0.3">
      <c r="A334">
        <v>333</v>
      </c>
      <c r="B334" t="s">
        <v>207</v>
      </c>
      <c r="C334">
        <v>1</v>
      </c>
      <c r="D334">
        <v>140</v>
      </c>
      <c r="E334">
        <v>21</v>
      </c>
      <c r="F334">
        <v>1</v>
      </c>
      <c r="G334">
        <v>187.71</v>
      </c>
      <c r="H334" s="9">
        <v>0</v>
      </c>
      <c r="I334" s="9">
        <v>187.71</v>
      </c>
    </row>
    <row r="335" spans="1:9" x14ac:dyDescent="0.3">
      <c r="A335">
        <v>334</v>
      </c>
      <c r="B335" t="s">
        <v>242</v>
      </c>
      <c r="C335">
        <v>8</v>
      </c>
      <c r="D335">
        <v>105</v>
      </c>
      <c r="E335">
        <v>83</v>
      </c>
      <c r="F335">
        <v>1</v>
      </c>
      <c r="G335">
        <v>109.16</v>
      </c>
      <c r="H335" s="9">
        <v>0.05</v>
      </c>
      <c r="I335" s="9">
        <v>103.7</v>
      </c>
    </row>
    <row r="336" spans="1:9" x14ac:dyDescent="0.3">
      <c r="A336">
        <v>335</v>
      </c>
      <c r="B336" t="s">
        <v>293</v>
      </c>
      <c r="C336">
        <v>8</v>
      </c>
      <c r="D336">
        <v>119</v>
      </c>
      <c r="E336">
        <v>62</v>
      </c>
      <c r="F336">
        <v>5</v>
      </c>
      <c r="G336">
        <v>82.81</v>
      </c>
      <c r="H336" s="9">
        <v>0</v>
      </c>
      <c r="I336" s="9">
        <v>414.05</v>
      </c>
    </row>
    <row r="337" spans="1:9" x14ac:dyDescent="0.3">
      <c r="A337">
        <v>336</v>
      </c>
      <c r="B337" t="s">
        <v>155</v>
      </c>
      <c r="C337">
        <v>1</v>
      </c>
      <c r="D337">
        <v>148</v>
      </c>
      <c r="E337">
        <v>29</v>
      </c>
      <c r="F337">
        <v>1</v>
      </c>
      <c r="G337">
        <v>138.6</v>
      </c>
      <c r="H337" s="9">
        <v>0</v>
      </c>
      <c r="I337" s="9">
        <v>138.6</v>
      </c>
    </row>
    <row r="338" spans="1:9" x14ac:dyDescent="0.3">
      <c r="A338">
        <v>337</v>
      </c>
      <c r="B338" t="s">
        <v>294</v>
      </c>
      <c r="C338">
        <v>1</v>
      </c>
      <c r="D338">
        <v>178</v>
      </c>
      <c r="E338">
        <v>74</v>
      </c>
      <c r="F338">
        <v>1</v>
      </c>
      <c r="G338">
        <v>205.01</v>
      </c>
      <c r="H338" s="9">
        <v>0</v>
      </c>
      <c r="I338" s="9">
        <v>205.01</v>
      </c>
    </row>
    <row r="339" spans="1:9" x14ac:dyDescent="0.3">
      <c r="A339">
        <v>338</v>
      </c>
      <c r="B339" t="s">
        <v>229</v>
      </c>
      <c r="C339">
        <v>4</v>
      </c>
      <c r="D339">
        <v>56</v>
      </c>
      <c r="E339">
        <v>89</v>
      </c>
      <c r="F339">
        <v>2</v>
      </c>
      <c r="G339">
        <v>247.43</v>
      </c>
      <c r="H339" s="9">
        <v>0.15</v>
      </c>
      <c r="I339" s="9">
        <v>420.63</v>
      </c>
    </row>
    <row r="340" spans="1:9" x14ac:dyDescent="0.3">
      <c r="A340">
        <v>339</v>
      </c>
      <c r="B340" t="s">
        <v>295</v>
      </c>
      <c r="C340">
        <v>7</v>
      </c>
      <c r="D340">
        <v>79</v>
      </c>
      <c r="E340">
        <v>52</v>
      </c>
      <c r="F340">
        <v>1</v>
      </c>
      <c r="G340">
        <v>196.75</v>
      </c>
      <c r="H340" s="9">
        <v>0.05</v>
      </c>
      <c r="I340" s="9">
        <v>186.91</v>
      </c>
    </row>
    <row r="341" spans="1:9" x14ac:dyDescent="0.3">
      <c r="A341">
        <v>340</v>
      </c>
      <c r="B341" t="s">
        <v>201</v>
      </c>
      <c r="C341">
        <v>5</v>
      </c>
      <c r="D341">
        <v>146</v>
      </c>
      <c r="E341">
        <v>46</v>
      </c>
      <c r="F341">
        <v>1</v>
      </c>
      <c r="G341">
        <v>157</v>
      </c>
      <c r="H341" s="9">
        <v>0</v>
      </c>
      <c r="I341" s="9">
        <v>157</v>
      </c>
    </row>
    <row r="342" spans="1:9" x14ac:dyDescent="0.3">
      <c r="A342">
        <v>341</v>
      </c>
      <c r="B342" t="s">
        <v>296</v>
      </c>
      <c r="C342">
        <v>5</v>
      </c>
      <c r="D342">
        <v>62</v>
      </c>
      <c r="E342">
        <v>31</v>
      </c>
      <c r="F342">
        <v>1</v>
      </c>
      <c r="G342">
        <v>165.45</v>
      </c>
      <c r="H342" s="9">
        <v>0</v>
      </c>
      <c r="I342" s="9">
        <v>165.45</v>
      </c>
    </row>
    <row r="343" spans="1:9" x14ac:dyDescent="0.3">
      <c r="A343">
        <v>342</v>
      </c>
      <c r="B343" t="s">
        <v>297</v>
      </c>
      <c r="C343">
        <v>1</v>
      </c>
      <c r="D343">
        <v>153</v>
      </c>
      <c r="E343">
        <v>30</v>
      </c>
      <c r="F343">
        <v>1</v>
      </c>
      <c r="G343">
        <v>19.399999999999999</v>
      </c>
      <c r="H343" s="9">
        <v>0</v>
      </c>
      <c r="I343" s="9">
        <v>19.399999999999999</v>
      </c>
    </row>
    <row r="344" spans="1:9" x14ac:dyDescent="0.3">
      <c r="A344">
        <v>343</v>
      </c>
      <c r="B344" t="s">
        <v>298</v>
      </c>
      <c r="C344">
        <v>7</v>
      </c>
      <c r="D344">
        <v>89</v>
      </c>
      <c r="E344">
        <v>77</v>
      </c>
      <c r="F344">
        <v>1</v>
      </c>
      <c r="G344">
        <v>226.88</v>
      </c>
      <c r="H344" s="9">
        <v>0.05</v>
      </c>
      <c r="I344" s="9">
        <v>215.54</v>
      </c>
    </row>
    <row r="345" spans="1:9" x14ac:dyDescent="0.3">
      <c r="A345">
        <v>344</v>
      </c>
      <c r="B345" t="s">
        <v>299</v>
      </c>
      <c r="C345">
        <v>2</v>
      </c>
      <c r="D345">
        <v>111</v>
      </c>
      <c r="E345">
        <v>79</v>
      </c>
      <c r="F345">
        <v>1</v>
      </c>
      <c r="G345">
        <v>117.59</v>
      </c>
      <c r="H345" s="9">
        <v>0</v>
      </c>
      <c r="I345" s="9">
        <v>117.59</v>
      </c>
    </row>
    <row r="346" spans="1:9" x14ac:dyDescent="0.3">
      <c r="A346">
        <v>345</v>
      </c>
      <c r="B346" t="s">
        <v>201</v>
      </c>
      <c r="C346">
        <v>8</v>
      </c>
      <c r="D346">
        <v>191</v>
      </c>
      <c r="E346">
        <v>75</v>
      </c>
      <c r="F346">
        <v>1</v>
      </c>
      <c r="G346">
        <v>205.69</v>
      </c>
      <c r="H346" s="9">
        <v>0</v>
      </c>
      <c r="I346" s="9">
        <v>205.69</v>
      </c>
    </row>
    <row r="347" spans="1:9" x14ac:dyDescent="0.3">
      <c r="A347">
        <v>346</v>
      </c>
      <c r="B347" t="s">
        <v>300</v>
      </c>
      <c r="C347">
        <v>4</v>
      </c>
      <c r="D347">
        <v>82</v>
      </c>
      <c r="E347">
        <v>48</v>
      </c>
      <c r="F347">
        <v>2</v>
      </c>
      <c r="G347">
        <v>146.85</v>
      </c>
      <c r="H347" s="9">
        <v>0</v>
      </c>
      <c r="I347" s="9">
        <v>293.7</v>
      </c>
    </row>
    <row r="348" spans="1:9" x14ac:dyDescent="0.3">
      <c r="A348">
        <v>347</v>
      </c>
      <c r="B348" t="s">
        <v>301</v>
      </c>
      <c r="C348">
        <v>5</v>
      </c>
      <c r="D348">
        <v>169</v>
      </c>
      <c r="E348">
        <v>87</v>
      </c>
      <c r="F348">
        <v>1</v>
      </c>
      <c r="G348">
        <v>223.85</v>
      </c>
      <c r="H348" s="9">
        <v>0.15</v>
      </c>
      <c r="I348" s="9">
        <v>190.27</v>
      </c>
    </row>
    <row r="349" spans="1:9" x14ac:dyDescent="0.3">
      <c r="A349">
        <v>348</v>
      </c>
      <c r="B349" t="s">
        <v>218</v>
      </c>
      <c r="C349">
        <v>1</v>
      </c>
      <c r="D349">
        <v>25</v>
      </c>
      <c r="E349">
        <v>3</v>
      </c>
      <c r="F349">
        <v>1</v>
      </c>
      <c r="G349">
        <v>190.58</v>
      </c>
      <c r="H349" s="9">
        <v>0</v>
      </c>
      <c r="I349" s="9">
        <v>190.58</v>
      </c>
    </row>
    <row r="350" spans="1:9" x14ac:dyDescent="0.3">
      <c r="A350">
        <v>349</v>
      </c>
      <c r="B350" t="s">
        <v>302</v>
      </c>
      <c r="C350">
        <v>4</v>
      </c>
      <c r="D350">
        <v>178</v>
      </c>
      <c r="E350">
        <v>21</v>
      </c>
      <c r="F350">
        <v>1</v>
      </c>
      <c r="G350">
        <v>187.71</v>
      </c>
      <c r="H350" s="9">
        <v>0</v>
      </c>
      <c r="I350" s="9">
        <v>187.71</v>
      </c>
    </row>
    <row r="351" spans="1:9" x14ac:dyDescent="0.3">
      <c r="A351">
        <v>350</v>
      </c>
      <c r="B351" t="s">
        <v>303</v>
      </c>
      <c r="C351">
        <v>3</v>
      </c>
      <c r="D351">
        <v>191</v>
      </c>
      <c r="E351">
        <v>85</v>
      </c>
      <c r="F351">
        <v>1</v>
      </c>
      <c r="G351">
        <v>83.36</v>
      </c>
      <c r="H351" s="9">
        <v>0.1</v>
      </c>
      <c r="I351" s="9">
        <v>75.02</v>
      </c>
    </row>
    <row r="352" spans="1:9" x14ac:dyDescent="0.3">
      <c r="A352">
        <v>351</v>
      </c>
      <c r="B352" t="s">
        <v>304</v>
      </c>
      <c r="C352">
        <v>6</v>
      </c>
      <c r="D352">
        <v>59</v>
      </c>
      <c r="E352">
        <v>33</v>
      </c>
      <c r="F352">
        <v>1</v>
      </c>
      <c r="G352">
        <v>21.23</v>
      </c>
      <c r="H352" s="9">
        <v>0.05</v>
      </c>
      <c r="I352" s="9">
        <v>20.170000000000002</v>
      </c>
    </row>
    <row r="353" spans="1:9" x14ac:dyDescent="0.3">
      <c r="A353">
        <v>352</v>
      </c>
      <c r="B353" t="s">
        <v>305</v>
      </c>
      <c r="C353">
        <v>1</v>
      </c>
      <c r="D353">
        <v>165</v>
      </c>
      <c r="E353">
        <v>50</v>
      </c>
      <c r="F353">
        <v>1</v>
      </c>
      <c r="G353">
        <v>52.54</v>
      </c>
      <c r="H353" s="9">
        <v>0</v>
      </c>
      <c r="I353" s="9">
        <v>52.54</v>
      </c>
    </row>
    <row r="354" spans="1:9" x14ac:dyDescent="0.3">
      <c r="A354">
        <v>353</v>
      </c>
      <c r="B354" t="s">
        <v>306</v>
      </c>
      <c r="C354">
        <v>8</v>
      </c>
      <c r="D354">
        <v>137</v>
      </c>
      <c r="E354">
        <v>39</v>
      </c>
      <c r="F354">
        <v>1</v>
      </c>
      <c r="G354">
        <v>181.34</v>
      </c>
      <c r="H354" s="9">
        <v>0</v>
      </c>
      <c r="I354" s="9">
        <v>181.34</v>
      </c>
    </row>
    <row r="355" spans="1:9" x14ac:dyDescent="0.3">
      <c r="A355">
        <v>354</v>
      </c>
      <c r="B355" t="s">
        <v>273</v>
      </c>
      <c r="C355">
        <v>7</v>
      </c>
      <c r="D355">
        <v>117</v>
      </c>
      <c r="E355">
        <v>51</v>
      </c>
      <c r="F355">
        <v>1</v>
      </c>
      <c r="G355">
        <v>302.75</v>
      </c>
      <c r="H355" s="9">
        <v>0</v>
      </c>
      <c r="I355" s="9">
        <v>302.75</v>
      </c>
    </row>
    <row r="356" spans="1:9" x14ac:dyDescent="0.3">
      <c r="A356">
        <v>355</v>
      </c>
      <c r="B356" t="s">
        <v>307</v>
      </c>
      <c r="C356">
        <v>5</v>
      </c>
      <c r="D356">
        <v>131</v>
      </c>
      <c r="E356">
        <v>25</v>
      </c>
      <c r="F356">
        <v>1</v>
      </c>
      <c r="G356">
        <v>117.41</v>
      </c>
      <c r="H356" s="9">
        <v>0.1</v>
      </c>
      <c r="I356" s="9">
        <v>105.67</v>
      </c>
    </row>
    <row r="357" spans="1:9" x14ac:dyDescent="0.3">
      <c r="A357">
        <v>356</v>
      </c>
      <c r="B357" t="s">
        <v>300</v>
      </c>
      <c r="C357">
        <v>6</v>
      </c>
      <c r="D357">
        <v>57</v>
      </c>
      <c r="E357">
        <v>6</v>
      </c>
      <c r="F357">
        <v>1</v>
      </c>
      <c r="G357">
        <v>44.63</v>
      </c>
      <c r="H357" s="9">
        <v>0.1</v>
      </c>
      <c r="I357" s="9">
        <v>40.17</v>
      </c>
    </row>
    <row r="358" spans="1:9" x14ac:dyDescent="0.3">
      <c r="A358">
        <v>357</v>
      </c>
      <c r="B358" t="s">
        <v>305</v>
      </c>
      <c r="C358">
        <v>6</v>
      </c>
      <c r="D358">
        <v>161</v>
      </c>
      <c r="E358">
        <v>35</v>
      </c>
      <c r="F358">
        <v>2</v>
      </c>
      <c r="G358">
        <v>303.48</v>
      </c>
      <c r="H358" s="9">
        <v>0.05</v>
      </c>
      <c r="I358" s="9">
        <v>576.61</v>
      </c>
    </row>
    <row r="359" spans="1:9" x14ac:dyDescent="0.3">
      <c r="A359">
        <v>358</v>
      </c>
      <c r="B359" t="s">
        <v>84</v>
      </c>
      <c r="C359">
        <v>2</v>
      </c>
      <c r="D359">
        <v>192</v>
      </c>
      <c r="E359">
        <v>58</v>
      </c>
      <c r="F359">
        <v>2</v>
      </c>
      <c r="G359">
        <v>64.400000000000006</v>
      </c>
      <c r="H359" s="9">
        <v>0</v>
      </c>
      <c r="I359" s="9">
        <v>128.80000000000001</v>
      </c>
    </row>
    <row r="360" spans="1:9" x14ac:dyDescent="0.3">
      <c r="A360">
        <v>359</v>
      </c>
      <c r="B360" t="s">
        <v>52</v>
      </c>
      <c r="C360">
        <v>3</v>
      </c>
      <c r="D360">
        <v>66</v>
      </c>
      <c r="E360">
        <v>17</v>
      </c>
      <c r="F360">
        <v>1</v>
      </c>
      <c r="G360">
        <v>97.14</v>
      </c>
      <c r="H360" s="9">
        <v>0</v>
      </c>
      <c r="I360" s="9">
        <v>97.14</v>
      </c>
    </row>
    <row r="361" spans="1:9" x14ac:dyDescent="0.3">
      <c r="A361">
        <v>360</v>
      </c>
      <c r="B361" t="s">
        <v>308</v>
      </c>
      <c r="C361">
        <v>6</v>
      </c>
      <c r="D361">
        <v>67</v>
      </c>
      <c r="E361">
        <v>68</v>
      </c>
      <c r="F361">
        <v>3</v>
      </c>
      <c r="G361">
        <v>198.56</v>
      </c>
      <c r="H361" s="9">
        <v>0</v>
      </c>
      <c r="I361" s="9">
        <v>595.67999999999995</v>
      </c>
    </row>
    <row r="362" spans="1:9" x14ac:dyDescent="0.3">
      <c r="A362">
        <v>361</v>
      </c>
      <c r="B362" t="s">
        <v>112</v>
      </c>
      <c r="C362">
        <v>3</v>
      </c>
      <c r="D362">
        <v>172</v>
      </c>
      <c r="E362">
        <v>39</v>
      </c>
      <c r="F362">
        <v>1</v>
      </c>
      <c r="G362">
        <v>181.34</v>
      </c>
      <c r="H362" s="9">
        <v>0.05</v>
      </c>
      <c r="I362" s="9">
        <v>172.27</v>
      </c>
    </row>
    <row r="363" spans="1:9" x14ac:dyDescent="0.3">
      <c r="A363">
        <v>362</v>
      </c>
      <c r="B363" t="s">
        <v>309</v>
      </c>
      <c r="C363">
        <v>8</v>
      </c>
      <c r="D363">
        <v>163</v>
      </c>
      <c r="E363">
        <v>57</v>
      </c>
      <c r="F363">
        <v>1</v>
      </c>
      <c r="G363">
        <v>32.28</v>
      </c>
      <c r="H363" s="9">
        <v>0</v>
      </c>
      <c r="I363" s="9">
        <v>32.28</v>
      </c>
    </row>
    <row r="364" spans="1:9" x14ac:dyDescent="0.3">
      <c r="A364">
        <v>363</v>
      </c>
      <c r="B364" t="s">
        <v>310</v>
      </c>
      <c r="C364">
        <v>3</v>
      </c>
      <c r="D364">
        <v>112</v>
      </c>
      <c r="E364">
        <v>16</v>
      </c>
      <c r="F364">
        <v>1</v>
      </c>
      <c r="G364">
        <v>62.77</v>
      </c>
      <c r="H364" s="9">
        <v>0</v>
      </c>
      <c r="I364" s="9">
        <v>62.77</v>
      </c>
    </row>
    <row r="365" spans="1:9" x14ac:dyDescent="0.3">
      <c r="A365">
        <v>364</v>
      </c>
      <c r="B365" t="s">
        <v>123</v>
      </c>
      <c r="C365">
        <v>8</v>
      </c>
      <c r="D365">
        <v>134</v>
      </c>
      <c r="E365">
        <v>19</v>
      </c>
      <c r="F365">
        <v>1</v>
      </c>
      <c r="G365">
        <v>138.31</v>
      </c>
      <c r="H365" s="9">
        <v>0.1</v>
      </c>
      <c r="I365" s="9">
        <v>124.48</v>
      </c>
    </row>
    <row r="366" spans="1:9" x14ac:dyDescent="0.3">
      <c r="A366">
        <v>365</v>
      </c>
      <c r="B366" t="s">
        <v>60</v>
      </c>
      <c r="C366">
        <v>5</v>
      </c>
      <c r="D366">
        <v>6</v>
      </c>
      <c r="E366">
        <v>95</v>
      </c>
      <c r="F366">
        <v>2</v>
      </c>
      <c r="G366">
        <v>201.94</v>
      </c>
      <c r="H366" s="9">
        <v>0.15</v>
      </c>
      <c r="I366" s="9">
        <v>343.3</v>
      </c>
    </row>
    <row r="367" spans="1:9" x14ac:dyDescent="0.3">
      <c r="A367">
        <v>366</v>
      </c>
      <c r="B367" t="s">
        <v>311</v>
      </c>
      <c r="C367">
        <v>1</v>
      </c>
      <c r="D367">
        <v>99</v>
      </c>
      <c r="E367">
        <v>67</v>
      </c>
      <c r="F367">
        <v>2</v>
      </c>
      <c r="G367">
        <v>41.9</v>
      </c>
      <c r="H367" s="9">
        <v>0.05</v>
      </c>
      <c r="I367" s="9">
        <v>79.61</v>
      </c>
    </row>
    <row r="368" spans="1:9" x14ac:dyDescent="0.3">
      <c r="A368">
        <v>367</v>
      </c>
      <c r="B368" t="s">
        <v>312</v>
      </c>
      <c r="C368">
        <v>1</v>
      </c>
      <c r="D368">
        <v>68</v>
      </c>
      <c r="E368">
        <v>26</v>
      </c>
      <c r="F368">
        <v>1</v>
      </c>
      <c r="G368">
        <v>211.87</v>
      </c>
      <c r="H368" s="9">
        <v>0.1</v>
      </c>
      <c r="I368" s="9">
        <v>190.68</v>
      </c>
    </row>
    <row r="369" spans="1:9" x14ac:dyDescent="0.3">
      <c r="A369">
        <v>368</v>
      </c>
      <c r="B369" t="s">
        <v>313</v>
      </c>
      <c r="C369">
        <v>5</v>
      </c>
      <c r="D369">
        <v>206</v>
      </c>
      <c r="E369">
        <v>59</v>
      </c>
      <c r="F369">
        <v>1</v>
      </c>
      <c r="G369">
        <v>17.41</v>
      </c>
      <c r="H369" s="9">
        <v>0.05</v>
      </c>
      <c r="I369" s="9">
        <v>16.54</v>
      </c>
    </row>
    <row r="370" spans="1:9" x14ac:dyDescent="0.3">
      <c r="A370">
        <v>369</v>
      </c>
      <c r="B370" t="s">
        <v>314</v>
      </c>
      <c r="C370">
        <v>8</v>
      </c>
      <c r="D370">
        <v>11</v>
      </c>
      <c r="E370">
        <v>40</v>
      </c>
      <c r="F370">
        <v>1</v>
      </c>
      <c r="G370">
        <v>144.41999999999999</v>
      </c>
      <c r="H370" s="9">
        <v>0.05</v>
      </c>
      <c r="I370" s="9">
        <v>137.19999999999999</v>
      </c>
    </row>
    <row r="371" spans="1:9" x14ac:dyDescent="0.3">
      <c r="A371">
        <v>370</v>
      </c>
      <c r="B371" t="s">
        <v>315</v>
      </c>
      <c r="C371">
        <v>1</v>
      </c>
      <c r="D371">
        <v>189</v>
      </c>
      <c r="E371">
        <v>66</v>
      </c>
      <c r="F371">
        <v>1</v>
      </c>
      <c r="G371">
        <v>169.57</v>
      </c>
      <c r="H371" s="9">
        <v>0</v>
      </c>
      <c r="I371" s="9">
        <v>169.57</v>
      </c>
    </row>
    <row r="372" spans="1:9" x14ac:dyDescent="0.3">
      <c r="A372">
        <v>371</v>
      </c>
      <c r="B372" t="s">
        <v>316</v>
      </c>
      <c r="C372">
        <v>5</v>
      </c>
      <c r="D372">
        <v>112</v>
      </c>
      <c r="E372">
        <v>11</v>
      </c>
      <c r="F372">
        <v>1</v>
      </c>
      <c r="G372">
        <v>11.53</v>
      </c>
      <c r="H372" s="9">
        <v>0.05</v>
      </c>
      <c r="I372" s="9">
        <v>10.95</v>
      </c>
    </row>
    <row r="373" spans="1:9" x14ac:dyDescent="0.3">
      <c r="A373">
        <v>372</v>
      </c>
      <c r="B373" t="s">
        <v>317</v>
      </c>
      <c r="C373">
        <v>1</v>
      </c>
      <c r="D373">
        <v>135</v>
      </c>
      <c r="E373">
        <v>14</v>
      </c>
      <c r="F373">
        <v>2</v>
      </c>
      <c r="G373">
        <v>70.08</v>
      </c>
      <c r="H373" s="9">
        <v>0</v>
      </c>
      <c r="I373" s="9">
        <v>140.16</v>
      </c>
    </row>
    <row r="374" spans="1:9" x14ac:dyDescent="0.3">
      <c r="A374">
        <v>373</v>
      </c>
      <c r="B374" t="s">
        <v>318</v>
      </c>
      <c r="C374">
        <v>5</v>
      </c>
      <c r="D374">
        <v>188</v>
      </c>
      <c r="E374">
        <v>45</v>
      </c>
      <c r="F374">
        <v>1</v>
      </c>
      <c r="G374">
        <v>70.989999999999995</v>
      </c>
      <c r="H374" s="9">
        <v>0.15</v>
      </c>
      <c r="I374" s="9">
        <v>60.34</v>
      </c>
    </row>
    <row r="375" spans="1:9" x14ac:dyDescent="0.3">
      <c r="A375">
        <v>374</v>
      </c>
      <c r="B375" t="s">
        <v>319</v>
      </c>
      <c r="C375">
        <v>6</v>
      </c>
      <c r="D375">
        <v>13</v>
      </c>
      <c r="E375">
        <v>5</v>
      </c>
      <c r="F375">
        <v>2</v>
      </c>
      <c r="G375">
        <v>55.26</v>
      </c>
      <c r="H375" s="9">
        <v>0</v>
      </c>
      <c r="I375" s="9">
        <v>110.52</v>
      </c>
    </row>
    <row r="376" spans="1:9" x14ac:dyDescent="0.3">
      <c r="A376">
        <v>375</v>
      </c>
      <c r="B376" t="s">
        <v>222</v>
      </c>
      <c r="C376">
        <v>7</v>
      </c>
      <c r="D376">
        <v>3</v>
      </c>
      <c r="E376">
        <v>71</v>
      </c>
      <c r="F376">
        <v>1</v>
      </c>
      <c r="G376">
        <v>225.61</v>
      </c>
      <c r="H376" s="9">
        <v>0</v>
      </c>
      <c r="I376" s="9">
        <v>225.61</v>
      </c>
    </row>
    <row r="377" spans="1:9" x14ac:dyDescent="0.3">
      <c r="A377">
        <v>376</v>
      </c>
      <c r="B377" t="s">
        <v>235</v>
      </c>
      <c r="C377">
        <v>7</v>
      </c>
      <c r="D377">
        <v>188</v>
      </c>
      <c r="E377">
        <v>68</v>
      </c>
      <c r="F377">
        <v>1</v>
      </c>
      <c r="G377">
        <v>198.56</v>
      </c>
      <c r="H377" s="9">
        <v>0</v>
      </c>
      <c r="I377" s="9">
        <v>198.56</v>
      </c>
    </row>
    <row r="378" spans="1:9" x14ac:dyDescent="0.3">
      <c r="A378">
        <v>377</v>
      </c>
      <c r="B378" t="s">
        <v>320</v>
      </c>
      <c r="C378">
        <v>3</v>
      </c>
      <c r="D378">
        <v>218</v>
      </c>
      <c r="E378">
        <v>21</v>
      </c>
      <c r="F378">
        <v>1</v>
      </c>
      <c r="G378">
        <v>187.71</v>
      </c>
      <c r="H378" s="9">
        <v>0.2</v>
      </c>
      <c r="I378" s="9">
        <v>150.16999999999999</v>
      </c>
    </row>
    <row r="379" spans="1:9" x14ac:dyDescent="0.3">
      <c r="A379">
        <v>378</v>
      </c>
      <c r="B379" t="s">
        <v>321</v>
      </c>
      <c r="C379">
        <v>8</v>
      </c>
      <c r="D379">
        <v>63</v>
      </c>
      <c r="E379">
        <v>42</v>
      </c>
      <c r="F379">
        <v>2</v>
      </c>
      <c r="G379">
        <v>127.97</v>
      </c>
      <c r="H379" s="9">
        <v>0</v>
      </c>
      <c r="I379" s="9">
        <v>255.94</v>
      </c>
    </row>
    <row r="380" spans="1:9" x14ac:dyDescent="0.3">
      <c r="A380">
        <v>379</v>
      </c>
      <c r="B380" t="s">
        <v>137</v>
      </c>
      <c r="C380">
        <v>5</v>
      </c>
      <c r="D380">
        <v>133</v>
      </c>
      <c r="E380">
        <v>87</v>
      </c>
      <c r="F380">
        <v>1</v>
      </c>
      <c r="G380">
        <v>223.85</v>
      </c>
      <c r="H380" s="9">
        <v>0.2</v>
      </c>
      <c r="I380" s="9">
        <v>179.08</v>
      </c>
    </row>
    <row r="381" spans="1:9" x14ac:dyDescent="0.3">
      <c r="A381">
        <v>380</v>
      </c>
      <c r="B381" t="s">
        <v>322</v>
      </c>
      <c r="C381">
        <v>7</v>
      </c>
      <c r="D381">
        <v>94</v>
      </c>
      <c r="E381">
        <v>59</v>
      </c>
      <c r="F381">
        <v>1</v>
      </c>
      <c r="G381">
        <v>17.41</v>
      </c>
      <c r="H381" s="9">
        <v>0.1</v>
      </c>
      <c r="I381" s="9">
        <v>15.67</v>
      </c>
    </row>
    <row r="382" spans="1:9" x14ac:dyDescent="0.3">
      <c r="A382">
        <v>381</v>
      </c>
      <c r="B382" t="s">
        <v>83</v>
      </c>
      <c r="C382">
        <v>7</v>
      </c>
      <c r="D382">
        <v>4</v>
      </c>
      <c r="E382">
        <v>99</v>
      </c>
      <c r="F382">
        <v>2</v>
      </c>
      <c r="G382">
        <v>15.44</v>
      </c>
      <c r="H382" s="9">
        <v>0</v>
      </c>
      <c r="I382" s="9">
        <v>30.88</v>
      </c>
    </row>
    <row r="383" spans="1:9" x14ac:dyDescent="0.3">
      <c r="A383">
        <v>382</v>
      </c>
      <c r="B383" t="s">
        <v>323</v>
      </c>
      <c r="C383">
        <v>5</v>
      </c>
      <c r="D383">
        <v>89</v>
      </c>
      <c r="E383">
        <v>37</v>
      </c>
      <c r="F383">
        <v>2</v>
      </c>
      <c r="G383">
        <v>88.87</v>
      </c>
      <c r="H383" s="9">
        <v>0</v>
      </c>
      <c r="I383" s="9">
        <v>177.74</v>
      </c>
    </row>
    <row r="384" spans="1:9" x14ac:dyDescent="0.3">
      <c r="A384">
        <v>383</v>
      </c>
      <c r="B384" t="s">
        <v>324</v>
      </c>
      <c r="C384">
        <v>2</v>
      </c>
      <c r="D384">
        <v>17</v>
      </c>
      <c r="E384">
        <v>5</v>
      </c>
      <c r="F384">
        <v>1</v>
      </c>
      <c r="G384">
        <v>55.26</v>
      </c>
      <c r="H384" s="9">
        <v>0</v>
      </c>
      <c r="I384" s="9">
        <v>55.26</v>
      </c>
    </row>
    <row r="385" spans="1:9" x14ac:dyDescent="0.3">
      <c r="A385">
        <v>384</v>
      </c>
      <c r="B385" t="s">
        <v>325</v>
      </c>
      <c r="C385">
        <v>6</v>
      </c>
      <c r="D385">
        <v>97</v>
      </c>
      <c r="E385">
        <v>34</v>
      </c>
      <c r="F385">
        <v>2</v>
      </c>
      <c r="G385">
        <v>247.04</v>
      </c>
      <c r="H385" s="9">
        <v>0.05</v>
      </c>
      <c r="I385" s="9">
        <v>469.38</v>
      </c>
    </row>
    <row r="386" spans="1:9" x14ac:dyDescent="0.3">
      <c r="A386">
        <v>385</v>
      </c>
      <c r="B386" t="s">
        <v>268</v>
      </c>
      <c r="C386">
        <v>5</v>
      </c>
      <c r="D386">
        <v>68</v>
      </c>
      <c r="E386">
        <v>1</v>
      </c>
      <c r="F386">
        <v>2</v>
      </c>
      <c r="G386">
        <v>90.53</v>
      </c>
      <c r="H386" s="9">
        <v>0.05</v>
      </c>
      <c r="I386" s="9">
        <v>172.01</v>
      </c>
    </row>
    <row r="387" spans="1:9" x14ac:dyDescent="0.3">
      <c r="A387">
        <v>386</v>
      </c>
      <c r="B387" t="s">
        <v>326</v>
      </c>
      <c r="C387">
        <v>7</v>
      </c>
      <c r="D387">
        <v>148</v>
      </c>
      <c r="E387">
        <v>18</v>
      </c>
      <c r="F387">
        <v>1</v>
      </c>
      <c r="G387">
        <v>132.02000000000001</v>
      </c>
      <c r="H387" s="9">
        <v>0.05</v>
      </c>
      <c r="I387" s="9">
        <v>125.42</v>
      </c>
    </row>
    <row r="388" spans="1:9" x14ac:dyDescent="0.3">
      <c r="A388">
        <v>387</v>
      </c>
      <c r="B388" t="s">
        <v>327</v>
      </c>
      <c r="C388">
        <v>8</v>
      </c>
      <c r="D388">
        <v>134</v>
      </c>
      <c r="E388">
        <v>1</v>
      </c>
      <c r="F388">
        <v>1</v>
      </c>
      <c r="G388">
        <v>90.53</v>
      </c>
      <c r="H388" s="9">
        <v>0.1</v>
      </c>
      <c r="I388" s="9">
        <v>81.48</v>
      </c>
    </row>
    <row r="389" spans="1:9" x14ac:dyDescent="0.3">
      <c r="A389">
        <v>388</v>
      </c>
      <c r="B389" t="s">
        <v>328</v>
      </c>
      <c r="C389">
        <v>8</v>
      </c>
      <c r="D389">
        <v>196</v>
      </c>
      <c r="E389">
        <v>22</v>
      </c>
      <c r="F389">
        <v>1</v>
      </c>
      <c r="G389">
        <v>49.91</v>
      </c>
      <c r="H389" s="9">
        <v>0</v>
      </c>
      <c r="I389" s="9">
        <v>49.91</v>
      </c>
    </row>
    <row r="390" spans="1:9" x14ac:dyDescent="0.3">
      <c r="A390">
        <v>389</v>
      </c>
      <c r="B390" t="s">
        <v>215</v>
      </c>
      <c r="C390">
        <v>6</v>
      </c>
      <c r="D390">
        <v>120</v>
      </c>
      <c r="E390">
        <v>46</v>
      </c>
      <c r="F390">
        <v>1</v>
      </c>
      <c r="G390">
        <v>157</v>
      </c>
      <c r="H390" s="9">
        <v>0</v>
      </c>
      <c r="I390" s="9">
        <v>157</v>
      </c>
    </row>
    <row r="391" spans="1:9" x14ac:dyDescent="0.3">
      <c r="A391">
        <v>390</v>
      </c>
      <c r="B391" t="s">
        <v>329</v>
      </c>
      <c r="C391">
        <v>5</v>
      </c>
      <c r="D391">
        <v>184</v>
      </c>
      <c r="E391">
        <v>85</v>
      </c>
      <c r="F391">
        <v>1</v>
      </c>
      <c r="G391">
        <v>83.36</v>
      </c>
      <c r="H391" s="9">
        <v>0.05</v>
      </c>
      <c r="I391" s="9">
        <v>79.19</v>
      </c>
    </row>
    <row r="392" spans="1:9" x14ac:dyDescent="0.3">
      <c r="A392">
        <v>391</v>
      </c>
      <c r="B392" t="s">
        <v>330</v>
      </c>
      <c r="C392">
        <v>2</v>
      </c>
      <c r="D392">
        <v>12</v>
      </c>
      <c r="E392">
        <v>18</v>
      </c>
      <c r="F392">
        <v>1</v>
      </c>
      <c r="G392">
        <v>132.02000000000001</v>
      </c>
      <c r="H392" s="9">
        <v>0.2</v>
      </c>
      <c r="I392" s="9">
        <v>105.62</v>
      </c>
    </row>
    <row r="393" spans="1:9" x14ac:dyDescent="0.3">
      <c r="A393">
        <v>392</v>
      </c>
      <c r="B393" t="s">
        <v>331</v>
      </c>
      <c r="C393">
        <v>6</v>
      </c>
      <c r="D393">
        <v>129</v>
      </c>
      <c r="E393">
        <v>82</v>
      </c>
      <c r="F393">
        <v>1</v>
      </c>
      <c r="G393">
        <v>151.85</v>
      </c>
      <c r="H393" s="9">
        <v>0.05</v>
      </c>
      <c r="I393" s="9">
        <v>144.26</v>
      </c>
    </row>
    <row r="394" spans="1:9" x14ac:dyDescent="0.3">
      <c r="A394">
        <v>393</v>
      </c>
      <c r="B394" t="s">
        <v>332</v>
      </c>
      <c r="C394">
        <v>1</v>
      </c>
      <c r="D394">
        <v>18</v>
      </c>
      <c r="E394">
        <v>63</v>
      </c>
      <c r="F394">
        <v>1</v>
      </c>
      <c r="G394">
        <v>239.9</v>
      </c>
      <c r="H394" s="9">
        <v>0.1</v>
      </c>
      <c r="I394" s="9">
        <v>215.91</v>
      </c>
    </row>
    <row r="395" spans="1:9" x14ac:dyDescent="0.3">
      <c r="A395">
        <v>394</v>
      </c>
      <c r="B395" t="s">
        <v>333</v>
      </c>
      <c r="C395">
        <v>8</v>
      </c>
      <c r="D395">
        <v>135</v>
      </c>
      <c r="E395">
        <v>43</v>
      </c>
      <c r="F395">
        <v>2</v>
      </c>
      <c r="G395">
        <v>16.04</v>
      </c>
      <c r="H395" s="9">
        <v>0.1</v>
      </c>
      <c r="I395" s="9">
        <v>28.87</v>
      </c>
    </row>
    <row r="396" spans="1:9" x14ac:dyDescent="0.3">
      <c r="A396">
        <v>395</v>
      </c>
      <c r="B396" t="s">
        <v>334</v>
      </c>
      <c r="C396">
        <v>3</v>
      </c>
      <c r="D396">
        <v>169</v>
      </c>
      <c r="E396">
        <v>81</v>
      </c>
      <c r="F396">
        <v>1</v>
      </c>
      <c r="G396">
        <v>225.3</v>
      </c>
      <c r="H396" s="9">
        <v>0.05</v>
      </c>
      <c r="I396" s="9">
        <v>214.03</v>
      </c>
    </row>
    <row r="397" spans="1:9" x14ac:dyDescent="0.3">
      <c r="A397">
        <v>396</v>
      </c>
      <c r="B397" t="s">
        <v>335</v>
      </c>
      <c r="C397">
        <v>4</v>
      </c>
      <c r="D397">
        <v>216</v>
      </c>
      <c r="E397">
        <v>8</v>
      </c>
      <c r="F397">
        <v>1</v>
      </c>
      <c r="G397">
        <v>259.11</v>
      </c>
      <c r="H397" s="9">
        <v>0</v>
      </c>
      <c r="I397" s="9">
        <v>259.11</v>
      </c>
    </row>
    <row r="398" spans="1:9" x14ac:dyDescent="0.3">
      <c r="A398">
        <v>397</v>
      </c>
      <c r="B398" t="s">
        <v>336</v>
      </c>
      <c r="C398">
        <v>6</v>
      </c>
      <c r="D398">
        <v>127</v>
      </c>
      <c r="E398">
        <v>4</v>
      </c>
      <c r="F398">
        <v>1</v>
      </c>
      <c r="G398">
        <v>168</v>
      </c>
      <c r="H398" s="9">
        <v>0.1</v>
      </c>
      <c r="I398" s="9">
        <v>151.19999999999999</v>
      </c>
    </row>
    <row r="399" spans="1:9" x14ac:dyDescent="0.3">
      <c r="A399">
        <v>398</v>
      </c>
      <c r="B399" t="s">
        <v>55</v>
      </c>
      <c r="C399">
        <v>1</v>
      </c>
      <c r="D399">
        <v>19</v>
      </c>
      <c r="E399">
        <v>15</v>
      </c>
      <c r="F399">
        <v>1</v>
      </c>
      <c r="G399">
        <v>58.26</v>
      </c>
      <c r="H399" s="9">
        <v>0</v>
      </c>
      <c r="I399" s="9">
        <v>58.26</v>
      </c>
    </row>
    <row r="400" spans="1:9" x14ac:dyDescent="0.3">
      <c r="A400">
        <v>399</v>
      </c>
      <c r="B400" t="s">
        <v>337</v>
      </c>
      <c r="C400">
        <v>8</v>
      </c>
      <c r="D400">
        <v>29</v>
      </c>
      <c r="E400">
        <v>10</v>
      </c>
      <c r="F400">
        <v>1</v>
      </c>
      <c r="G400">
        <v>168.82</v>
      </c>
      <c r="H400" s="9">
        <v>0.1</v>
      </c>
      <c r="I400" s="9">
        <v>151.94</v>
      </c>
    </row>
    <row r="401" spans="1:9" x14ac:dyDescent="0.3">
      <c r="A401">
        <v>400</v>
      </c>
      <c r="B401" t="s">
        <v>130</v>
      </c>
      <c r="C401">
        <v>6</v>
      </c>
      <c r="D401">
        <v>107</v>
      </c>
      <c r="E401">
        <v>29</v>
      </c>
      <c r="F401">
        <v>3</v>
      </c>
      <c r="G401">
        <v>138.6</v>
      </c>
      <c r="H401" s="9">
        <v>0.1</v>
      </c>
      <c r="I401" s="9">
        <v>374.22</v>
      </c>
    </row>
    <row r="402" spans="1:9" x14ac:dyDescent="0.3">
      <c r="A402">
        <v>401</v>
      </c>
      <c r="B402" t="s">
        <v>275</v>
      </c>
      <c r="C402">
        <v>2</v>
      </c>
      <c r="D402">
        <v>73</v>
      </c>
      <c r="E402">
        <v>21</v>
      </c>
      <c r="F402">
        <v>1</v>
      </c>
      <c r="G402">
        <v>187.71</v>
      </c>
      <c r="H402" s="9">
        <v>0</v>
      </c>
      <c r="I402" s="9">
        <v>187.71</v>
      </c>
    </row>
    <row r="403" spans="1:9" x14ac:dyDescent="0.3">
      <c r="A403">
        <v>402</v>
      </c>
      <c r="B403" t="s">
        <v>207</v>
      </c>
      <c r="C403">
        <v>6</v>
      </c>
      <c r="D403">
        <v>127</v>
      </c>
      <c r="E403">
        <v>9</v>
      </c>
      <c r="F403">
        <v>1</v>
      </c>
      <c r="G403">
        <v>152.78</v>
      </c>
      <c r="H403" s="9">
        <v>0</v>
      </c>
      <c r="I403" s="9">
        <v>152.78</v>
      </c>
    </row>
    <row r="404" spans="1:9" x14ac:dyDescent="0.3">
      <c r="A404">
        <v>403</v>
      </c>
      <c r="B404" t="s">
        <v>314</v>
      </c>
      <c r="C404">
        <v>6</v>
      </c>
      <c r="D404">
        <v>161</v>
      </c>
      <c r="E404">
        <v>5</v>
      </c>
      <c r="F404">
        <v>1</v>
      </c>
      <c r="G404">
        <v>55.26</v>
      </c>
      <c r="H404" s="9">
        <v>0.05</v>
      </c>
      <c r="I404" s="9">
        <v>52.5</v>
      </c>
    </row>
    <row r="405" spans="1:9" x14ac:dyDescent="0.3">
      <c r="A405">
        <v>404</v>
      </c>
      <c r="B405" t="s">
        <v>338</v>
      </c>
      <c r="C405">
        <v>4</v>
      </c>
      <c r="D405">
        <v>46</v>
      </c>
      <c r="E405">
        <v>15</v>
      </c>
      <c r="F405">
        <v>2</v>
      </c>
      <c r="G405">
        <v>58.26</v>
      </c>
      <c r="H405" s="9">
        <v>0</v>
      </c>
      <c r="I405" s="9">
        <v>116.52</v>
      </c>
    </row>
    <row r="406" spans="1:9" x14ac:dyDescent="0.3">
      <c r="A406">
        <v>405</v>
      </c>
      <c r="B406" t="s">
        <v>339</v>
      </c>
      <c r="C406">
        <v>1</v>
      </c>
      <c r="D406">
        <v>35</v>
      </c>
      <c r="E406">
        <v>14</v>
      </c>
      <c r="F406">
        <v>4</v>
      </c>
      <c r="G406">
        <v>70.08</v>
      </c>
      <c r="H406" s="9">
        <v>0.1</v>
      </c>
      <c r="I406" s="9">
        <v>252.29</v>
      </c>
    </row>
    <row r="407" spans="1:9" x14ac:dyDescent="0.3">
      <c r="A407">
        <v>406</v>
      </c>
      <c r="B407" t="s">
        <v>340</v>
      </c>
      <c r="C407">
        <v>8</v>
      </c>
      <c r="D407">
        <v>199</v>
      </c>
      <c r="E407">
        <v>51</v>
      </c>
      <c r="F407">
        <v>1</v>
      </c>
      <c r="G407">
        <v>302.75</v>
      </c>
      <c r="H407" s="9">
        <v>0</v>
      </c>
      <c r="I407" s="9">
        <v>302.75</v>
      </c>
    </row>
    <row r="408" spans="1:9" x14ac:dyDescent="0.3">
      <c r="A408">
        <v>407</v>
      </c>
      <c r="B408" t="s">
        <v>341</v>
      </c>
      <c r="C408">
        <v>2</v>
      </c>
      <c r="D408">
        <v>199</v>
      </c>
      <c r="E408">
        <v>8</v>
      </c>
      <c r="F408">
        <v>1</v>
      </c>
      <c r="G408">
        <v>259.11</v>
      </c>
      <c r="H408" s="9">
        <v>0.15</v>
      </c>
      <c r="I408" s="9">
        <v>220.24</v>
      </c>
    </row>
    <row r="409" spans="1:9" x14ac:dyDescent="0.3">
      <c r="A409">
        <v>408</v>
      </c>
      <c r="B409" t="s">
        <v>342</v>
      </c>
      <c r="C409">
        <v>5</v>
      </c>
      <c r="D409">
        <v>44</v>
      </c>
      <c r="E409">
        <v>73</v>
      </c>
      <c r="F409">
        <v>2</v>
      </c>
      <c r="G409">
        <v>8.39</v>
      </c>
      <c r="H409" s="9">
        <v>0.1</v>
      </c>
      <c r="I409" s="9">
        <v>15.1</v>
      </c>
    </row>
    <row r="410" spans="1:9" x14ac:dyDescent="0.3">
      <c r="A410">
        <v>409</v>
      </c>
      <c r="B410" t="s">
        <v>326</v>
      </c>
      <c r="C410">
        <v>4</v>
      </c>
      <c r="D410">
        <v>206</v>
      </c>
      <c r="E410">
        <v>40</v>
      </c>
      <c r="F410">
        <v>1</v>
      </c>
      <c r="G410">
        <v>144.41999999999999</v>
      </c>
      <c r="H410" s="9">
        <v>0</v>
      </c>
      <c r="I410" s="9">
        <v>144.41999999999999</v>
      </c>
    </row>
    <row r="411" spans="1:9" x14ac:dyDescent="0.3">
      <c r="A411">
        <v>410</v>
      </c>
      <c r="B411" t="s">
        <v>343</v>
      </c>
      <c r="C411">
        <v>8</v>
      </c>
      <c r="D411">
        <v>11</v>
      </c>
      <c r="E411">
        <v>9</v>
      </c>
      <c r="F411">
        <v>1</v>
      </c>
      <c r="G411">
        <v>152.78</v>
      </c>
      <c r="H411" s="9">
        <v>0</v>
      </c>
      <c r="I411" s="9">
        <v>152.78</v>
      </c>
    </row>
    <row r="412" spans="1:9" x14ac:dyDescent="0.3">
      <c r="A412">
        <v>411</v>
      </c>
      <c r="B412" t="s">
        <v>344</v>
      </c>
      <c r="C412">
        <v>2</v>
      </c>
      <c r="D412">
        <v>10</v>
      </c>
      <c r="E412">
        <v>82</v>
      </c>
      <c r="F412">
        <v>1</v>
      </c>
      <c r="G412">
        <v>151.85</v>
      </c>
      <c r="H412" s="9">
        <v>0</v>
      </c>
      <c r="I412" s="9">
        <v>151.85</v>
      </c>
    </row>
    <row r="413" spans="1:9" x14ac:dyDescent="0.3">
      <c r="A413">
        <v>412</v>
      </c>
      <c r="B413" t="s">
        <v>345</v>
      </c>
      <c r="C413">
        <v>2</v>
      </c>
      <c r="D413">
        <v>137</v>
      </c>
      <c r="E413">
        <v>85</v>
      </c>
      <c r="F413">
        <v>1</v>
      </c>
      <c r="G413">
        <v>83.36</v>
      </c>
      <c r="H413" s="9">
        <v>0</v>
      </c>
      <c r="I413" s="9">
        <v>83.36</v>
      </c>
    </row>
    <row r="414" spans="1:9" x14ac:dyDescent="0.3">
      <c r="A414">
        <v>413</v>
      </c>
      <c r="B414" t="s">
        <v>240</v>
      </c>
      <c r="C414">
        <v>3</v>
      </c>
      <c r="D414">
        <v>5</v>
      </c>
      <c r="E414">
        <v>14</v>
      </c>
      <c r="F414">
        <v>1</v>
      </c>
      <c r="G414">
        <v>70.08</v>
      </c>
      <c r="H414" s="9">
        <v>0.1</v>
      </c>
      <c r="I414" s="9">
        <v>63.07</v>
      </c>
    </row>
    <row r="415" spans="1:9" x14ac:dyDescent="0.3">
      <c r="A415">
        <v>414</v>
      </c>
      <c r="B415" t="s">
        <v>346</v>
      </c>
      <c r="C415">
        <v>2</v>
      </c>
      <c r="D415">
        <v>208</v>
      </c>
      <c r="E415">
        <v>31</v>
      </c>
      <c r="F415">
        <v>3</v>
      </c>
      <c r="G415">
        <v>165.45</v>
      </c>
      <c r="H415" s="9">
        <v>0.05</v>
      </c>
      <c r="I415" s="9">
        <v>471.53</v>
      </c>
    </row>
    <row r="416" spans="1:9" x14ac:dyDescent="0.3">
      <c r="A416">
        <v>415</v>
      </c>
      <c r="B416" t="s">
        <v>347</v>
      </c>
      <c r="C416">
        <v>6</v>
      </c>
      <c r="D416">
        <v>82</v>
      </c>
      <c r="E416">
        <v>43</v>
      </c>
      <c r="F416">
        <v>1</v>
      </c>
      <c r="G416">
        <v>16.04</v>
      </c>
      <c r="H416" s="9">
        <v>0.05</v>
      </c>
      <c r="I416" s="9">
        <v>15.24</v>
      </c>
    </row>
    <row r="417" spans="1:9" x14ac:dyDescent="0.3">
      <c r="A417">
        <v>416</v>
      </c>
      <c r="B417" t="s">
        <v>348</v>
      </c>
      <c r="C417">
        <v>5</v>
      </c>
      <c r="D417">
        <v>154</v>
      </c>
      <c r="E417">
        <v>39</v>
      </c>
      <c r="F417">
        <v>3</v>
      </c>
      <c r="G417">
        <v>181.34</v>
      </c>
      <c r="H417" s="9">
        <v>0</v>
      </c>
      <c r="I417" s="9">
        <v>544.02</v>
      </c>
    </row>
    <row r="418" spans="1:9" x14ac:dyDescent="0.3">
      <c r="A418">
        <v>417</v>
      </c>
      <c r="B418" t="s">
        <v>349</v>
      </c>
      <c r="C418">
        <v>3</v>
      </c>
      <c r="D418">
        <v>97</v>
      </c>
      <c r="E418">
        <v>54</v>
      </c>
      <c r="F418">
        <v>1</v>
      </c>
      <c r="G418">
        <v>245.9</v>
      </c>
      <c r="H418" s="9">
        <v>0</v>
      </c>
      <c r="I418" s="9">
        <v>245.9</v>
      </c>
    </row>
    <row r="419" spans="1:9" x14ac:dyDescent="0.3">
      <c r="A419">
        <v>418</v>
      </c>
      <c r="B419" t="s">
        <v>151</v>
      </c>
      <c r="C419">
        <v>6</v>
      </c>
      <c r="D419">
        <v>39</v>
      </c>
      <c r="E419">
        <v>78</v>
      </c>
      <c r="F419">
        <v>2</v>
      </c>
      <c r="G419">
        <v>25.66</v>
      </c>
      <c r="H419" s="9">
        <v>0</v>
      </c>
      <c r="I419" s="9">
        <v>51.32</v>
      </c>
    </row>
    <row r="420" spans="1:9" x14ac:dyDescent="0.3">
      <c r="A420">
        <v>419</v>
      </c>
      <c r="B420" t="s">
        <v>263</v>
      </c>
      <c r="C420">
        <v>4</v>
      </c>
      <c r="D420">
        <v>57</v>
      </c>
      <c r="E420">
        <v>65</v>
      </c>
      <c r="F420">
        <v>4</v>
      </c>
      <c r="G420">
        <v>71.14</v>
      </c>
      <c r="H420" s="9">
        <v>0</v>
      </c>
      <c r="I420" s="9">
        <v>284.56</v>
      </c>
    </row>
    <row r="421" spans="1:9" x14ac:dyDescent="0.3">
      <c r="A421">
        <v>420</v>
      </c>
      <c r="B421" t="s">
        <v>32</v>
      </c>
      <c r="C421">
        <v>4</v>
      </c>
      <c r="D421">
        <v>205</v>
      </c>
      <c r="E421">
        <v>62</v>
      </c>
      <c r="F421">
        <v>1</v>
      </c>
      <c r="G421">
        <v>82.81</v>
      </c>
      <c r="H421" s="9">
        <v>0</v>
      </c>
      <c r="I421" s="9">
        <v>82.81</v>
      </c>
    </row>
    <row r="422" spans="1:9" x14ac:dyDescent="0.3">
      <c r="A422">
        <v>421</v>
      </c>
      <c r="B422" t="s">
        <v>293</v>
      </c>
      <c r="C422">
        <v>4</v>
      </c>
      <c r="D422">
        <v>55</v>
      </c>
      <c r="E422">
        <v>29</v>
      </c>
      <c r="F422">
        <v>1</v>
      </c>
      <c r="G422">
        <v>138.6</v>
      </c>
      <c r="H422" s="9">
        <v>0.1</v>
      </c>
      <c r="I422" s="9">
        <v>124.74</v>
      </c>
    </row>
    <row r="423" spans="1:9" x14ac:dyDescent="0.3">
      <c r="A423">
        <v>422</v>
      </c>
      <c r="B423" t="s">
        <v>232</v>
      </c>
      <c r="C423">
        <v>1</v>
      </c>
      <c r="D423">
        <v>76</v>
      </c>
      <c r="E423">
        <v>93</v>
      </c>
      <c r="F423">
        <v>1</v>
      </c>
      <c r="G423">
        <v>239.23</v>
      </c>
      <c r="H423" s="9">
        <v>0.2</v>
      </c>
      <c r="I423" s="9">
        <v>191.38</v>
      </c>
    </row>
    <row r="424" spans="1:9" x14ac:dyDescent="0.3">
      <c r="A424">
        <v>423</v>
      </c>
      <c r="B424" t="s">
        <v>350</v>
      </c>
      <c r="C424">
        <v>6</v>
      </c>
      <c r="D424">
        <v>21</v>
      </c>
      <c r="E424">
        <v>38</v>
      </c>
      <c r="F424">
        <v>2</v>
      </c>
      <c r="G424">
        <v>35.35</v>
      </c>
      <c r="H424" s="9">
        <v>0.05</v>
      </c>
      <c r="I424" s="9">
        <v>67.17</v>
      </c>
    </row>
    <row r="425" spans="1:9" x14ac:dyDescent="0.3">
      <c r="A425">
        <v>424</v>
      </c>
      <c r="B425" t="s">
        <v>351</v>
      </c>
      <c r="C425">
        <v>3</v>
      </c>
      <c r="D425">
        <v>93</v>
      </c>
      <c r="E425">
        <v>8</v>
      </c>
      <c r="F425">
        <v>1</v>
      </c>
      <c r="G425">
        <v>259.11</v>
      </c>
      <c r="H425" s="9">
        <v>0</v>
      </c>
      <c r="I425" s="9">
        <v>259.11</v>
      </c>
    </row>
    <row r="426" spans="1:9" x14ac:dyDescent="0.3">
      <c r="A426">
        <v>425</v>
      </c>
      <c r="B426" t="s">
        <v>352</v>
      </c>
      <c r="C426">
        <v>2</v>
      </c>
      <c r="D426">
        <v>168</v>
      </c>
      <c r="E426">
        <v>48</v>
      </c>
      <c r="F426">
        <v>2</v>
      </c>
      <c r="G426">
        <v>146.85</v>
      </c>
      <c r="H426" s="9">
        <v>0.05</v>
      </c>
      <c r="I426" s="9">
        <v>279.01</v>
      </c>
    </row>
    <row r="427" spans="1:9" x14ac:dyDescent="0.3">
      <c r="A427">
        <v>426</v>
      </c>
      <c r="B427" t="s">
        <v>353</v>
      </c>
      <c r="C427">
        <v>7</v>
      </c>
      <c r="D427">
        <v>90</v>
      </c>
      <c r="E427">
        <v>55</v>
      </c>
      <c r="F427">
        <v>2</v>
      </c>
      <c r="G427">
        <v>193.33</v>
      </c>
      <c r="H427" s="9">
        <v>0</v>
      </c>
      <c r="I427" s="9">
        <v>386.66</v>
      </c>
    </row>
    <row r="428" spans="1:9" x14ac:dyDescent="0.3">
      <c r="A428">
        <v>427</v>
      </c>
      <c r="B428" t="s">
        <v>354</v>
      </c>
      <c r="C428">
        <v>7</v>
      </c>
      <c r="D428">
        <v>131</v>
      </c>
      <c r="E428">
        <v>95</v>
      </c>
      <c r="F428">
        <v>3</v>
      </c>
      <c r="G428">
        <v>201.94</v>
      </c>
      <c r="H428" s="9">
        <v>0</v>
      </c>
      <c r="I428" s="9">
        <v>605.82000000000005</v>
      </c>
    </row>
    <row r="429" spans="1:9" x14ac:dyDescent="0.3">
      <c r="A429">
        <v>428</v>
      </c>
      <c r="B429" t="s">
        <v>355</v>
      </c>
      <c r="C429">
        <v>2</v>
      </c>
      <c r="D429">
        <v>90</v>
      </c>
      <c r="E429">
        <v>35</v>
      </c>
      <c r="F429">
        <v>2</v>
      </c>
      <c r="G429">
        <v>303.48</v>
      </c>
      <c r="H429" s="9">
        <v>0</v>
      </c>
      <c r="I429" s="9">
        <v>606.96</v>
      </c>
    </row>
    <row r="430" spans="1:9" x14ac:dyDescent="0.3">
      <c r="A430">
        <v>429</v>
      </c>
      <c r="B430" t="s">
        <v>356</v>
      </c>
      <c r="C430">
        <v>6</v>
      </c>
      <c r="D430">
        <v>212</v>
      </c>
      <c r="E430">
        <v>71</v>
      </c>
      <c r="F430">
        <v>1</v>
      </c>
      <c r="G430">
        <v>225.61</v>
      </c>
      <c r="H430" s="9">
        <v>0</v>
      </c>
      <c r="I430" s="9">
        <v>225.61</v>
      </c>
    </row>
    <row r="431" spans="1:9" x14ac:dyDescent="0.3">
      <c r="A431">
        <v>430</v>
      </c>
      <c r="B431" t="s">
        <v>90</v>
      </c>
      <c r="C431">
        <v>8</v>
      </c>
      <c r="D431">
        <v>196</v>
      </c>
      <c r="E431">
        <v>29</v>
      </c>
      <c r="F431">
        <v>1</v>
      </c>
      <c r="G431">
        <v>138.6</v>
      </c>
      <c r="H431" s="9">
        <v>0.15</v>
      </c>
      <c r="I431" s="9">
        <v>117.81</v>
      </c>
    </row>
    <row r="432" spans="1:9" x14ac:dyDescent="0.3">
      <c r="A432">
        <v>431</v>
      </c>
      <c r="B432" t="s">
        <v>357</v>
      </c>
      <c r="C432">
        <v>6</v>
      </c>
      <c r="D432">
        <v>180</v>
      </c>
      <c r="E432">
        <v>86</v>
      </c>
      <c r="F432">
        <v>1</v>
      </c>
      <c r="G432">
        <v>99.19</v>
      </c>
      <c r="H432" s="9">
        <v>0</v>
      </c>
      <c r="I432" s="9">
        <v>99.19</v>
      </c>
    </row>
    <row r="433" spans="1:9" x14ac:dyDescent="0.3">
      <c r="A433">
        <v>432</v>
      </c>
      <c r="B433" t="s">
        <v>358</v>
      </c>
      <c r="C433">
        <v>3</v>
      </c>
      <c r="D433">
        <v>165</v>
      </c>
      <c r="E433">
        <v>26</v>
      </c>
      <c r="F433">
        <v>1</v>
      </c>
      <c r="G433">
        <v>211.87</v>
      </c>
      <c r="H433" s="9">
        <v>0</v>
      </c>
      <c r="I433" s="9">
        <v>211.87</v>
      </c>
    </row>
    <row r="434" spans="1:9" x14ac:dyDescent="0.3">
      <c r="A434">
        <v>433</v>
      </c>
      <c r="B434" t="s">
        <v>260</v>
      </c>
      <c r="C434">
        <v>7</v>
      </c>
      <c r="D434">
        <v>201</v>
      </c>
      <c r="E434">
        <v>49</v>
      </c>
      <c r="F434">
        <v>1</v>
      </c>
      <c r="G434">
        <v>130.58000000000001</v>
      </c>
      <c r="H434" s="9">
        <v>0.05</v>
      </c>
      <c r="I434" s="9">
        <v>124.05</v>
      </c>
    </row>
    <row r="435" spans="1:9" x14ac:dyDescent="0.3">
      <c r="A435">
        <v>434</v>
      </c>
      <c r="B435" t="s">
        <v>359</v>
      </c>
      <c r="C435">
        <v>1</v>
      </c>
      <c r="D435">
        <v>32</v>
      </c>
      <c r="E435">
        <v>60</v>
      </c>
      <c r="F435">
        <v>1</v>
      </c>
      <c r="G435">
        <v>101.29</v>
      </c>
      <c r="H435" s="9">
        <v>0.05</v>
      </c>
      <c r="I435" s="9">
        <v>96.23</v>
      </c>
    </row>
    <row r="436" spans="1:9" x14ac:dyDescent="0.3">
      <c r="A436">
        <v>435</v>
      </c>
      <c r="B436" t="s">
        <v>319</v>
      </c>
      <c r="C436">
        <v>3</v>
      </c>
      <c r="D436">
        <v>138</v>
      </c>
      <c r="E436">
        <v>66</v>
      </c>
      <c r="F436">
        <v>2</v>
      </c>
      <c r="G436">
        <v>169.57</v>
      </c>
      <c r="H436" s="9">
        <v>0</v>
      </c>
      <c r="I436" s="9">
        <v>339.14</v>
      </c>
    </row>
    <row r="437" spans="1:9" x14ac:dyDescent="0.3">
      <c r="A437">
        <v>436</v>
      </c>
      <c r="B437" t="s">
        <v>360</v>
      </c>
      <c r="C437">
        <v>3</v>
      </c>
      <c r="D437">
        <v>150</v>
      </c>
      <c r="E437">
        <v>96</v>
      </c>
      <c r="F437">
        <v>1</v>
      </c>
      <c r="G437">
        <v>132.69</v>
      </c>
      <c r="H437" s="9">
        <v>0.15</v>
      </c>
      <c r="I437" s="9">
        <v>112.79</v>
      </c>
    </row>
    <row r="438" spans="1:9" x14ac:dyDescent="0.3">
      <c r="A438">
        <v>437</v>
      </c>
      <c r="B438" t="s">
        <v>279</v>
      </c>
      <c r="C438">
        <v>6</v>
      </c>
      <c r="D438">
        <v>193</v>
      </c>
      <c r="E438">
        <v>81</v>
      </c>
      <c r="F438">
        <v>1</v>
      </c>
      <c r="G438">
        <v>225.3</v>
      </c>
      <c r="H438" s="9">
        <v>0</v>
      </c>
      <c r="I438" s="9">
        <v>225.3</v>
      </c>
    </row>
    <row r="439" spans="1:9" x14ac:dyDescent="0.3">
      <c r="A439">
        <v>438</v>
      </c>
      <c r="B439" t="s">
        <v>361</v>
      </c>
      <c r="C439">
        <v>6</v>
      </c>
      <c r="D439">
        <v>91</v>
      </c>
      <c r="E439">
        <v>80</v>
      </c>
      <c r="F439">
        <v>1</v>
      </c>
      <c r="G439">
        <v>33.380000000000003</v>
      </c>
      <c r="H439" s="9">
        <v>0</v>
      </c>
      <c r="I439" s="9">
        <v>33.380000000000003</v>
      </c>
    </row>
    <row r="440" spans="1:9" x14ac:dyDescent="0.3">
      <c r="A440">
        <v>439</v>
      </c>
      <c r="B440" t="s">
        <v>362</v>
      </c>
      <c r="C440">
        <v>2</v>
      </c>
      <c r="D440">
        <v>214</v>
      </c>
      <c r="E440">
        <v>92</v>
      </c>
      <c r="F440">
        <v>1</v>
      </c>
      <c r="G440">
        <v>223.32</v>
      </c>
      <c r="H440" s="9">
        <v>0</v>
      </c>
      <c r="I440" s="9">
        <v>223.32</v>
      </c>
    </row>
    <row r="441" spans="1:9" x14ac:dyDescent="0.3">
      <c r="A441">
        <v>440</v>
      </c>
      <c r="B441" t="s">
        <v>103</v>
      </c>
      <c r="C441">
        <v>4</v>
      </c>
      <c r="D441">
        <v>203</v>
      </c>
      <c r="E441">
        <v>79</v>
      </c>
      <c r="F441">
        <v>1</v>
      </c>
      <c r="G441">
        <v>117.59</v>
      </c>
      <c r="H441" s="9">
        <v>0.2</v>
      </c>
      <c r="I441" s="9">
        <v>94.07</v>
      </c>
    </row>
    <row r="442" spans="1:9" x14ac:dyDescent="0.3">
      <c r="A442">
        <v>441</v>
      </c>
      <c r="B442" t="s">
        <v>363</v>
      </c>
      <c r="C442">
        <v>3</v>
      </c>
      <c r="D442">
        <v>12</v>
      </c>
      <c r="E442">
        <v>82</v>
      </c>
      <c r="F442">
        <v>3</v>
      </c>
      <c r="G442">
        <v>151.85</v>
      </c>
      <c r="H442" s="9">
        <v>0.1</v>
      </c>
      <c r="I442" s="9">
        <v>409.99</v>
      </c>
    </row>
    <row r="443" spans="1:9" x14ac:dyDescent="0.3">
      <c r="A443">
        <v>442</v>
      </c>
      <c r="B443" t="s">
        <v>237</v>
      </c>
      <c r="C443">
        <v>2</v>
      </c>
      <c r="D443">
        <v>133</v>
      </c>
      <c r="E443">
        <v>55</v>
      </c>
      <c r="F443">
        <v>2</v>
      </c>
      <c r="G443">
        <v>193.33</v>
      </c>
      <c r="H443" s="9">
        <v>0</v>
      </c>
      <c r="I443" s="9">
        <v>386.66</v>
      </c>
    </row>
    <row r="444" spans="1:9" x14ac:dyDescent="0.3">
      <c r="A444">
        <v>443</v>
      </c>
      <c r="B444" t="s">
        <v>359</v>
      </c>
      <c r="C444">
        <v>3</v>
      </c>
      <c r="D444">
        <v>49</v>
      </c>
      <c r="E444">
        <v>59</v>
      </c>
      <c r="F444">
        <v>1</v>
      </c>
      <c r="G444">
        <v>17.41</v>
      </c>
      <c r="H444" s="9">
        <v>0</v>
      </c>
      <c r="I444" s="9">
        <v>17.41</v>
      </c>
    </row>
    <row r="445" spans="1:9" x14ac:dyDescent="0.3">
      <c r="A445">
        <v>444</v>
      </c>
      <c r="B445" t="s">
        <v>38</v>
      </c>
      <c r="C445">
        <v>3</v>
      </c>
      <c r="D445">
        <v>85</v>
      </c>
      <c r="E445">
        <v>54</v>
      </c>
      <c r="F445">
        <v>1</v>
      </c>
      <c r="G445">
        <v>245.9</v>
      </c>
      <c r="H445" s="9">
        <v>0.15</v>
      </c>
      <c r="I445" s="9">
        <v>209.01</v>
      </c>
    </row>
    <row r="446" spans="1:9" x14ac:dyDescent="0.3">
      <c r="A446">
        <v>445</v>
      </c>
      <c r="B446" t="s">
        <v>364</v>
      </c>
      <c r="C446">
        <v>1</v>
      </c>
      <c r="D446">
        <v>148</v>
      </c>
      <c r="E446">
        <v>51</v>
      </c>
      <c r="F446">
        <v>4</v>
      </c>
      <c r="G446">
        <v>302.75</v>
      </c>
      <c r="H446" s="9">
        <v>0</v>
      </c>
      <c r="I446" s="9">
        <v>1211</v>
      </c>
    </row>
    <row r="447" spans="1:9" x14ac:dyDescent="0.3">
      <c r="A447">
        <v>446</v>
      </c>
      <c r="B447" t="s">
        <v>365</v>
      </c>
      <c r="C447">
        <v>2</v>
      </c>
      <c r="D447">
        <v>51</v>
      </c>
      <c r="E447">
        <v>89</v>
      </c>
      <c r="F447">
        <v>1</v>
      </c>
      <c r="G447">
        <v>247.43</v>
      </c>
      <c r="H447" s="9">
        <v>0</v>
      </c>
      <c r="I447" s="9">
        <v>247.43</v>
      </c>
    </row>
    <row r="448" spans="1:9" x14ac:dyDescent="0.3">
      <c r="A448">
        <v>447</v>
      </c>
      <c r="B448" t="s">
        <v>203</v>
      </c>
      <c r="C448">
        <v>5</v>
      </c>
      <c r="D448">
        <v>203</v>
      </c>
      <c r="E448">
        <v>71</v>
      </c>
      <c r="F448">
        <v>1</v>
      </c>
      <c r="G448">
        <v>225.61</v>
      </c>
      <c r="H448" s="9">
        <v>0.2</v>
      </c>
      <c r="I448" s="9">
        <v>180.49</v>
      </c>
    </row>
    <row r="449" spans="1:9" x14ac:dyDescent="0.3">
      <c r="A449">
        <v>448</v>
      </c>
      <c r="B449" t="s">
        <v>366</v>
      </c>
      <c r="C449">
        <v>7</v>
      </c>
      <c r="D449">
        <v>144</v>
      </c>
      <c r="E449">
        <v>97</v>
      </c>
      <c r="F449">
        <v>1</v>
      </c>
      <c r="G449">
        <v>158.26</v>
      </c>
      <c r="H449" s="9">
        <v>0.1</v>
      </c>
      <c r="I449" s="9">
        <v>142.43</v>
      </c>
    </row>
    <row r="450" spans="1:9" x14ac:dyDescent="0.3">
      <c r="A450">
        <v>449</v>
      </c>
      <c r="B450" t="s">
        <v>190</v>
      </c>
      <c r="C450">
        <v>8</v>
      </c>
      <c r="D450">
        <v>135</v>
      </c>
      <c r="E450">
        <v>75</v>
      </c>
      <c r="F450">
        <v>1</v>
      </c>
      <c r="G450">
        <v>205.69</v>
      </c>
      <c r="H450" s="9">
        <v>0</v>
      </c>
      <c r="I450" s="9">
        <v>205.69</v>
      </c>
    </row>
    <row r="451" spans="1:9" x14ac:dyDescent="0.3">
      <c r="A451">
        <v>450</v>
      </c>
      <c r="B451" t="s">
        <v>367</v>
      </c>
      <c r="C451">
        <v>5</v>
      </c>
      <c r="D451">
        <v>129</v>
      </c>
      <c r="E451">
        <v>9</v>
      </c>
      <c r="F451">
        <v>1</v>
      </c>
      <c r="G451">
        <v>152.78</v>
      </c>
      <c r="H451" s="9">
        <v>0.1</v>
      </c>
      <c r="I451" s="9">
        <v>137.5</v>
      </c>
    </row>
    <row r="452" spans="1:9" x14ac:dyDescent="0.3">
      <c r="A452">
        <v>451</v>
      </c>
      <c r="B452" t="s">
        <v>94</v>
      </c>
      <c r="C452">
        <v>4</v>
      </c>
      <c r="D452">
        <v>199</v>
      </c>
      <c r="E452">
        <v>3</v>
      </c>
      <c r="F452">
        <v>1</v>
      </c>
      <c r="G452">
        <v>190.58</v>
      </c>
      <c r="H452" s="9">
        <v>0</v>
      </c>
      <c r="I452" s="9">
        <v>190.58</v>
      </c>
    </row>
    <row r="453" spans="1:9" x14ac:dyDescent="0.3">
      <c r="A453">
        <v>452</v>
      </c>
      <c r="B453" t="s">
        <v>331</v>
      </c>
      <c r="C453">
        <v>5</v>
      </c>
      <c r="D453">
        <v>180</v>
      </c>
      <c r="E453">
        <v>62</v>
      </c>
      <c r="F453">
        <v>1</v>
      </c>
      <c r="G453">
        <v>82.81</v>
      </c>
      <c r="H453" s="9">
        <v>0.05</v>
      </c>
      <c r="I453" s="9">
        <v>78.67</v>
      </c>
    </row>
    <row r="454" spans="1:9" x14ac:dyDescent="0.3">
      <c r="A454">
        <v>453</v>
      </c>
      <c r="B454" t="s">
        <v>172</v>
      </c>
      <c r="C454">
        <v>2</v>
      </c>
      <c r="D454">
        <v>81</v>
      </c>
      <c r="E454">
        <v>90</v>
      </c>
      <c r="F454">
        <v>5</v>
      </c>
      <c r="G454">
        <v>122.32</v>
      </c>
      <c r="H454" s="9">
        <v>0</v>
      </c>
      <c r="I454" s="9">
        <v>611.6</v>
      </c>
    </row>
    <row r="455" spans="1:9" x14ac:dyDescent="0.3">
      <c r="A455">
        <v>454</v>
      </c>
      <c r="B455" t="s">
        <v>368</v>
      </c>
      <c r="C455">
        <v>3</v>
      </c>
      <c r="D455">
        <v>139</v>
      </c>
      <c r="E455">
        <v>11</v>
      </c>
      <c r="F455">
        <v>1</v>
      </c>
      <c r="G455">
        <v>11.53</v>
      </c>
      <c r="H455" s="9">
        <v>0.05</v>
      </c>
      <c r="I455" s="9">
        <v>10.95</v>
      </c>
    </row>
    <row r="456" spans="1:9" x14ac:dyDescent="0.3">
      <c r="A456">
        <v>455</v>
      </c>
      <c r="B456" t="s">
        <v>235</v>
      </c>
      <c r="C456">
        <v>7</v>
      </c>
      <c r="D456">
        <v>195</v>
      </c>
      <c r="E456">
        <v>40</v>
      </c>
      <c r="F456">
        <v>1</v>
      </c>
      <c r="G456">
        <v>144.41999999999999</v>
      </c>
      <c r="H456" s="9">
        <v>0</v>
      </c>
      <c r="I456" s="9">
        <v>144.41999999999999</v>
      </c>
    </row>
    <row r="457" spans="1:9" x14ac:dyDescent="0.3">
      <c r="A457">
        <v>456</v>
      </c>
      <c r="B457" t="s">
        <v>51</v>
      </c>
      <c r="C457">
        <v>8</v>
      </c>
      <c r="D457">
        <v>14</v>
      </c>
      <c r="E457">
        <v>43</v>
      </c>
      <c r="F457">
        <v>2</v>
      </c>
      <c r="G457">
        <v>16.04</v>
      </c>
      <c r="H457" s="9">
        <v>0</v>
      </c>
      <c r="I457" s="9">
        <v>32.08</v>
      </c>
    </row>
    <row r="458" spans="1:9" x14ac:dyDescent="0.3">
      <c r="A458">
        <v>457</v>
      </c>
      <c r="B458" t="s">
        <v>369</v>
      </c>
      <c r="C458">
        <v>6</v>
      </c>
      <c r="D458">
        <v>220</v>
      </c>
      <c r="E458">
        <v>36</v>
      </c>
      <c r="F458">
        <v>1</v>
      </c>
      <c r="G458">
        <v>211.43</v>
      </c>
      <c r="H458" s="9">
        <v>0</v>
      </c>
      <c r="I458" s="9">
        <v>211.43</v>
      </c>
    </row>
    <row r="459" spans="1:9" x14ac:dyDescent="0.3">
      <c r="A459">
        <v>458</v>
      </c>
      <c r="B459" t="s">
        <v>301</v>
      </c>
      <c r="C459">
        <v>6</v>
      </c>
      <c r="D459">
        <v>83</v>
      </c>
      <c r="E459">
        <v>46</v>
      </c>
      <c r="F459">
        <v>1</v>
      </c>
      <c r="G459">
        <v>157</v>
      </c>
      <c r="H459" s="9">
        <v>0</v>
      </c>
      <c r="I459" s="9">
        <v>157</v>
      </c>
    </row>
    <row r="460" spans="1:9" x14ac:dyDescent="0.3">
      <c r="A460">
        <v>459</v>
      </c>
      <c r="B460" t="s">
        <v>370</v>
      </c>
      <c r="C460">
        <v>6</v>
      </c>
      <c r="D460">
        <v>21</v>
      </c>
      <c r="E460">
        <v>46</v>
      </c>
      <c r="F460">
        <v>1</v>
      </c>
      <c r="G460">
        <v>157</v>
      </c>
      <c r="H460" s="9">
        <v>0</v>
      </c>
      <c r="I460" s="9">
        <v>157</v>
      </c>
    </row>
    <row r="461" spans="1:9" x14ac:dyDescent="0.3">
      <c r="A461">
        <v>460</v>
      </c>
      <c r="B461" t="s">
        <v>371</v>
      </c>
      <c r="C461">
        <v>3</v>
      </c>
      <c r="D461">
        <v>97</v>
      </c>
      <c r="E461">
        <v>45</v>
      </c>
      <c r="F461">
        <v>1</v>
      </c>
      <c r="G461">
        <v>70.989999999999995</v>
      </c>
      <c r="H461" s="9">
        <v>0</v>
      </c>
      <c r="I461" s="9">
        <v>70.989999999999995</v>
      </c>
    </row>
    <row r="462" spans="1:9" x14ac:dyDescent="0.3">
      <c r="A462">
        <v>461</v>
      </c>
      <c r="B462" t="s">
        <v>372</v>
      </c>
      <c r="C462">
        <v>2</v>
      </c>
      <c r="D462">
        <v>129</v>
      </c>
      <c r="E462">
        <v>98</v>
      </c>
      <c r="F462">
        <v>2</v>
      </c>
      <c r="G462">
        <v>136.97</v>
      </c>
      <c r="H462" s="9">
        <v>0.1</v>
      </c>
      <c r="I462" s="9">
        <v>246.55</v>
      </c>
    </row>
    <row r="463" spans="1:9" x14ac:dyDescent="0.3">
      <c r="A463">
        <v>462</v>
      </c>
      <c r="B463" t="s">
        <v>370</v>
      </c>
      <c r="C463">
        <v>4</v>
      </c>
      <c r="D463">
        <v>182</v>
      </c>
      <c r="E463">
        <v>23</v>
      </c>
      <c r="F463">
        <v>1</v>
      </c>
      <c r="G463">
        <v>79.94</v>
      </c>
      <c r="H463" s="9">
        <v>0</v>
      </c>
      <c r="I463" s="9">
        <v>79.94</v>
      </c>
    </row>
    <row r="464" spans="1:9" x14ac:dyDescent="0.3">
      <c r="A464">
        <v>463</v>
      </c>
      <c r="B464" t="s">
        <v>373</v>
      </c>
      <c r="C464">
        <v>2</v>
      </c>
      <c r="D464">
        <v>65</v>
      </c>
      <c r="E464">
        <v>83</v>
      </c>
      <c r="F464">
        <v>1</v>
      </c>
      <c r="G464">
        <v>109.16</v>
      </c>
      <c r="H464" s="9">
        <v>0</v>
      </c>
      <c r="I464" s="9">
        <v>109.16</v>
      </c>
    </row>
    <row r="465" spans="1:9" x14ac:dyDescent="0.3">
      <c r="A465">
        <v>464</v>
      </c>
      <c r="B465" t="s">
        <v>374</v>
      </c>
      <c r="C465">
        <v>8</v>
      </c>
      <c r="D465">
        <v>103</v>
      </c>
      <c r="E465">
        <v>48</v>
      </c>
      <c r="F465">
        <v>1</v>
      </c>
      <c r="G465">
        <v>146.85</v>
      </c>
      <c r="H465" s="9">
        <v>0.1</v>
      </c>
      <c r="I465" s="9">
        <v>132.16</v>
      </c>
    </row>
    <row r="466" spans="1:9" x14ac:dyDescent="0.3">
      <c r="A466">
        <v>465</v>
      </c>
      <c r="B466" t="s">
        <v>375</v>
      </c>
      <c r="C466">
        <v>3</v>
      </c>
      <c r="D466">
        <v>11</v>
      </c>
      <c r="E466">
        <v>99</v>
      </c>
      <c r="F466">
        <v>1</v>
      </c>
      <c r="G466">
        <v>15.44</v>
      </c>
      <c r="H466" s="9">
        <v>0</v>
      </c>
      <c r="I466" s="9">
        <v>15.44</v>
      </c>
    </row>
    <row r="467" spans="1:9" x14ac:dyDescent="0.3">
      <c r="A467">
        <v>466</v>
      </c>
      <c r="B467" t="s">
        <v>104</v>
      </c>
      <c r="C467">
        <v>1</v>
      </c>
      <c r="D467">
        <v>155</v>
      </c>
      <c r="E467">
        <v>79</v>
      </c>
      <c r="F467">
        <v>1</v>
      </c>
      <c r="G467">
        <v>117.59</v>
      </c>
      <c r="H467" s="9">
        <v>0.05</v>
      </c>
      <c r="I467" s="9">
        <v>111.71</v>
      </c>
    </row>
    <row r="468" spans="1:9" x14ac:dyDescent="0.3">
      <c r="A468">
        <v>467</v>
      </c>
      <c r="B468" t="s">
        <v>376</v>
      </c>
      <c r="C468">
        <v>7</v>
      </c>
      <c r="D468">
        <v>1</v>
      </c>
      <c r="E468">
        <v>85</v>
      </c>
      <c r="F468">
        <v>1</v>
      </c>
      <c r="G468">
        <v>83.36</v>
      </c>
      <c r="H468" s="9">
        <v>0</v>
      </c>
      <c r="I468" s="9">
        <v>83.36</v>
      </c>
    </row>
    <row r="469" spans="1:9" x14ac:dyDescent="0.3">
      <c r="A469">
        <v>468</v>
      </c>
      <c r="B469" t="s">
        <v>377</v>
      </c>
      <c r="C469">
        <v>4</v>
      </c>
      <c r="D469">
        <v>182</v>
      </c>
      <c r="E469">
        <v>46</v>
      </c>
      <c r="F469">
        <v>1</v>
      </c>
      <c r="G469">
        <v>157</v>
      </c>
      <c r="H469" s="9">
        <v>0</v>
      </c>
      <c r="I469" s="9">
        <v>157</v>
      </c>
    </row>
    <row r="470" spans="1:9" x14ac:dyDescent="0.3">
      <c r="A470">
        <v>469</v>
      </c>
      <c r="B470" t="s">
        <v>332</v>
      </c>
      <c r="C470">
        <v>6</v>
      </c>
      <c r="D470">
        <v>134</v>
      </c>
      <c r="E470">
        <v>63</v>
      </c>
      <c r="F470">
        <v>1</v>
      </c>
      <c r="G470">
        <v>239.9</v>
      </c>
      <c r="H470" s="9">
        <v>0</v>
      </c>
      <c r="I470" s="9">
        <v>239.9</v>
      </c>
    </row>
    <row r="471" spans="1:9" x14ac:dyDescent="0.3">
      <c r="A471">
        <v>470</v>
      </c>
      <c r="B471" t="s">
        <v>174</v>
      </c>
      <c r="C471">
        <v>4</v>
      </c>
      <c r="D471">
        <v>20</v>
      </c>
      <c r="E471">
        <v>21</v>
      </c>
      <c r="F471">
        <v>2</v>
      </c>
      <c r="G471">
        <v>187.71</v>
      </c>
      <c r="H471" s="9">
        <v>0</v>
      </c>
      <c r="I471" s="9">
        <v>375.42</v>
      </c>
    </row>
    <row r="472" spans="1:9" x14ac:dyDescent="0.3">
      <c r="A472">
        <v>471</v>
      </c>
      <c r="B472" t="s">
        <v>378</v>
      </c>
      <c r="C472">
        <v>8</v>
      </c>
      <c r="D472">
        <v>92</v>
      </c>
      <c r="E472">
        <v>48</v>
      </c>
      <c r="F472">
        <v>1</v>
      </c>
      <c r="G472">
        <v>146.85</v>
      </c>
      <c r="H472" s="9">
        <v>0.05</v>
      </c>
      <c r="I472" s="9">
        <v>139.51</v>
      </c>
    </row>
    <row r="473" spans="1:9" x14ac:dyDescent="0.3">
      <c r="A473">
        <v>472</v>
      </c>
      <c r="B473" t="s">
        <v>379</v>
      </c>
      <c r="C473">
        <v>8</v>
      </c>
      <c r="D473">
        <v>25</v>
      </c>
      <c r="E473">
        <v>16</v>
      </c>
      <c r="F473">
        <v>2</v>
      </c>
      <c r="G473">
        <v>62.77</v>
      </c>
      <c r="H473" s="9">
        <v>0.05</v>
      </c>
      <c r="I473" s="9">
        <v>119.26</v>
      </c>
    </row>
    <row r="474" spans="1:9" x14ac:dyDescent="0.3">
      <c r="A474">
        <v>473</v>
      </c>
      <c r="B474" t="s">
        <v>380</v>
      </c>
      <c r="C474">
        <v>8</v>
      </c>
      <c r="D474">
        <v>96</v>
      </c>
      <c r="E474">
        <v>65</v>
      </c>
      <c r="F474">
        <v>1</v>
      </c>
      <c r="G474">
        <v>71.14</v>
      </c>
      <c r="H474" s="9">
        <v>0</v>
      </c>
      <c r="I474" s="9">
        <v>71.14</v>
      </c>
    </row>
    <row r="475" spans="1:9" x14ac:dyDescent="0.3">
      <c r="A475">
        <v>474</v>
      </c>
      <c r="B475" t="s">
        <v>381</v>
      </c>
      <c r="C475">
        <v>2</v>
      </c>
      <c r="D475">
        <v>157</v>
      </c>
      <c r="E475">
        <v>23</v>
      </c>
      <c r="F475">
        <v>1</v>
      </c>
      <c r="G475">
        <v>79.94</v>
      </c>
      <c r="H475" s="9">
        <v>0.15</v>
      </c>
      <c r="I475" s="9">
        <v>67.95</v>
      </c>
    </row>
    <row r="476" spans="1:9" x14ac:dyDescent="0.3">
      <c r="A476">
        <v>475</v>
      </c>
      <c r="B476" t="s">
        <v>382</v>
      </c>
      <c r="C476">
        <v>8</v>
      </c>
      <c r="D476">
        <v>195</v>
      </c>
      <c r="E476">
        <v>45</v>
      </c>
      <c r="F476">
        <v>1</v>
      </c>
      <c r="G476">
        <v>70.989999999999995</v>
      </c>
      <c r="H476" s="9">
        <v>0.1</v>
      </c>
      <c r="I476" s="9">
        <v>63.89</v>
      </c>
    </row>
    <row r="477" spans="1:9" x14ac:dyDescent="0.3">
      <c r="A477">
        <v>476</v>
      </c>
      <c r="B477" t="s">
        <v>84</v>
      </c>
      <c r="C477">
        <v>4</v>
      </c>
      <c r="D477">
        <v>208</v>
      </c>
      <c r="E477">
        <v>46</v>
      </c>
      <c r="F477">
        <v>1</v>
      </c>
      <c r="G477">
        <v>157</v>
      </c>
      <c r="H477" s="9">
        <v>0</v>
      </c>
      <c r="I477" s="9">
        <v>157</v>
      </c>
    </row>
    <row r="478" spans="1:9" x14ac:dyDescent="0.3">
      <c r="A478">
        <v>477</v>
      </c>
      <c r="B478" t="s">
        <v>302</v>
      </c>
      <c r="C478">
        <v>1</v>
      </c>
      <c r="D478">
        <v>78</v>
      </c>
      <c r="E478">
        <v>30</v>
      </c>
      <c r="F478">
        <v>1</v>
      </c>
      <c r="G478">
        <v>19.399999999999999</v>
      </c>
      <c r="H478" s="9">
        <v>0</v>
      </c>
      <c r="I478" s="9">
        <v>19.399999999999999</v>
      </c>
    </row>
    <row r="479" spans="1:9" x14ac:dyDescent="0.3">
      <c r="A479">
        <v>478</v>
      </c>
      <c r="B479" t="s">
        <v>383</v>
      </c>
      <c r="C479">
        <v>5</v>
      </c>
      <c r="D479">
        <v>175</v>
      </c>
      <c r="E479">
        <v>39</v>
      </c>
      <c r="F479">
        <v>1</v>
      </c>
      <c r="G479">
        <v>181.34</v>
      </c>
      <c r="H479" s="9">
        <v>0</v>
      </c>
      <c r="I479" s="9">
        <v>181.34</v>
      </c>
    </row>
    <row r="480" spans="1:9" x14ac:dyDescent="0.3">
      <c r="A480">
        <v>479</v>
      </c>
      <c r="B480" t="s">
        <v>384</v>
      </c>
      <c r="C480">
        <v>8</v>
      </c>
      <c r="D480">
        <v>76</v>
      </c>
      <c r="E480">
        <v>60</v>
      </c>
      <c r="F480">
        <v>3</v>
      </c>
      <c r="G480">
        <v>101.29</v>
      </c>
      <c r="H480" s="9">
        <v>0.2</v>
      </c>
      <c r="I480" s="9">
        <v>243.1</v>
      </c>
    </row>
    <row r="481" spans="1:9" x14ac:dyDescent="0.3">
      <c r="A481">
        <v>480</v>
      </c>
      <c r="B481" t="s">
        <v>385</v>
      </c>
      <c r="C481">
        <v>1</v>
      </c>
      <c r="D481">
        <v>138</v>
      </c>
      <c r="E481">
        <v>88</v>
      </c>
      <c r="F481">
        <v>1</v>
      </c>
      <c r="G481">
        <v>181.05</v>
      </c>
      <c r="H481" s="9">
        <v>0</v>
      </c>
      <c r="I481" s="9">
        <v>181.05</v>
      </c>
    </row>
    <row r="482" spans="1:9" x14ac:dyDescent="0.3">
      <c r="A482">
        <v>481</v>
      </c>
      <c r="B482" t="s">
        <v>386</v>
      </c>
      <c r="C482">
        <v>7</v>
      </c>
      <c r="D482">
        <v>152</v>
      </c>
      <c r="E482">
        <v>27</v>
      </c>
      <c r="F482">
        <v>2</v>
      </c>
      <c r="G482">
        <v>66.790000000000006</v>
      </c>
      <c r="H482" s="9">
        <v>0.05</v>
      </c>
      <c r="I482" s="9">
        <v>126.9</v>
      </c>
    </row>
    <row r="483" spans="1:9" x14ac:dyDescent="0.3">
      <c r="A483">
        <v>482</v>
      </c>
      <c r="B483" t="s">
        <v>387</v>
      </c>
      <c r="C483">
        <v>5</v>
      </c>
      <c r="D483">
        <v>97</v>
      </c>
      <c r="E483">
        <v>42</v>
      </c>
      <c r="F483">
        <v>1</v>
      </c>
      <c r="G483">
        <v>127.97</v>
      </c>
      <c r="H483" s="9">
        <v>0</v>
      </c>
      <c r="I483" s="9">
        <v>127.97</v>
      </c>
    </row>
    <row r="484" spans="1:9" x14ac:dyDescent="0.3">
      <c r="A484">
        <v>483</v>
      </c>
      <c r="B484" t="s">
        <v>109</v>
      </c>
      <c r="C484">
        <v>7</v>
      </c>
      <c r="D484">
        <v>186</v>
      </c>
      <c r="E484">
        <v>19</v>
      </c>
      <c r="F484">
        <v>1</v>
      </c>
      <c r="G484">
        <v>138.31</v>
      </c>
      <c r="H484" s="9">
        <v>0</v>
      </c>
      <c r="I484" s="9">
        <v>138.31</v>
      </c>
    </row>
    <row r="485" spans="1:9" x14ac:dyDescent="0.3">
      <c r="A485">
        <v>484</v>
      </c>
      <c r="B485" t="s">
        <v>109</v>
      </c>
      <c r="C485">
        <v>1</v>
      </c>
      <c r="D485">
        <v>175</v>
      </c>
      <c r="E485">
        <v>80</v>
      </c>
      <c r="F485">
        <v>1</v>
      </c>
      <c r="G485">
        <v>33.380000000000003</v>
      </c>
      <c r="H485" s="9">
        <v>0.05</v>
      </c>
      <c r="I485" s="9">
        <v>31.71</v>
      </c>
    </row>
    <row r="486" spans="1:9" x14ac:dyDescent="0.3">
      <c r="A486">
        <v>485</v>
      </c>
      <c r="B486" t="s">
        <v>20</v>
      </c>
      <c r="C486">
        <v>1</v>
      </c>
      <c r="D486">
        <v>172</v>
      </c>
      <c r="E486">
        <v>21</v>
      </c>
      <c r="F486">
        <v>1</v>
      </c>
      <c r="G486">
        <v>187.71</v>
      </c>
      <c r="H486" s="9">
        <v>0</v>
      </c>
      <c r="I486" s="9">
        <v>187.71</v>
      </c>
    </row>
    <row r="487" spans="1:9" x14ac:dyDescent="0.3">
      <c r="A487">
        <v>486</v>
      </c>
      <c r="B487" t="s">
        <v>388</v>
      </c>
      <c r="C487">
        <v>6</v>
      </c>
      <c r="D487">
        <v>83</v>
      </c>
      <c r="E487">
        <v>39</v>
      </c>
      <c r="F487">
        <v>1</v>
      </c>
      <c r="G487">
        <v>181.34</v>
      </c>
      <c r="H487" s="9">
        <v>0.15</v>
      </c>
      <c r="I487" s="9">
        <v>154.13999999999999</v>
      </c>
    </row>
    <row r="488" spans="1:9" x14ac:dyDescent="0.3">
      <c r="A488">
        <v>487</v>
      </c>
      <c r="B488" t="s">
        <v>389</v>
      </c>
      <c r="C488">
        <v>2</v>
      </c>
      <c r="D488">
        <v>35</v>
      </c>
      <c r="E488">
        <v>57</v>
      </c>
      <c r="F488">
        <v>1</v>
      </c>
      <c r="G488">
        <v>32.28</v>
      </c>
      <c r="H488" s="9">
        <v>0</v>
      </c>
      <c r="I488" s="9">
        <v>32.28</v>
      </c>
    </row>
    <row r="489" spans="1:9" x14ac:dyDescent="0.3">
      <c r="A489">
        <v>488</v>
      </c>
      <c r="B489" t="s">
        <v>257</v>
      </c>
      <c r="C489">
        <v>8</v>
      </c>
      <c r="D489">
        <v>188</v>
      </c>
      <c r="E489">
        <v>35</v>
      </c>
      <c r="F489">
        <v>1</v>
      </c>
      <c r="G489">
        <v>303.48</v>
      </c>
      <c r="H489" s="9">
        <v>0</v>
      </c>
      <c r="I489" s="9">
        <v>303.48</v>
      </c>
    </row>
    <row r="490" spans="1:9" x14ac:dyDescent="0.3">
      <c r="A490">
        <v>489</v>
      </c>
      <c r="B490" t="s">
        <v>390</v>
      </c>
      <c r="C490">
        <v>2</v>
      </c>
      <c r="D490">
        <v>133</v>
      </c>
      <c r="E490">
        <v>17</v>
      </c>
      <c r="F490">
        <v>1</v>
      </c>
      <c r="G490">
        <v>97.14</v>
      </c>
      <c r="H490" s="9">
        <v>0</v>
      </c>
      <c r="I490" s="9">
        <v>97.14</v>
      </c>
    </row>
    <row r="491" spans="1:9" x14ac:dyDescent="0.3">
      <c r="A491">
        <v>490</v>
      </c>
      <c r="B491" t="s">
        <v>391</v>
      </c>
      <c r="C491">
        <v>2</v>
      </c>
      <c r="D491">
        <v>26</v>
      </c>
      <c r="E491">
        <v>61</v>
      </c>
      <c r="F491">
        <v>1</v>
      </c>
      <c r="G491">
        <v>106.64</v>
      </c>
      <c r="H491" s="9">
        <v>0</v>
      </c>
      <c r="I491" s="9">
        <v>106.64</v>
      </c>
    </row>
    <row r="492" spans="1:9" x14ac:dyDescent="0.3">
      <c r="A492">
        <v>491</v>
      </c>
      <c r="B492" t="s">
        <v>392</v>
      </c>
      <c r="C492">
        <v>6</v>
      </c>
      <c r="D492">
        <v>5</v>
      </c>
      <c r="E492">
        <v>42</v>
      </c>
      <c r="F492">
        <v>2</v>
      </c>
      <c r="G492">
        <v>127.97</v>
      </c>
      <c r="H492" s="9">
        <v>0</v>
      </c>
      <c r="I492" s="9">
        <v>255.94</v>
      </c>
    </row>
    <row r="493" spans="1:9" x14ac:dyDescent="0.3">
      <c r="A493">
        <v>492</v>
      </c>
      <c r="B493" t="s">
        <v>320</v>
      </c>
      <c r="C493">
        <v>6</v>
      </c>
      <c r="D493">
        <v>104</v>
      </c>
      <c r="E493">
        <v>4</v>
      </c>
      <c r="F493">
        <v>2</v>
      </c>
      <c r="G493">
        <v>168</v>
      </c>
      <c r="H493" s="9">
        <v>0</v>
      </c>
      <c r="I493" s="9">
        <v>336</v>
      </c>
    </row>
    <row r="494" spans="1:9" x14ac:dyDescent="0.3">
      <c r="A494">
        <v>493</v>
      </c>
      <c r="B494" t="s">
        <v>393</v>
      </c>
      <c r="C494">
        <v>4</v>
      </c>
      <c r="D494">
        <v>167</v>
      </c>
      <c r="E494">
        <v>94</v>
      </c>
      <c r="F494">
        <v>1</v>
      </c>
      <c r="G494">
        <v>163.66</v>
      </c>
      <c r="H494" s="9">
        <v>0</v>
      </c>
      <c r="I494" s="9">
        <v>163.66</v>
      </c>
    </row>
    <row r="495" spans="1:9" x14ac:dyDescent="0.3">
      <c r="A495">
        <v>494</v>
      </c>
      <c r="B495" t="s">
        <v>394</v>
      </c>
      <c r="C495">
        <v>7</v>
      </c>
      <c r="D495">
        <v>134</v>
      </c>
      <c r="E495">
        <v>55</v>
      </c>
      <c r="F495">
        <v>1</v>
      </c>
      <c r="G495">
        <v>193.33</v>
      </c>
      <c r="H495" s="9">
        <v>0</v>
      </c>
      <c r="I495" s="9">
        <v>193.33</v>
      </c>
    </row>
    <row r="496" spans="1:9" x14ac:dyDescent="0.3">
      <c r="A496">
        <v>495</v>
      </c>
      <c r="B496" t="s">
        <v>213</v>
      </c>
      <c r="C496">
        <v>1</v>
      </c>
      <c r="D496">
        <v>188</v>
      </c>
      <c r="E496">
        <v>83</v>
      </c>
      <c r="F496">
        <v>1</v>
      </c>
      <c r="G496">
        <v>109.16</v>
      </c>
      <c r="H496" s="9">
        <v>0.05</v>
      </c>
      <c r="I496" s="9">
        <v>103.7</v>
      </c>
    </row>
    <row r="497" spans="1:9" x14ac:dyDescent="0.3">
      <c r="A497">
        <v>496</v>
      </c>
      <c r="B497" t="s">
        <v>126</v>
      </c>
      <c r="C497">
        <v>1</v>
      </c>
      <c r="D497">
        <v>23</v>
      </c>
      <c r="E497">
        <v>34</v>
      </c>
      <c r="F497">
        <v>3</v>
      </c>
      <c r="G497">
        <v>247.04</v>
      </c>
      <c r="H497" s="9">
        <v>0</v>
      </c>
      <c r="I497" s="9">
        <v>741.12</v>
      </c>
    </row>
    <row r="498" spans="1:9" x14ac:dyDescent="0.3">
      <c r="A498">
        <v>497</v>
      </c>
      <c r="B498" t="s">
        <v>395</v>
      </c>
      <c r="C498">
        <v>6</v>
      </c>
      <c r="D498">
        <v>135</v>
      </c>
      <c r="E498">
        <v>68</v>
      </c>
      <c r="F498">
        <v>1</v>
      </c>
      <c r="G498">
        <v>198.56</v>
      </c>
      <c r="H498" s="9">
        <v>0.05</v>
      </c>
      <c r="I498" s="9">
        <v>188.63</v>
      </c>
    </row>
    <row r="499" spans="1:9" x14ac:dyDescent="0.3">
      <c r="A499">
        <v>498</v>
      </c>
      <c r="B499" t="s">
        <v>396</v>
      </c>
      <c r="C499">
        <v>8</v>
      </c>
      <c r="D499">
        <v>68</v>
      </c>
      <c r="E499">
        <v>26</v>
      </c>
      <c r="F499">
        <v>1</v>
      </c>
      <c r="G499">
        <v>211.87</v>
      </c>
      <c r="H499" s="9">
        <v>0.1</v>
      </c>
      <c r="I499" s="9">
        <v>190.68</v>
      </c>
    </row>
    <row r="500" spans="1:9" x14ac:dyDescent="0.3">
      <c r="A500">
        <v>499</v>
      </c>
      <c r="B500" t="s">
        <v>397</v>
      </c>
      <c r="C500">
        <v>3</v>
      </c>
      <c r="D500">
        <v>10</v>
      </c>
      <c r="E500">
        <v>4</v>
      </c>
      <c r="F500">
        <v>1</v>
      </c>
      <c r="G500">
        <v>168</v>
      </c>
      <c r="H500" s="9">
        <v>0</v>
      </c>
      <c r="I500" s="9">
        <v>168</v>
      </c>
    </row>
    <row r="501" spans="1:9" x14ac:dyDescent="0.3">
      <c r="A501">
        <v>500</v>
      </c>
      <c r="B501" t="s">
        <v>122</v>
      </c>
      <c r="C501">
        <v>6</v>
      </c>
      <c r="D501">
        <v>128</v>
      </c>
      <c r="E501">
        <v>68</v>
      </c>
      <c r="F501">
        <v>1</v>
      </c>
      <c r="G501">
        <v>198.56</v>
      </c>
      <c r="H501" s="9">
        <v>0.05</v>
      </c>
      <c r="I501" s="9">
        <v>188.63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21"/>
  <sheetViews>
    <sheetView topLeftCell="A203" workbookViewId="0"/>
  </sheetViews>
  <sheetFormatPr defaultRowHeight="14.4" x14ac:dyDescent="0.3"/>
  <cols>
    <col min="1" max="1" width="13.33203125" customWidth="1"/>
    <col min="5" max="5" width="13.21875" customWidth="1"/>
    <col min="6" max="6" width="14.5546875" customWidth="1"/>
  </cols>
  <sheetData>
    <row r="1" spans="1:6" x14ac:dyDescent="0.3">
      <c r="A1" s="1" t="s">
        <v>3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417</v>
      </c>
    </row>
    <row r="2" spans="1:6" x14ac:dyDescent="0.3">
      <c r="A2">
        <v>1</v>
      </c>
      <c r="B2" t="s">
        <v>418</v>
      </c>
      <c r="C2" t="s">
        <v>419</v>
      </c>
      <c r="D2" t="s">
        <v>420</v>
      </c>
      <c r="E2" t="s">
        <v>163</v>
      </c>
      <c r="F2" t="s">
        <v>421</v>
      </c>
    </row>
    <row r="3" spans="1:6" x14ac:dyDescent="0.3">
      <c r="A3">
        <v>2</v>
      </c>
      <c r="B3" t="s">
        <v>422</v>
      </c>
      <c r="C3" t="s">
        <v>419</v>
      </c>
      <c r="D3" t="s">
        <v>423</v>
      </c>
      <c r="E3" t="s">
        <v>424</v>
      </c>
      <c r="F3" t="s">
        <v>425</v>
      </c>
    </row>
    <row r="4" spans="1:6" x14ac:dyDescent="0.3">
      <c r="A4">
        <v>3</v>
      </c>
      <c r="B4" t="s">
        <v>426</v>
      </c>
      <c r="C4" t="s">
        <v>427</v>
      </c>
      <c r="D4" t="s">
        <v>428</v>
      </c>
      <c r="E4" t="s">
        <v>429</v>
      </c>
      <c r="F4" t="s">
        <v>425</v>
      </c>
    </row>
    <row r="5" spans="1:6" x14ac:dyDescent="0.3">
      <c r="A5">
        <v>4</v>
      </c>
      <c r="B5" t="s">
        <v>430</v>
      </c>
      <c r="C5" t="s">
        <v>431</v>
      </c>
      <c r="D5" t="s">
        <v>423</v>
      </c>
      <c r="E5" t="s">
        <v>432</v>
      </c>
      <c r="F5" t="s">
        <v>433</v>
      </c>
    </row>
    <row r="6" spans="1:6" x14ac:dyDescent="0.3">
      <c r="A6">
        <v>5</v>
      </c>
      <c r="B6" t="s">
        <v>434</v>
      </c>
      <c r="C6" t="s">
        <v>427</v>
      </c>
      <c r="D6" t="s">
        <v>435</v>
      </c>
      <c r="E6" t="s">
        <v>410</v>
      </c>
      <c r="F6" t="s">
        <v>425</v>
      </c>
    </row>
    <row r="7" spans="1:6" x14ac:dyDescent="0.3">
      <c r="A7">
        <v>6</v>
      </c>
      <c r="B7" t="s">
        <v>436</v>
      </c>
      <c r="C7" t="s">
        <v>419</v>
      </c>
      <c r="D7" t="s">
        <v>437</v>
      </c>
      <c r="E7" t="s">
        <v>438</v>
      </c>
      <c r="F7" t="s">
        <v>425</v>
      </c>
    </row>
    <row r="8" spans="1:6" x14ac:dyDescent="0.3">
      <c r="A8">
        <v>7</v>
      </c>
      <c r="B8" t="s">
        <v>439</v>
      </c>
      <c r="C8" t="s">
        <v>427</v>
      </c>
      <c r="D8" t="s">
        <v>435</v>
      </c>
      <c r="E8" t="s">
        <v>440</v>
      </c>
      <c r="F8" t="s">
        <v>425</v>
      </c>
    </row>
    <row r="9" spans="1:6" x14ac:dyDescent="0.3">
      <c r="A9">
        <v>8</v>
      </c>
      <c r="B9" t="s">
        <v>441</v>
      </c>
      <c r="C9" t="s">
        <v>431</v>
      </c>
      <c r="D9" t="s">
        <v>428</v>
      </c>
      <c r="E9" t="s">
        <v>442</v>
      </c>
      <c r="F9" t="s">
        <v>421</v>
      </c>
    </row>
    <row r="10" spans="1:6" x14ac:dyDescent="0.3">
      <c r="A10">
        <v>9</v>
      </c>
      <c r="B10" t="s">
        <v>443</v>
      </c>
      <c r="C10" t="s">
        <v>419</v>
      </c>
      <c r="D10" t="s">
        <v>435</v>
      </c>
      <c r="E10" t="s">
        <v>407</v>
      </c>
      <c r="F10" t="s">
        <v>433</v>
      </c>
    </row>
    <row r="11" spans="1:6" x14ac:dyDescent="0.3">
      <c r="A11">
        <v>10</v>
      </c>
      <c r="B11" t="s">
        <v>444</v>
      </c>
      <c r="C11" t="s">
        <v>427</v>
      </c>
      <c r="D11" t="s">
        <v>423</v>
      </c>
      <c r="E11" t="s">
        <v>445</v>
      </c>
      <c r="F11" t="s">
        <v>446</v>
      </c>
    </row>
    <row r="12" spans="1:6" x14ac:dyDescent="0.3">
      <c r="A12">
        <v>11</v>
      </c>
      <c r="B12" t="s">
        <v>447</v>
      </c>
      <c r="C12" t="s">
        <v>419</v>
      </c>
      <c r="D12" t="s">
        <v>435</v>
      </c>
      <c r="E12" t="s">
        <v>448</v>
      </c>
      <c r="F12" t="s">
        <v>425</v>
      </c>
    </row>
    <row r="13" spans="1:6" x14ac:dyDescent="0.3">
      <c r="A13">
        <v>12</v>
      </c>
      <c r="B13" t="s">
        <v>449</v>
      </c>
      <c r="C13" t="s">
        <v>431</v>
      </c>
      <c r="D13" t="s">
        <v>423</v>
      </c>
      <c r="E13" t="s">
        <v>450</v>
      </c>
      <c r="F13" t="s">
        <v>421</v>
      </c>
    </row>
    <row r="14" spans="1:6" x14ac:dyDescent="0.3">
      <c r="A14">
        <v>13</v>
      </c>
      <c r="B14" t="s">
        <v>451</v>
      </c>
      <c r="C14" t="s">
        <v>419</v>
      </c>
      <c r="D14" t="s">
        <v>435</v>
      </c>
      <c r="E14" t="s">
        <v>401</v>
      </c>
      <c r="F14" t="s">
        <v>421</v>
      </c>
    </row>
    <row r="15" spans="1:6" x14ac:dyDescent="0.3">
      <c r="A15">
        <v>14</v>
      </c>
      <c r="B15" t="s">
        <v>452</v>
      </c>
      <c r="C15" t="s">
        <v>427</v>
      </c>
      <c r="D15" t="s">
        <v>428</v>
      </c>
      <c r="E15" t="s">
        <v>453</v>
      </c>
      <c r="F15" t="s">
        <v>446</v>
      </c>
    </row>
    <row r="16" spans="1:6" x14ac:dyDescent="0.3">
      <c r="A16">
        <v>15</v>
      </c>
      <c r="B16" t="s">
        <v>454</v>
      </c>
      <c r="C16" t="s">
        <v>427</v>
      </c>
      <c r="D16" t="s">
        <v>428</v>
      </c>
      <c r="E16" t="s">
        <v>455</v>
      </c>
      <c r="F16" t="s">
        <v>433</v>
      </c>
    </row>
    <row r="17" spans="1:6" x14ac:dyDescent="0.3">
      <c r="A17">
        <v>16</v>
      </c>
      <c r="B17" t="s">
        <v>456</v>
      </c>
      <c r="C17" t="s">
        <v>419</v>
      </c>
      <c r="D17" t="s">
        <v>420</v>
      </c>
      <c r="E17" t="s">
        <v>457</v>
      </c>
      <c r="F17" t="s">
        <v>421</v>
      </c>
    </row>
    <row r="18" spans="1:6" x14ac:dyDescent="0.3">
      <c r="A18">
        <v>17</v>
      </c>
      <c r="B18" t="s">
        <v>458</v>
      </c>
      <c r="C18" t="s">
        <v>427</v>
      </c>
      <c r="D18" t="s">
        <v>437</v>
      </c>
      <c r="E18" t="s">
        <v>459</v>
      </c>
      <c r="F18" t="s">
        <v>425</v>
      </c>
    </row>
    <row r="19" spans="1:6" x14ac:dyDescent="0.3">
      <c r="A19">
        <v>18</v>
      </c>
      <c r="B19" t="s">
        <v>460</v>
      </c>
      <c r="C19" t="s">
        <v>431</v>
      </c>
      <c r="D19" t="s">
        <v>435</v>
      </c>
      <c r="E19" t="s">
        <v>461</v>
      </c>
      <c r="F19" t="s">
        <v>425</v>
      </c>
    </row>
    <row r="20" spans="1:6" x14ac:dyDescent="0.3">
      <c r="A20">
        <v>19</v>
      </c>
      <c r="B20" t="s">
        <v>462</v>
      </c>
      <c r="C20" t="s">
        <v>419</v>
      </c>
      <c r="D20" t="s">
        <v>437</v>
      </c>
      <c r="E20" t="s">
        <v>463</v>
      </c>
      <c r="F20" t="s">
        <v>446</v>
      </c>
    </row>
    <row r="21" spans="1:6" x14ac:dyDescent="0.3">
      <c r="A21">
        <v>20</v>
      </c>
      <c r="B21" t="s">
        <v>464</v>
      </c>
      <c r="C21" t="s">
        <v>431</v>
      </c>
      <c r="D21" t="s">
        <v>428</v>
      </c>
      <c r="E21" t="s">
        <v>465</v>
      </c>
      <c r="F21" t="s">
        <v>433</v>
      </c>
    </row>
    <row r="22" spans="1:6" x14ac:dyDescent="0.3">
      <c r="A22">
        <v>21</v>
      </c>
      <c r="B22" t="s">
        <v>466</v>
      </c>
      <c r="C22" t="s">
        <v>427</v>
      </c>
      <c r="D22" t="s">
        <v>428</v>
      </c>
      <c r="E22" t="s">
        <v>116</v>
      </c>
      <c r="F22" t="s">
        <v>421</v>
      </c>
    </row>
    <row r="23" spans="1:6" x14ac:dyDescent="0.3">
      <c r="A23">
        <v>22</v>
      </c>
      <c r="B23" t="s">
        <v>467</v>
      </c>
      <c r="C23" t="s">
        <v>427</v>
      </c>
      <c r="D23" t="s">
        <v>423</v>
      </c>
      <c r="E23" t="s">
        <v>468</v>
      </c>
      <c r="F23" t="s">
        <v>421</v>
      </c>
    </row>
    <row r="24" spans="1:6" x14ac:dyDescent="0.3">
      <c r="A24">
        <v>23</v>
      </c>
      <c r="B24" t="s">
        <v>469</v>
      </c>
      <c r="C24" t="s">
        <v>419</v>
      </c>
      <c r="D24" t="s">
        <v>420</v>
      </c>
      <c r="E24" t="s">
        <v>223</v>
      </c>
      <c r="F24" t="s">
        <v>421</v>
      </c>
    </row>
    <row r="25" spans="1:6" x14ac:dyDescent="0.3">
      <c r="A25">
        <v>24</v>
      </c>
      <c r="B25" t="s">
        <v>470</v>
      </c>
      <c r="C25" t="s">
        <v>431</v>
      </c>
      <c r="D25" t="s">
        <v>420</v>
      </c>
      <c r="E25" t="s">
        <v>471</v>
      </c>
      <c r="F25" t="s">
        <v>433</v>
      </c>
    </row>
    <row r="26" spans="1:6" x14ac:dyDescent="0.3">
      <c r="A26">
        <v>25</v>
      </c>
      <c r="B26" t="s">
        <v>472</v>
      </c>
      <c r="C26" t="s">
        <v>427</v>
      </c>
      <c r="D26" t="s">
        <v>423</v>
      </c>
      <c r="E26" t="s">
        <v>473</v>
      </c>
      <c r="F26" t="s">
        <v>425</v>
      </c>
    </row>
    <row r="27" spans="1:6" x14ac:dyDescent="0.3">
      <c r="A27">
        <v>26</v>
      </c>
      <c r="B27" t="s">
        <v>474</v>
      </c>
      <c r="C27" t="s">
        <v>431</v>
      </c>
      <c r="D27" t="s">
        <v>420</v>
      </c>
      <c r="E27" t="s">
        <v>405</v>
      </c>
      <c r="F27" t="s">
        <v>421</v>
      </c>
    </row>
    <row r="28" spans="1:6" x14ac:dyDescent="0.3">
      <c r="A28">
        <v>27</v>
      </c>
      <c r="B28" t="s">
        <v>475</v>
      </c>
      <c r="C28" t="s">
        <v>431</v>
      </c>
      <c r="D28" t="s">
        <v>428</v>
      </c>
      <c r="E28" t="s">
        <v>476</v>
      </c>
      <c r="F28" t="s">
        <v>421</v>
      </c>
    </row>
    <row r="29" spans="1:6" x14ac:dyDescent="0.3">
      <c r="A29">
        <v>28</v>
      </c>
      <c r="B29" t="s">
        <v>477</v>
      </c>
      <c r="C29" t="s">
        <v>419</v>
      </c>
      <c r="D29" t="s">
        <v>435</v>
      </c>
      <c r="E29" t="s">
        <v>478</v>
      </c>
      <c r="F29" t="s">
        <v>433</v>
      </c>
    </row>
    <row r="30" spans="1:6" x14ac:dyDescent="0.3">
      <c r="A30">
        <v>29</v>
      </c>
      <c r="B30" t="s">
        <v>479</v>
      </c>
      <c r="C30" t="s">
        <v>427</v>
      </c>
      <c r="D30" t="s">
        <v>428</v>
      </c>
      <c r="E30" t="s">
        <v>480</v>
      </c>
      <c r="F30" t="s">
        <v>433</v>
      </c>
    </row>
    <row r="31" spans="1:6" x14ac:dyDescent="0.3">
      <c r="A31">
        <v>30</v>
      </c>
      <c r="B31" t="s">
        <v>481</v>
      </c>
      <c r="C31" t="s">
        <v>431</v>
      </c>
      <c r="D31" t="s">
        <v>428</v>
      </c>
      <c r="E31" t="s">
        <v>482</v>
      </c>
      <c r="F31" t="s">
        <v>421</v>
      </c>
    </row>
    <row r="32" spans="1:6" x14ac:dyDescent="0.3">
      <c r="A32">
        <v>31</v>
      </c>
      <c r="B32" t="s">
        <v>483</v>
      </c>
      <c r="C32" t="s">
        <v>431</v>
      </c>
      <c r="D32" t="s">
        <v>437</v>
      </c>
      <c r="E32" t="s">
        <v>131</v>
      </c>
      <c r="F32" t="s">
        <v>425</v>
      </c>
    </row>
    <row r="33" spans="1:6" x14ac:dyDescent="0.3">
      <c r="A33">
        <v>32</v>
      </c>
      <c r="B33" t="s">
        <v>484</v>
      </c>
      <c r="C33" t="s">
        <v>419</v>
      </c>
      <c r="D33" t="s">
        <v>437</v>
      </c>
      <c r="E33" t="s">
        <v>485</v>
      </c>
      <c r="F33" t="s">
        <v>425</v>
      </c>
    </row>
    <row r="34" spans="1:6" x14ac:dyDescent="0.3">
      <c r="A34">
        <v>33</v>
      </c>
      <c r="B34" t="s">
        <v>486</v>
      </c>
      <c r="C34" t="s">
        <v>427</v>
      </c>
      <c r="D34" t="s">
        <v>420</v>
      </c>
      <c r="E34" t="s">
        <v>487</v>
      </c>
      <c r="F34" t="s">
        <v>425</v>
      </c>
    </row>
    <row r="35" spans="1:6" x14ac:dyDescent="0.3">
      <c r="A35">
        <v>34</v>
      </c>
      <c r="B35" t="s">
        <v>488</v>
      </c>
      <c r="C35" t="s">
        <v>427</v>
      </c>
      <c r="D35" t="s">
        <v>420</v>
      </c>
      <c r="E35" t="s">
        <v>489</v>
      </c>
      <c r="F35" t="s">
        <v>421</v>
      </c>
    </row>
    <row r="36" spans="1:6" x14ac:dyDescent="0.3">
      <c r="A36">
        <v>35</v>
      </c>
      <c r="B36" t="s">
        <v>490</v>
      </c>
      <c r="C36" t="s">
        <v>419</v>
      </c>
      <c r="D36" t="s">
        <v>423</v>
      </c>
      <c r="E36" t="s">
        <v>491</v>
      </c>
      <c r="F36" t="s">
        <v>425</v>
      </c>
    </row>
    <row r="37" spans="1:6" x14ac:dyDescent="0.3">
      <c r="A37">
        <v>36</v>
      </c>
      <c r="B37" t="s">
        <v>492</v>
      </c>
      <c r="C37" t="s">
        <v>419</v>
      </c>
      <c r="D37" t="s">
        <v>420</v>
      </c>
      <c r="E37" t="s">
        <v>493</v>
      </c>
      <c r="F37" t="s">
        <v>425</v>
      </c>
    </row>
    <row r="38" spans="1:6" x14ac:dyDescent="0.3">
      <c r="A38">
        <v>37</v>
      </c>
      <c r="B38" t="s">
        <v>494</v>
      </c>
      <c r="C38" t="s">
        <v>427</v>
      </c>
      <c r="D38" t="s">
        <v>420</v>
      </c>
      <c r="E38" t="s">
        <v>495</v>
      </c>
      <c r="F38" t="s">
        <v>421</v>
      </c>
    </row>
    <row r="39" spans="1:6" x14ac:dyDescent="0.3">
      <c r="A39">
        <v>38</v>
      </c>
      <c r="B39" t="s">
        <v>496</v>
      </c>
      <c r="C39" t="s">
        <v>419</v>
      </c>
      <c r="D39" t="s">
        <v>435</v>
      </c>
      <c r="E39" t="s">
        <v>497</v>
      </c>
      <c r="F39" t="s">
        <v>425</v>
      </c>
    </row>
    <row r="40" spans="1:6" x14ac:dyDescent="0.3">
      <c r="A40">
        <v>39</v>
      </c>
      <c r="B40" t="s">
        <v>498</v>
      </c>
      <c r="C40" t="s">
        <v>419</v>
      </c>
      <c r="D40" t="s">
        <v>428</v>
      </c>
      <c r="E40" t="s">
        <v>499</v>
      </c>
      <c r="F40" t="s">
        <v>421</v>
      </c>
    </row>
    <row r="41" spans="1:6" x14ac:dyDescent="0.3">
      <c r="A41">
        <v>40</v>
      </c>
      <c r="B41" t="s">
        <v>500</v>
      </c>
      <c r="C41" t="s">
        <v>427</v>
      </c>
      <c r="D41" t="s">
        <v>435</v>
      </c>
      <c r="E41" t="s">
        <v>501</v>
      </c>
      <c r="F41" t="s">
        <v>425</v>
      </c>
    </row>
    <row r="42" spans="1:6" x14ac:dyDescent="0.3">
      <c r="A42">
        <v>41</v>
      </c>
      <c r="B42" t="s">
        <v>502</v>
      </c>
      <c r="C42" t="s">
        <v>419</v>
      </c>
      <c r="D42" t="s">
        <v>435</v>
      </c>
      <c r="E42" t="s">
        <v>503</v>
      </c>
      <c r="F42" t="s">
        <v>425</v>
      </c>
    </row>
    <row r="43" spans="1:6" x14ac:dyDescent="0.3">
      <c r="A43">
        <v>42</v>
      </c>
      <c r="B43" t="s">
        <v>504</v>
      </c>
      <c r="C43" t="s">
        <v>427</v>
      </c>
      <c r="D43" t="s">
        <v>420</v>
      </c>
      <c r="E43" t="s">
        <v>505</v>
      </c>
      <c r="F43" t="s">
        <v>421</v>
      </c>
    </row>
    <row r="44" spans="1:6" x14ac:dyDescent="0.3">
      <c r="A44">
        <v>43</v>
      </c>
      <c r="B44" t="s">
        <v>506</v>
      </c>
      <c r="C44" t="s">
        <v>431</v>
      </c>
      <c r="D44" t="s">
        <v>420</v>
      </c>
      <c r="E44" t="s">
        <v>201</v>
      </c>
      <c r="F44" t="s">
        <v>425</v>
      </c>
    </row>
    <row r="45" spans="1:6" x14ac:dyDescent="0.3">
      <c r="A45">
        <v>44</v>
      </c>
      <c r="B45" t="s">
        <v>507</v>
      </c>
      <c r="C45" t="s">
        <v>431</v>
      </c>
      <c r="D45" t="s">
        <v>423</v>
      </c>
      <c r="E45" t="s">
        <v>508</v>
      </c>
      <c r="F45" t="s">
        <v>425</v>
      </c>
    </row>
    <row r="46" spans="1:6" x14ac:dyDescent="0.3">
      <c r="A46">
        <v>45</v>
      </c>
      <c r="B46" t="s">
        <v>509</v>
      </c>
      <c r="C46" t="s">
        <v>427</v>
      </c>
      <c r="D46" t="s">
        <v>423</v>
      </c>
      <c r="E46" t="s">
        <v>510</v>
      </c>
      <c r="F46" t="s">
        <v>425</v>
      </c>
    </row>
    <row r="47" spans="1:6" x14ac:dyDescent="0.3">
      <c r="A47">
        <v>46</v>
      </c>
      <c r="B47" t="s">
        <v>511</v>
      </c>
      <c r="C47" t="s">
        <v>427</v>
      </c>
      <c r="D47" t="s">
        <v>423</v>
      </c>
      <c r="E47" t="s">
        <v>497</v>
      </c>
      <c r="F47" t="s">
        <v>433</v>
      </c>
    </row>
    <row r="48" spans="1:6" x14ac:dyDescent="0.3">
      <c r="A48">
        <v>47</v>
      </c>
      <c r="B48" t="s">
        <v>512</v>
      </c>
      <c r="C48" t="s">
        <v>427</v>
      </c>
      <c r="D48" t="s">
        <v>428</v>
      </c>
      <c r="E48" t="s">
        <v>513</v>
      </c>
      <c r="F48" t="s">
        <v>425</v>
      </c>
    </row>
    <row r="49" spans="1:6" x14ac:dyDescent="0.3">
      <c r="A49">
        <v>48</v>
      </c>
      <c r="B49" t="s">
        <v>514</v>
      </c>
      <c r="C49" t="s">
        <v>419</v>
      </c>
      <c r="D49" t="s">
        <v>420</v>
      </c>
      <c r="E49" t="s">
        <v>515</v>
      </c>
      <c r="F49" t="s">
        <v>446</v>
      </c>
    </row>
    <row r="50" spans="1:6" x14ac:dyDescent="0.3">
      <c r="A50">
        <v>49</v>
      </c>
      <c r="B50" t="s">
        <v>516</v>
      </c>
      <c r="C50" t="s">
        <v>431</v>
      </c>
      <c r="D50" t="s">
        <v>423</v>
      </c>
      <c r="E50" t="s">
        <v>402</v>
      </c>
      <c r="F50" t="s">
        <v>425</v>
      </c>
    </row>
    <row r="51" spans="1:6" x14ac:dyDescent="0.3">
      <c r="A51">
        <v>50</v>
      </c>
      <c r="B51" t="s">
        <v>517</v>
      </c>
      <c r="C51" t="s">
        <v>431</v>
      </c>
      <c r="D51" t="s">
        <v>435</v>
      </c>
      <c r="E51" t="s">
        <v>518</v>
      </c>
      <c r="F51" t="s">
        <v>433</v>
      </c>
    </row>
    <row r="52" spans="1:6" x14ac:dyDescent="0.3">
      <c r="A52">
        <v>51</v>
      </c>
      <c r="B52" t="s">
        <v>519</v>
      </c>
      <c r="C52" t="s">
        <v>427</v>
      </c>
      <c r="D52" t="s">
        <v>420</v>
      </c>
      <c r="E52" t="s">
        <v>520</v>
      </c>
      <c r="F52" t="s">
        <v>446</v>
      </c>
    </row>
    <row r="53" spans="1:6" x14ac:dyDescent="0.3">
      <c r="A53">
        <v>52</v>
      </c>
      <c r="B53" t="s">
        <v>521</v>
      </c>
      <c r="C53" t="s">
        <v>427</v>
      </c>
      <c r="D53" t="s">
        <v>437</v>
      </c>
      <c r="E53" t="s">
        <v>522</v>
      </c>
      <c r="F53" t="s">
        <v>425</v>
      </c>
    </row>
    <row r="54" spans="1:6" x14ac:dyDescent="0.3">
      <c r="A54">
        <v>53</v>
      </c>
      <c r="B54" t="s">
        <v>523</v>
      </c>
      <c r="C54" t="s">
        <v>419</v>
      </c>
      <c r="D54" t="s">
        <v>435</v>
      </c>
      <c r="E54" t="s">
        <v>411</v>
      </c>
      <c r="F54" t="s">
        <v>425</v>
      </c>
    </row>
    <row r="55" spans="1:6" x14ac:dyDescent="0.3">
      <c r="A55">
        <v>54</v>
      </c>
      <c r="B55" t="s">
        <v>524</v>
      </c>
      <c r="C55" t="s">
        <v>431</v>
      </c>
      <c r="D55" t="s">
        <v>420</v>
      </c>
      <c r="E55" t="s">
        <v>525</v>
      </c>
      <c r="F55" t="s">
        <v>421</v>
      </c>
    </row>
    <row r="56" spans="1:6" x14ac:dyDescent="0.3">
      <c r="A56">
        <v>55</v>
      </c>
      <c r="B56" t="s">
        <v>526</v>
      </c>
      <c r="C56" t="s">
        <v>431</v>
      </c>
      <c r="D56" t="s">
        <v>437</v>
      </c>
      <c r="E56" t="s">
        <v>527</v>
      </c>
      <c r="F56" t="s">
        <v>425</v>
      </c>
    </row>
    <row r="57" spans="1:6" x14ac:dyDescent="0.3">
      <c r="A57">
        <v>56</v>
      </c>
      <c r="B57" t="s">
        <v>528</v>
      </c>
      <c r="C57" t="s">
        <v>427</v>
      </c>
      <c r="D57" t="s">
        <v>428</v>
      </c>
      <c r="E57" t="s">
        <v>529</v>
      </c>
      <c r="F57" t="s">
        <v>433</v>
      </c>
    </row>
    <row r="58" spans="1:6" x14ac:dyDescent="0.3">
      <c r="A58">
        <v>57</v>
      </c>
      <c r="B58" t="s">
        <v>530</v>
      </c>
      <c r="C58" t="s">
        <v>431</v>
      </c>
      <c r="D58" t="s">
        <v>420</v>
      </c>
      <c r="E58" t="s">
        <v>531</v>
      </c>
      <c r="F58" t="s">
        <v>446</v>
      </c>
    </row>
    <row r="59" spans="1:6" x14ac:dyDescent="0.3">
      <c r="A59">
        <v>58</v>
      </c>
      <c r="B59" t="s">
        <v>532</v>
      </c>
      <c r="C59" t="s">
        <v>431</v>
      </c>
      <c r="D59" t="s">
        <v>420</v>
      </c>
      <c r="E59" t="s">
        <v>533</v>
      </c>
      <c r="F59" t="s">
        <v>421</v>
      </c>
    </row>
    <row r="60" spans="1:6" x14ac:dyDescent="0.3">
      <c r="A60">
        <v>59</v>
      </c>
      <c r="B60" t="s">
        <v>534</v>
      </c>
      <c r="C60" t="s">
        <v>431</v>
      </c>
      <c r="D60" t="s">
        <v>435</v>
      </c>
      <c r="E60" t="s">
        <v>409</v>
      </c>
      <c r="F60" t="s">
        <v>425</v>
      </c>
    </row>
    <row r="61" spans="1:6" x14ac:dyDescent="0.3">
      <c r="A61">
        <v>60</v>
      </c>
      <c r="B61" t="s">
        <v>535</v>
      </c>
      <c r="C61" t="s">
        <v>431</v>
      </c>
      <c r="D61" t="s">
        <v>428</v>
      </c>
      <c r="E61" t="s">
        <v>536</v>
      </c>
      <c r="F61" t="s">
        <v>421</v>
      </c>
    </row>
    <row r="62" spans="1:6" x14ac:dyDescent="0.3">
      <c r="A62">
        <v>61</v>
      </c>
      <c r="B62" t="s">
        <v>537</v>
      </c>
      <c r="C62" t="s">
        <v>431</v>
      </c>
      <c r="D62" t="s">
        <v>435</v>
      </c>
      <c r="E62" t="s">
        <v>249</v>
      </c>
      <c r="F62" t="s">
        <v>421</v>
      </c>
    </row>
    <row r="63" spans="1:6" x14ac:dyDescent="0.3">
      <c r="A63">
        <v>62</v>
      </c>
      <c r="B63" t="s">
        <v>538</v>
      </c>
      <c r="C63" t="s">
        <v>419</v>
      </c>
      <c r="D63" t="s">
        <v>437</v>
      </c>
      <c r="E63" t="s">
        <v>539</v>
      </c>
      <c r="F63" t="s">
        <v>433</v>
      </c>
    </row>
    <row r="64" spans="1:6" x14ac:dyDescent="0.3">
      <c r="A64">
        <v>63</v>
      </c>
      <c r="B64" t="s">
        <v>540</v>
      </c>
      <c r="C64" t="s">
        <v>419</v>
      </c>
      <c r="D64" t="s">
        <v>437</v>
      </c>
      <c r="E64" t="s">
        <v>541</v>
      </c>
      <c r="F64" t="s">
        <v>425</v>
      </c>
    </row>
    <row r="65" spans="1:6" x14ac:dyDescent="0.3">
      <c r="A65">
        <v>64</v>
      </c>
      <c r="B65" t="s">
        <v>542</v>
      </c>
      <c r="C65" t="s">
        <v>431</v>
      </c>
      <c r="D65" t="s">
        <v>437</v>
      </c>
      <c r="E65" t="s">
        <v>543</v>
      </c>
      <c r="F65" t="s">
        <v>425</v>
      </c>
    </row>
    <row r="66" spans="1:6" x14ac:dyDescent="0.3">
      <c r="A66">
        <v>65</v>
      </c>
      <c r="B66" t="s">
        <v>544</v>
      </c>
      <c r="C66" t="s">
        <v>431</v>
      </c>
      <c r="D66" t="s">
        <v>420</v>
      </c>
      <c r="E66" t="s">
        <v>545</v>
      </c>
      <c r="F66" t="s">
        <v>425</v>
      </c>
    </row>
    <row r="67" spans="1:6" x14ac:dyDescent="0.3">
      <c r="A67">
        <v>66</v>
      </c>
      <c r="B67" t="s">
        <v>546</v>
      </c>
      <c r="C67" t="s">
        <v>431</v>
      </c>
      <c r="D67" t="s">
        <v>420</v>
      </c>
      <c r="E67" t="s">
        <v>547</v>
      </c>
      <c r="F67" t="s">
        <v>421</v>
      </c>
    </row>
    <row r="68" spans="1:6" x14ac:dyDescent="0.3">
      <c r="A68">
        <v>67</v>
      </c>
      <c r="B68" t="s">
        <v>548</v>
      </c>
      <c r="C68" t="s">
        <v>427</v>
      </c>
      <c r="D68" t="s">
        <v>423</v>
      </c>
      <c r="E68" t="s">
        <v>549</v>
      </c>
      <c r="F68" t="s">
        <v>433</v>
      </c>
    </row>
    <row r="69" spans="1:6" x14ac:dyDescent="0.3">
      <c r="A69">
        <v>68</v>
      </c>
      <c r="B69" t="s">
        <v>550</v>
      </c>
      <c r="C69" t="s">
        <v>431</v>
      </c>
      <c r="D69" t="s">
        <v>437</v>
      </c>
      <c r="E69" t="s">
        <v>551</v>
      </c>
      <c r="F69" t="s">
        <v>425</v>
      </c>
    </row>
    <row r="70" spans="1:6" x14ac:dyDescent="0.3">
      <c r="A70">
        <v>69</v>
      </c>
      <c r="B70" t="s">
        <v>552</v>
      </c>
      <c r="C70" t="s">
        <v>419</v>
      </c>
      <c r="D70" t="s">
        <v>437</v>
      </c>
      <c r="E70" t="s">
        <v>553</v>
      </c>
      <c r="F70" t="s">
        <v>421</v>
      </c>
    </row>
    <row r="71" spans="1:6" x14ac:dyDescent="0.3">
      <c r="A71">
        <v>70</v>
      </c>
      <c r="B71" t="s">
        <v>554</v>
      </c>
      <c r="C71" t="s">
        <v>419</v>
      </c>
      <c r="D71" t="s">
        <v>428</v>
      </c>
      <c r="E71" t="s">
        <v>555</v>
      </c>
      <c r="F71" t="s">
        <v>425</v>
      </c>
    </row>
    <row r="72" spans="1:6" x14ac:dyDescent="0.3">
      <c r="A72">
        <v>71</v>
      </c>
      <c r="B72" t="s">
        <v>556</v>
      </c>
      <c r="C72" t="s">
        <v>419</v>
      </c>
      <c r="D72" t="s">
        <v>437</v>
      </c>
      <c r="E72" t="s">
        <v>557</v>
      </c>
      <c r="F72" t="s">
        <v>433</v>
      </c>
    </row>
    <row r="73" spans="1:6" x14ac:dyDescent="0.3">
      <c r="A73">
        <v>72</v>
      </c>
      <c r="B73" t="s">
        <v>558</v>
      </c>
      <c r="C73" t="s">
        <v>431</v>
      </c>
      <c r="D73" t="s">
        <v>437</v>
      </c>
      <c r="E73" t="s">
        <v>559</v>
      </c>
      <c r="F73" t="s">
        <v>425</v>
      </c>
    </row>
    <row r="74" spans="1:6" x14ac:dyDescent="0.3">
      <c r="A74">
        <v>73</v>
      </c>
      <c r="B74" t="s">
        <v>560</v>
      </c>
      <c r="C74" t="s">
        <v>419</v>
      </c>
      <c r="D74" t="s">
        <v>428</v>
      </c>
      <c r="E74" t="s">
        <v>561</v>
      </c>
      <c r="F74" t="s">
        <v>425</v>
      </c>
    </row>
    <row r="75" spans="1:6" x14ac:dyDescent="0.3">
      <c r="A75">
        <v>74</v>
      </c>
      <c r="B75" t="s">
        <v>562</v>
      </c>
      <c r="C75" t="s">
        <v>419</v>
      </c>
      <c r="D75" t="s">
        <v>423</v>
      </c>
      <c r="E75" t="s">
        <v>563</v>
      </c>
      <c r="F75" t="s">
        <v>421</v>
      </c>
    </row>
    <row r="76" spans="1:6" x14ac:dyDescent="0.3">
      <c r="A76">
        <v>75</v>
      </c>
      <c r="B76" t="s">
        <v>564</v>
      </c>
      <c r="C76" t="s">
        <v>419</v>
      </c>
      <c r="D76" t="s">
        <v>437</v>
      </c>
      <c r="E76" t="s">
        <v>565</v>
      </c>
      <c r="F76" t="s">
        <v>421</v>
      </c>
    </row>
    <row r="77" spans="1:6" x14ac:dyDescent="0.3">
      <c r="A77">
        <v>76</v>
      </c>
      <c r="B77" t="s">
        <v>566</v>
      </c>
      <c r="C77" t="s">
        <v>431</v>
      </c>
      <c r="D77" t="s">
        <v>420</v>
      </c>
      <c r="E77" t="s">
        <v>567</v>
      </c>
      <c r="F77" t="s">
        <v>421</v>
      </c>
    </row>
    <row r="78" spans="1:6" x14ac:dyDescent="0.3">
      <c r="A78">
        <v>77</v>
      </c>
      <c r="B78" t="s">
        <v>568</v>
      </c>
      <c r="C78" t="s">
        <v>427</v>
      </c>
      <c r="D78" t="s">
        <v>420</v>
      </c>
      <c r="E78" t="s">
        <v>569</v>
      </c>
      <c r="F78" t="s">
        <v>425</v>
      </c>
    </row>
    <row r="79" spans="1:6" x14ac:dyDescent="0.3">
      <c r="A79">
        <v>78</v>
      </c>
      <c r="B79" t="s">
        <v>570</v>
      </c>
      <c r="C79" t="s">
        <v>431</v>
      </c>
      <c r="D79" t="s">
        <v>437</v>
      </c>
      <c r="E79" t="s">
        <v>571</v>
      </c>
      <c r="F79" t="s">
        <v>425</v>
      </c>
    </row>
    <row r="80" spans="1:6" x14ac:dyDescent="0.3">
      <c r="A80">
        <v>79</v>
      </c>
      <c r="B80" t="s">
        <v>572</v>
      </c>
      <c r="C80" t="s">
        <v>419</v>
      </c>
      <c r="D80" t="s">
        <v>435</v>
      </c>
      <c r="E80" t="s">
        <v>573</v>
      </c>
      <c r="F80" t="s">
        <v>421</v>
      </c>
    </row>
    <row r="81" spans="1:6" x14ac:dyDescent="0.3">
      <c r="A81">
        <v>80</v>
      </c>
      <c r="B81" t="s">
        <v>574</v>
      </c>
      <c r="C81" t="s">
        <v>431</v>
      </c>
      <c r="D81" t="s">
        <v>423</v>
      </c>
      <c r="E81" t="s">
        <v>575</v>
      </c>
      <c r="F81" t="s">
        <v>421</v>
      </c>
    </row>
    <row r="82" spans="1:6" x14ac:dyDescent="0.3">
      <c r="A82">
        <v>81</v>
      </c>
      <c r="B82" t="s">
        <v>576</v>
      </c>
      <c r="C82" t="s">
        <v>427</v>
      </c>
      <c r="D82" t="s">
        <v>428</v>
      </c>
      <c r="E82" t="s">
        <v>398</v>
      </c>
      <c r="F82" t="s">
        <v>421</v>
      </c>
    </row>
    <row r="83" spans="1:6" x14ac:dyDescent="0.3">
      <c r="A83">
        <v>82</v>
      </c>
      <c r="B83" t="s">
        <v>577</v>
      </c>
      <c r="C83" t="s">
        <v>431</v>
      </c>
      <c r="D83" t="s">
        <v>420</v>
      </c>
      <c r="E83" t="s">
        <v>578</v>
      </c>
      <c r="F83" t="s">
        <v>425</v>
      </c>
    </row>
    <row r="84" spans="1:6" x14ac:dyDescent="0.3">
      <c r="A84">
        <v>83</v>
      </c>
      <c r="B84" t="s">
        <v>579</v>
      </c>
      <c r="C84" t="s">
        <v>431</v>
      </c>
      <c r="D84" t="s">
        <v>437</v>
      </c>
      <c r="E84" t="s">
        <v>580</v>
      </c>
      <c r="F84" t="s">
        <v>425</v>
      </c>
    </row>
    <row r="85" spans="1:6" x14ac:dyDescent="0.3">
      <c r="A85">
        <v>84</v>
      </c>
      <c r="B85" t="s">
        <v>581</v>
      </c>
      <c r="C85" t="s">
        <v>419</v>
      </c>
      <c r="D85" t="s">
        <v>420</v>
      </c>
      <c r="E85" t="s">
        <v>582</v>
      </c>
      <c r="F85" t="s">
        <v>425</v>
      </c>
    </row>
    <row r="86" spans="1:6" x14ac:dyDescent="0.3">
      <c r="A86">
        <v>85</v>
      </c>
      <c r="B86" t="s">
        <v>583</v>
      </c>
      <c r="C86" t="s">
        <v>427</v>
      </c>
      <c r="D86" t="s">
        <v>428</v>
      </c>
      <c r="E86" t="s">
        <v>584</v>
      </c>
      <c r="F86" t="s">
        <v>421</v>
      </c>
    </row>
    <row r="87" spans="1:6" x14ac:dyDescent="0.3">
      <c r="A87">
        <v>86</v>
      </c>
      <c r="B87" t="s">
        <v>585</v>
      </c>
      <c r="C87" t="s">
        <v>431</v>
      </c>
      <c r="D87" t="s">
        <v>423</v>
      </c>
      <c r="E87" t="s">
        <v>586</v>
      </c>
      <c r="F87" t="s">
        <v>433</v>
      </c>
    </row>
    <row r="88" spans="1:6" x14ac:dyDescent="0.3">
      <c r="A88">
        <v>87</v>
      </c>
      <c r="B88" t="s">
        <v>587</v>
      </c>
      <c r="C88" t="s">
        <v>431</v>
      </c>
      <c r="D88" t="s">
        <v>437</v>
      </c>
      <c r="E88" t="s">
        <v>588</v>
      </c>
      <c r="F88" t="s">
        <v>421</v>
      </c>
    </row>
    <row r="89" spans="1:6" x14ac:dyDescent="0.3">
      <c r="A89">
        <v>88</v>
      </c>
      <c r="B89" t="s">
        <v>589</v>
      </c>
      <c r="C89" t="s">
        <v>419</v>
      </c>
      <c r="D89" t="s">
        <v>423</v>
      </c>
      <c r="E89" t="s">
        <v>590</v>
      </c>
      <c r="F89" t="s">
        <v>425</v>
      </c>
    </row>
    <row r="90" spans="1:6" x14ac:dyDescent="0.3">
      <c r="A90">
        <v>89</v>
      </c>
      <c r="B90" t="s">
        <v>591</v>
      </c>
      <c r="C90" t="s">
        <v>419</v>
      </c>
      <c r="D90" t="s">
        <v>420</v>
      </c>
      <c r="E90" t="s">
        <v>258</v>
      </c>
      <c r="F90" t="s">
        <v>425</v>
      </c>
    </row>
    <row r="91" spans="1:6" x14ac:dyDescent="0.3">
      <c r="A91">
        <v>90</v>
      </c>
      <c r="B91" t="s">
        <v>592</v>
      </c>
      <c r="C91" t="s">
        <v>427</v>
      </c>
      <c r="D91" t="s">
        <v>423</v>
      </c>
      <c r="E91" t="s">
        <v>593</v>
      </c>
      <c r="F91" t="s">
        <v>425</v>
      </c>
    </row>
    <row r="92" spans="1:6" x14ac:dyDescent="0.3">
      <c r="A92">
        <v>91</v>
      </c>
      <c r="B92" t="s">
        <v>594</v>
      </c>
      <c r="C92" t="s">
        <v>427</v>
      </c>
      <c r="D92" t="s">
        <v>437</v>
      </c>
      <c r="E92" t="s">
        <v>595</v>
      </c>
      <c r="F92" t="s">
        <v>433</v>
      </c>
    </row>
    <row r="93" spans="1:6" x14ac:dyDescent="0.3">
      <c r="A93">
        <v>92</v>
      </c>
      <c r="B93" t="s">
        <v>596</v>
      </c>
      <c r="C93" t="s">
        <v>431</v>
      </c>
      <c r="D93" t="s">
        <v>420</v>
      </c>
      <c r="E93" t="s">
        <v>597</v>
      </c>
      <c r="F93" t="s">
        <v>421</v>
      </c>
    </row>
    <row r="94" spans="1:6" x14ac:dyDescent="0.3">
      <c r="A94">
        <v>93</v>
      </c>
      <c r="B94" t="s">
        <v>598</v>
      </c>
      <c r="C94" t="s">
        <v>427</v>
      </c>
      <c r="D94" t="s">
        <v>437</v>
      </c>
      <c r="E94" t="s">
        <v>599</v>
      </c>
      <c r="F94" t="s">
        <v>433</v>
      </c>
    </row>
    <row r="95" spans="1:6" x14ac:dyDescent="0.3">
      <c r="A95">
        <v>94</v>
      </c>
      <c r="B95" t="s">
        <v>600</v>
      </c>
      <c r="C95" t="s">
        <v>427</v>
      </c>
      <c r="D95" t="s">
        <v>437</v>
      </c>
      <c r="E95" t="s">
        <v>601</v>
      </c>
      <c r="F95" t="s">
        <v>421</v>
      </c>
    </row>
    <row r="96" spans="1:6" x14ac:dyDescent="0.3">
      <c r="A96">
        <v>95</v>
      </c>
      <c r="B96" t="s">
        <v>602</v>
      </c>
      <c r="C96" t="s">
        <v>419</v>
      </c>
      <c r="D96" t="s">
        <v>428</v>
      </c>
      <c r="E96" t="s">
        <v>603</v>
      </c>
      <c r="F96" t="s">
        <v>425</v>
      </c>
    </row>
    <row r="97" spans="1:6" x14ac:dyDescent="0.3">
      <c r="A97">
        <v>96</v>
      </c>
      <c r="B97" t="s">
        <v>604</v>
      </c>
      <c r="C97" t="s">
        <v>431</v>
      </c>
      <c r="D97" t="s">
        <v>437</v>
      </c>
      <c r="E97" t="s">
        <v>605</v>
      </c>
      <c r="F97" t="s">
        <v>425</v>
      </c>
    </row>
    <row r="98" spans="1:6" x14ac:dyDescent="0.3">
      <c r="A98">
        <v>97</v>
      </c>
      <c r="B98" t="s">
        <v>606</v>
      </c>
      <c r="C98" t="s">
        <v>431</v>
      </c>
      <c r="D98" t="s">
        <v>420</v>
      </c>
      <c r="E98" t="s">
        <v>522</v>
      </c>
      <c r="F98" t="s">
        <v>421</v>
      </c>
    </row>
    <row r="99" spans="1:6" x14ac:dyDescent="0.3">
      <c r="A99">
        <v>98</v>
      </c>
      <c r="B99" t="s">
        <v>607</v>
      </c>
      <c r="C99" t="s">
        <v>419</v>
      </c>
      <c r="D99" t="s">
        <v>437</v>
      </c>
      <c r="E99" t="s">
        <v>608</v>
      </c>
      <c r="F99" t="s">
        <v>425</v>
      </c>
    </row>
    <row r="100" spans="1:6" x14ac:dyDescent="0.3">
      <c r="A100">
        <v>99</v>
      </c>
      <c r="B100" t="s">
        <v>609</v>
      </c>
      <c r="C100" t="s">
        <v>431</v>
      </c>
      <c r="D100" t="s">
        <v>435</v>
      </c>
      <c r="E100" t="s">
        <v>610</v>
      </c>
      <c r="F100" t="s">
        <v>433</v>
      </c>
    </row>
    <row r="101" spans="1:6" x14ac:dyDescent="0.3">
      <c r="A101">
        <v>100</v>
      </c>
      <c r="B101" t="s">
        <v>611</v>
      </c>
      <c r="C101" t="s">
        <v>427</v>
      </c>
      <c r="D101" t="s">
        <v>420</v>
      </c>
      <c r="E101" t="s">
        <v>612</v>
      </c>
      <c r="F101" t="s">
        <v>421</v>
      </c>
    </row>
    <row r="102" spans="1:6" x14ac:dyDescent="0.3">
      <c r="A102">
        <v>101</v>
      </c>
      <c r="B102" t="s">
        <v>613</v>
      </c>
      <c r="C102" t="s">
        <v>419</v>
      </c>
      <c r="D102" t="s">
        <v>428</v>
      </c>
      <c r="E102" t="s">
        <v>614</v>
      </c>
      <c r="F102" t="s">
        <v>421</v>
      </c>
    </row>
    <row r="103" spans="1:6" x14ac:dyDescent="0.3">
      <c r="A103">
        <v>102</v>
      </c>
      <c r="B103" t="s">
        <v>615</v>
      </c>
      <c r="C103" t="s">
        <v>419</v>
      </c>
      <c r="D103" t="s">
        <v>423</v>
      </c>
      <c r="E103" t="s">
        <v>616</v>
      </c>
      <c r="F103" t="s">
        <v>425</v>
      </c>
    </row>
    <row r="104" spans="1:6" x14ac:dyDescent="0.3">
      <c r="A104">
        <v>103</v>
      </c>
      <c r="B104" t="s">
        <v>617</v>
      </c>
      <c r="C104" t="s">
        <v>419</v>
      </c>
      <c r="D104" t="s">
        <v>437</v>
      </c>
      <c r="E104" t="s">
        <v>618</v>
      </c>
      <c r="F104" t="s">
        <v>421</v>
      </c>
    </row>
    <row r="105" spans="1:6" x14ac:dyDescent="0.3">
      <c r="A105">
        <v>104</v>
      </c>
      <c r="B105" t="s">
        <v>619</v>
      </c>
      <c r="C105" t="s">
        <v>431</v>
      </c>
      <c r="D105" t="s">
        <v>437</v>
      </c>
      <c r="E105" t="s">
        <v>358</v>
      </c>
      <c r="F105" t="s">
        <v>421</v>
      </c>
    </row>
    <row r="106" spans="1:6" x14ac:dyDescent="0.3">
      <c r="A106">
        <v>105</v>
      </c>
      <c r="B106" t="s">
        <v>620</v>
      </c>
      <c r="C106" t="s">
        <v>427</v>
      </c>
      <c r="D106" t="s">
        <v>437</v>
      </c>
      <c r="E106" t="s">
        <v>107</v>
      </c>
      <c r="F106" t="s">
        <v>425</v>
      </c>
    </row>
    <row r="107" spans="1:6" x14ac:dyDescent="0.3">
      <c r="A107">
        <v>106</v>
      </c>
      <c r="B107" t="s">
        <v>621</v>
      </c>
      <c r="C107" t="s">
        <v>419</v>
      </c>
      <c r="D107" t="s">
        <v>423</v>
      </c>
      <c r="E107" t="s">
        <v>622</v>
      </c>
      <c r="F107" t="s">
        <v>425</v>
      </c>
    </row>
    <row r="108" spans="1:6" x14ac:dyDescent="0.3">
      <c r="A108">
        <v>107</v>
      </c>
      <c r="B108" t="s">
        <v>623</v>
      </c>
      <c r="C108" t="s">
        <v>427</v>
      </c>
      <c r="D108" t="s">
        <v>423</v>
      </c>
      <c r="E108" t="s">
        <v>624</v>
      </c>
      <c r="F108" t="s">
        <v>421</v>
      </c>
    </row>
    <row r="109" spans="1:6" x14ac:dyDescent="0.3">
      <c r="A109">
        <v>108</v>
      </c>
      <c r="B109" t="s">
        <v>625</v>
      </c>
      <c r="C109" t="s">
        <v>427</v>
      </c>
      <c r="D109" t="s">
        <v>428</v>
      </c>
      <c r="E109" t="s">
        <v>626</v>
      </c>
      <c r="F109" t="s">
        <v>433</v>
      </c>
    </row>
    <row r="110" spans="1:6" x14ac:dyDescent="0.3">
      <c r="A110">
        <v>109</v>
      </c>
      <c r="B110" t="s">
        <v>627</v>
      </c>
      <c r="C110" t="s">
        <v>427</v>
      </c>
      <c r="D110" t="s">
        <v>423</v>
      </c>
      <c r="E110" t="s">
        <v>628</v>
      </c>
      <c r="F110" t="s">
        <v>425</v>
      </c>
    </row>
    <row r="111" spans="1:6" x14ac:dyDescent="0.3">
      <c r="A111">
        <v>110</v>
      </c>
      <c r="B111" t="s">
        <v>629</v>
      </c>
      <c r="C111" t="s">
        <v>419</v>
      </c>
      <c r="D111" t="s">
        <v>437</v>
      </c>
      <c r="E111" t="s">
        <v>630</v>
      </c>
      <c r="F111" t="s">
        <v>425</v>
      </c>
    </row>
    <row r="112" spans="1:6" x14ac:dyDescent="0.3">
      <c r="A112">
        <v>111</v>
      </c>
      <c r="B112" t="s">
        <v>631</v>
      </c>
      <c r="C112" t="s">
        <v>419</v>
      </c>
      <c r="D112" t="s">
        <v>423</v>
      </c>
      <c r="E112" t="s">
        <v>632</v>
      </c>
      <c r="F112" t="s">
        <v>421</v>
      </c>
    </row>
    <row r="113" spans="1:6" x14ac:dyDescent="0.3">
      <c r="A113">
        <v>112</v>
      </c>
      <c r="B113" t="s">
        <v>633</v>
      </c>
      <c r="C113" t="s">
        <v>419</v>
      </c>
      <c r="D113" t="s">
        <v>423</v>
      </c>
      <c r="E113" t="s">
        <v>634</v>
      </c>
      <c r="F113" t="s">
        <v>421</v>
      </c>
    </row>
    <row r="114" spans="1:6" x14ac:dyDescent="0.3">
      <c r="A114">
        <v>113</v>
      </c>
      <c r="B114" t="s">
        <v>635</v>
      </c>
      <c r="C114" t="s">
        <v>419</v>
      </c>
      <c r="D114" t="s">
        <v>428</v>
      </c>
      <c r="E114" t="s">
        <v>636</v>
      </c>
      <c r="F114" t="s">
        <v>425</v>
      </c>
    </row>
    <row r="115" spans="1:6" x14ac:dyDescent="0.3">
      <c r="A115">
        <v>114</v>
      </c>
      <c r="B115" t="s">
        <v>637</v>
      </c>
      <c r="C115" t="s">
        <v>431</v>
      </c>
      <c r="D115" t="s">
        <v>437</v>
      </c>
      <c r="E115" t="s">
        <v>638</v>
      </c>
      <c r="F115" t="s">
        <v>425</v>
      </c>
    </row>
    <row r="116" spans="1:6" x14ac:dyDescent="0.3">
      <c r="A116">
        <v>115</v>
      </c>
      <c r="B116" t="s">
        <v>639</v>
      </c>
      <c r="C116" t="s">
        <v>431</v>
      </c>
      <c r="D116" t="s">
        <v>420</v>
      </c>
      <c r="E116" t="s">
        <v>640</v>
      </c>
      <c r="F116" t="s">
        <v>425</v>
      </c>
    </row>
    <row r="117" spans="1:6" x14ac:dyDescent="0.3">
      <c r="A117">
        <v>116</v>
      </c>
      <c r="B117" t="s">
        <v>641</v>
      </c>
      <c r="C117" t="s">
        <v>419</v>
      </c>
      <c r="D117" t="s">
        <v>420</v>
      </c>
      <c r="E117" t="s">
        <v>642</v>
      </c>
      <c r="F117" t="s">
        <v>425</v>
      </c>
    </row>
    <row r="118" spans="1:6" x14ac:dyDescent="0.3">
      <c r="A118">
        <v>117</v>
      </c>
      <c r="B118" t="s">
        <v>643</v>
      </c>
      <c r="C118" t="s">
        <v>419</v>
      </c>
      <c r="D118" t="s">
        <v>423</v>
      </c>
      <c r="E118" t="s">
        <v>644</v>
      </c>
      <c r="F118" t="s">
        <v>421</v>
      </c>
    </row>
    <row r="119" spans="1:6" x14ac:dyDescent="0.3">
      <c r="A119">
        <v>118</v>
      </c>
      <c r="B119" t="s">
        <v>645</v>
      </c>
      <c r="C119" t="s">
        <v>427</v>
      </c>
      <c r="D119" t="s">
        <v>435</v>
      </c>
      <c r="E119" t="s">
        <v>646</v>
      </c>
      <c r="F119" t="s">
        <v>425</v>
      </c>
    </row>
    <row r="120" spans="1:6" x14ac:dyDescent="0.3">
      <c r="A120">
        <v>119</v>
      </c>
      <c r="B120" t="s">
        <v>647</v>
      </c>
      <c r="C120" t="s">
        <v>419</v>
      </c>
      <c r="D120" t="s">
        <v>420</v>
      </c>
      <c r="E120" t="s">
        <v>648</v>
      </c>
      <c r="F120" t="s">
        <v>433</v>
      </c>
    </row>
    <row r="121" spans="1:6" x14ac:dyDescent="0.3">
      <c r="A121">
        <v>120</v>
      </c>
      <c r="B121" t="s">
        <v>649</v>
      </c>
      <c r="C121" t="s">
        <v>431</v>
      </c>
      <c r="D121" t="s">
        <v>435</v>
      </c>
      <c r="E121" t="s">
        <v>650</v>
      </c>
      <c r="F121" t="s">
        <v>425</v>
      </c>
    </row>
    <row r="122" spans="1:6" x14ac:dyDescent="0.3">
      <c r="A122">
        <v>121</v>
      </c>
      <c r="B122" t="s">
        <v>651</v>
      </c>
      <c r="C122" t="s">
        <v>419</v>
      </c>
      <c r="D122" t="s">
        <v>428</v>
      </c>
      <c r="E122" t="s">
        <v>652</v>
      </c>
      <c r="F122" t="s">
        <v>425</v>
      </c>
    </row>
    <row r="123" spans="1:6" x14ac:dyDescent="0.3">
      <c r="A123">
        <v>122</v>
      </c>
      <c r="B123" t="s">
        <v>653</v>
      </c>
      <c r="C123" t="s">
        <v>431</v>
      </c>
      <c r="D123" t="s">
        <v>420</v>
      </c>
      <c r="E123" t="s">
        <v>654</v>
      </c>
      <c r="F123" t="s">
        <v>425</v>
      </c>
    </row>
    <row r="124" spans="1:6" x14ac:dyDescent="0.3">
      <c r="A124">
        <v>123</v>
      </c>
      <c r="B124" t="s">
        <v>655</v>
      </c>
      <c r="C124" t="s">
        <v>427</v>
      </c>
      <c r="D124" t="s">
        <v>428</v>
      </c>
      <c r="E124" t="s">
        <v>656</v>
      </c>
      <c r="F124" t="s">
        <v>446</v>
      </c>
    </row>
    <row r="125" spans="1:6" x14ac:dyDescent="0.3">
      <c r="A125">
        <v>124</v>
      </c>
      <c r="B125" t="s">
        <v>657</v>
      </c>
      <c r="C125" t="s">
        <v>427</v>
      </c>
      <c r="D125" t="s">
        <v>435</v>
      </c>
      <c r="E125" t="s">
        <v>403</v>
      </c>
      <c r="F125" t="s">
        <v>421</v>
      </c>
    </row>
    <row r="126" spans="1:6" x14ac:dyDescent="0.3">
      <c r="A126">
        <v>125</v>
      </c>
      <c r="B126" t="s">
        <v>658</v>
      </c>
      <c r="C126" t="s">
        <v>419</v>
      </c>
      <c r="D126" t="s">
        <v>435</v>
      </c>
      <c r="E126" t="s">
        <v>659</v>
      </c>
      <c r="F126" t="s">
        <v>433</v>
      </c>
    </row>
    <row r="127" spans="1:6" x14ac:dyDescent="0.3">
      <c r="A127">
        <v>126</v>
      </c>
      <c r="B127" t="s">
        <v>660</v>
      </c>
      <c r="C127" t="s">
        <v>427</v>
      </c>
      <c r="D127" t="s">
        <v>423</v>
      </c>
      <c r="E127" t="s">
        <v>661</v>
      </c>
      <c r="F127" t="s">
        <v>421</v>
      </c>
    </row>
    <row r="128" spans="1:6" x14ac:dyDescent="0.3">
      <c r="A128">
        <v>127</v>
      </c>
      <c r="B128" t="s">
        <v>662</v>
      </c>
      <c r="C128" t="s">
        <v>427</v>
      </c>
      <c r="D128" t="s">
        <v>437</v>
      </c>
      <c r="E128" t="s">
        <v>663</v>
      </c>
      <c r="F128" t="s">
        <v>421</v>
      </c>
    </row>
    <row r="129" spans="1:6" x14ac:dyDescent="0.3">
      <c r="A129">
        <v>128</v>
      </c>
      <c r="B129" t="s">
        <v>664</v>
      </c>
      <c r="C129" t="s">
        <v>419</v>
      </c>
      <c r="D129" t="s">
        <v>437</v>
      </c>
      <c r="E129" t="s">
        <v>665</v>
      </c>
      <c r="F129" t="s">
        <v>421</v>
      </c>
    </row>
    <row r="130" spans="1:6" x14ac:dyDescent="0.3">
      <c r="A130">
        <v>129</v>
      </c>
      <c r="B130" t="s">
        <v>666</v>
      </c>
      <c r="C130" t="s">
        <v>427</v>
      </c>
      <c r="D130" t="s">
        <v>423</v>
      </c>
      <c r="E130" t="s">
        <v>667</v>
      </c>
      <c r="F130" t="s">
        <v>425</v>
      </c>
    </row>
    <row r="131" spans="1:6" x14ac:dyDescent="0.3">
      <c r="A131">
        <v>130</v>
      </c>
      <c r="B131" t="s">
        <v>668</v>
      </c>
      <c r="C131" t="s">
        <v>419</v>
      </c>
      <c r="D131" t="s">
        <v>437</v>
      </c>
      <c r="E131" t="s">
        <v>669</v>
      </c>
      <c r="F131" t="s">
        <v>425</v>
      </c>
    </row>
    <row r="132" spans="1:6" x14ac:dyDescent="0.3">
      <c r="A132">
        <v>131</v>
      </c>
      <c r="B132" t="s">
        <v>670</v>
      </c>
      <c r="C132" t="s">
        <v>427</v>
      </c>
      <c r="D132" t="s">
        <v>428</v>
      </c>
      <c r="E132" t="s">
        <v>671</v>
      </c>
      <c r="F132" t="s">
        <v>425</v>
      </c>
    </row>
    <row r="133" spans="1:6" x14ac:dyDescent="0.3">
      <c r="A133">
        <v>132</v>
      </c>
      <c r="B133" t="s">
        <v>672</v>
      </c>
      <c r="C133" t="s">
        <v>431</v>
      </c>
      <c r="D133" t="s">
        <v>435</v>
      </c>
      <c r="E133" t="s">
        <v>673</v>
      </c>
      <c r="F133" t="s">
        <v>421</v>
      </c>
    </row>
    <row r="134" spans="1:6" x14ac:dyDescent="0.3">
      <c r="A134">
        <v>133</v>
      </c>
      <c r="B134" t="s">
        <v>674</v>
      </c>
      <c r="C134" t="s">
        <v>431</v>
      </c>
      <c r="D134" t="s">
        <v>420</v>
      </c>
      <c r="E134" t="s">
        <v>408</v>
      </c>
      <c r="F134" t="s">
        <v>425</v>
      </c>
    </row>
    <row r="135" spans="1:6" x14ac:dyDescent="0.3">
      <c r="A135">
        <v>134</v>
      </c>
      <c r="B135" t="s">
        <v>675</v>
      </c>
      <c r="C135" t="s">
        <v>419</v>
      </c>
      <c r="D135" t="s">
        <v>435</v>
      </c>
      <c r="E135" t="s">
        <v>676</v>
      </c>
      <c r="F135" t="s">
        <v>425</v>
      </c>
    </row>
    <row r="136" spans="1:6" x14ac:dyDescent="0.3">
      <c r="A136">
        <v>135</v>
      </c>
      <c r="B136" t="s">
        <v>677</v>
      </c>
      <c r="C136" t="s">
        <v>427</v>
      </c>
      <c r="D136" t="s">
        <v>435</v>
      </c>
      <c r="E136" t="s">
        <v>678</v>
      </c>
      <c r="F136" t="s">
        <v>433</v>
      </c>
    </row>
    <row r="137" spans="1:6" x14ac:dyDescent="0.3">
      <c r="A137">
        <v>136</v>
      </c>
      <c r="B137" t="s">
        <v>679</v>
      </c>
      <c r="C137" t="s">
        <v>419</v>
      </c>
      <c r="D137" t="s">
        <v>420</v>
      </c>
      <c r="E137" t="s">
        <v>529</v>
      </c>
      <c r="F137" t="s">
        <v>433</v>
      </c>
    </row>
    <row r="138" spans="1:6" x14ac:dyDescent="0.3">
      <c r="A138">
        <v>137</v>
      </c>
      <c r="B138" t="s">
        <v>680</v>
      </c>
      <c r="C138" t="s">
        <v>419</v>
      </c>
      <c r="D138" t="s">
        <v>435</v>
      </c>
      <c r="E138" t="s">
        <v>101</v>
      </c>
      <c r="F138" t="s">
        <v>425</v>
      </c>
    </row>
    <row r="139" spans="1:6" x14ac:dyDescent="0.3">
      <c r="A139">
        <v>138</v>
      </c>
      <c r="B139" t="s">
        <v>681</v>
      </c>
      <c r="C139" t="s">
        <v>427</v>
      </c>
      <c r="D139" t="s">
        <v>435</v>
      </c>
      <c r="E139" t="s">
        <v>682</v>
      </c>
      <c r="F139" t="s">
        <v>433</v>
      </c>
    </row>
    <row r="140" spans="1:6" x14ac:dyDescent="0.3">
      <c r="A140">
        <v>139</v>
      </c>
      <c r="B140" t="s">
        <v>683</v>
      </c>
      <c r="C140" t="s">
        <v>427</v>
      </c>
      <c r="D140" t="s">
        <v>428</v>
      </c>
      <c r="E140" t="s">
        <v>406</v>
      </c>
      <c r="F140" t="s">
        <v>421</v>
      </c>
    </row>
    <row r="141" spans="1:6" x14ac:dyDescent="0.3">
      <c r="A141">
        <v>140</v>
      </c>
      <c r="B141" t="s">
        <v>684</v>
      </c>
      <c r="C141" t="s">
        <v>419</v>
      </c>
      <c r="D141" t="s">
        <v>423</v>
      </c>
      <c r="E141" t="s">
        <v>685</v>
      </c>
      <c r="F141" t="s">
        <v>425</v>
      </c>
    </row>
    <row r="142" spans="1:6" x14ac:dyDescent="0.3">
      <c r="A142">
        <v>141</v>
      </c>
      <c r="B142" t="s">
        <v>686</v>
      </c>
      <c r="C142" t="s">
        <v>427</v>
      </c>
      <c r="D142" t="s">
        <v>435</v>
      </c>
      <c r="E142" t="s">
        <v>687</v>
      </c>
      <c r="F142" t="s">
        <v>425</v>
      </c>
    </row>
    <row r="143" spans="1:6" x14ac:dyDescent="0.3">
      <c r="A143">
        <v>142</v>
      </c>
      <c r="B143" t="s">
        <v>688</v>
      </c>
      <c r="C143" t="s">
        <v>419</v>
      </c>
      <c r="D143" t="s">
        <v>435</v>
      </c>
      <c r="E143" t="s">
        <v>689</v>
      </c>
      <c r="F143" t="s">
        <v>421</v>
      </c>
    </row>
    <row r="144" spans="1:6" x14ac:dyDescent="0.3">
      <c r="A144">
        <v>143</v>
      </c>
      <c r="B144" t="s">
        <v>690</v>
      </c>
      <c r="C144" t="s">
        <v>427</v>
      </c>
      <c r="D144" t="s">
        <v>423</v>
      </c>
      <c r="E144" t="s">
        <v>691</v>
      </c>
      <c r="F144" t="s">
        <v>446</v>
      </c>
    </row>
    <row r="145" spans="1:6" x14ac:dyDescent="0.3">
      <c r="A145">
        <v>144</v>
      </c>
      <c r="B145" t="s">
        <v>692</v>
      </c>
      <c r="C145" t="s">
        <v>431</v>
      </c>
      <c r="D145" t="s">
        <v>435</v>
      </c>
      <c r="E145" t="s">
        <v>693</v>
      </c>
      <c r="F145" t="s">
        <v>421</v>
      </c>
    </row>
    <row r="146" spans="1:6" x14ac:dyDescent="0.3">
      <c r="A146">
        <v>145</v>
      </c>
      <c r="B146" t="s">
        <v>694</v>
      </c>
      <c r="C146" t="s">
        <v>431</v>
      </c>
      <c r="D146" t="s">
        <v>420</v>
      </c>
      <c r="E146" t="s">
        <v>695</v>
      </c>
      <c r="F146" t="s">
        <v>421</v>
      </c>
    </row>
    <row r="147" spans="1:6" x14ac:dyDescent="0.3">
      <c r="A147">
        <v>146</v>
      </c>
      <c r="B147" t="s">
        <v>696</v>
      </c>
      <c r="C147" t="s">
        <v>427</v>
      </c>
      <c r="D147" t="s">
        <v>423</v>
      </c>
      <c r="E147" t="s">
        <v>697</v>
      </c>
      <c r="F147" t="s">
        <v>425</v>
      </c>
    </row>
    <row r="148" spans="1:6" x14ac:dyDescent="0.3">
      <c r="A148">
        <v>147</v>
      </c>
      <c r="B148" t="s">
        <v>698</v>
      </c>
      <c r="C148" t="s">
        <v>427</v>
      </c>
      <c r="D148" t="s">
        <v>423</v>
      </c>
      <c r="E148" t="s">
        <v>699</v>
      </c>
      <c r="F148" t="s">
        <v>425</v>
      </c>
    </row>
    <row r="149" spans="1:6" x14ac:dyDescent="0.3">
      <c r="A149">
        <v>148</v>
      </c>
      <c r="B149" t="s">
        <v>700</v>
      </c>
      <c r="C149" t="s">
        <v>427</v>
      </c>
      <c r="D149" t="s">
        <v>437</v>
      </c>
      <c r="E149" t="s">
        <v>701</v>
      </c>
      <c r="F149" t="s">
        <v>421</v>
      </c>
    </row>
    <row r="150" spans="1:6" x14ac:dyDescent="0.3">
      <c r="A150">
        <v>149</v>
      </c>
      <c r="B150" t="s">
        <v>702</v>
      </c>
      <c r="C150" t="s">
        <v>427</v>
      </c>
      <c r="D150" t="s">
        <v>437</v>
      </c>
      <c r="E150" t="s">
        <v>473</v>
      </c>
      <c r="F150" t="s">
        <v>433</v>
      </c>
    </row>
    <row r="151" spans="1:6" x14ac:dyDescent="0.3">
      <c r="A151">
        <v>150</v>
      </c>
      <c r="B151" t="s">
        <v>703</v>
      </c>
      <c r="C151" t="s">
        <v>431</v>
      </c>
      <c r="D151" t="s">
        <v>428</v>
      </c>
      <c r="E151" t="s">
        <v>704</v>
      </c>
      <c r="F151" t="s">
        <v>425</v>
      </c>
    </row>
    <row r="152" spans="1:6" x14ac:dyDescent="0.3">
      <c r="A152">
        <v>151</v>
      </c>
      <c r="B152" t="s">
        <v>705</v>
      </c>
      <c r="C152" t="s">
        <v>431</v>
      </c>
      <c r="D152" t="s">
        <v>420</v>
      </c>
      <c r="E152" t="s">
        <v>706</v>
      </c>
      <c r="F152" t="s">
        <v>421</v>
      </c>
    </row>
    <row r="153" spans="1:6" x14ac:dyDescent="0.3">
      <c r="A153">
        <v>152</v>
      </c>
      <c r="B153" t="s">
        <v>707</v>
      </c>
      <c r="C153" t="s">
        <v>431</v>
      </c>
      <c r="D153" t="s">
        <v>420</v>
      </c>
      <c r="E153" t="s">
        <v>125</v>
      </c>
      <c r="F153" t="s">
        <v>433</v>
      </c>
    </row>
    <row r="154" spans="1:6" x14ac:dyDescent="0.3">
      <c r="A154">
        <v>153</v>
      </c>
      <c r="B154" t="s">
        <v>708</v>
      </c>
      <c r="C154" t="s">
        <v>431</v>
      </c>
      <c r="D154" t="s">
        <v>428</v>
      </c>
      <c r="E154" t="s">
        <v>709</v>
      </c>
      <c r="F154" t="s">
        <v>425</v>
      </c>
    </row>
    <row r="155" spans="1:6" x14ac:dyDescent="0.3">
      <c r="A155">
        <v>154</v>
      </c>
      <c r="B155" t="s">
        <v>710</v>
      </c>
      <c r="C155" t="s">
        <v>427</v>
      </c>
      <c r="D155" t="s">
        <v>420</v>
      </c>
      <c r="E155" t="s">
        <v>711</v>
      </c>
      <c r="F155" t="s">
        <v>421</v>
      </c>
    </row>
    <row r="156" spans="1:6" x14ac:dyDescent="0.3">
      <c r="A156">
        <v>155</v>
      </c>
      <c r="B156" t="s">
        <v>712</v>
      </c>
      <c r="C156" t="s">
        <v>427</v>
      </c>
      <c r="D156" t="s">
        <v>437</v>
      </c>
      <c r="E156" t="s">
        <v>713</v>
      </c>
      <c r="F156" t="s">
        <v>421</v>
      </c>
    </row>
    <row r="157" spans="1:6" x14ac:dyDescent="0.3">
      <c r="A157">
        <v>156</v>
      </c>
      <c r="B157" t="s">
        <v>714</v>
      </c>
      <c r="C157" t="s">
        <v>419</v>
      </c>
      <c r="D157" t="s">
        <v>428</v>
      </c>
      <c r="E157" t="s">
        <v>715</v>
      </c>
      <c r="F157" t="s">
        <v>446</v>
      </c>
    </row>
    <row r="158" spans="1:6" x14ac:dyDescent="0.3">
      <c r="A158">
        <v>157</v>
      </c>
      <c r="B158" t="s">
        <v>716</v>
      </c>
      <c r="C158" t="s">
        <v>431</v>
      </c>
      <c r="D158" t="s">
        <v>423</v>
      </c>
      <c r="E158" t="s">
        <v>717</v>
      </c>
      <c r="F158" t="s">
        <v>446</v>
      </c>
    </row>
    <row r="159" spans="1:6" x14ac:dyDescent="0.3">
      <c r="A159">
        <v>158</v>
      </c>
      <c r="B159" t="s">
        <v>718</v>
      </c>
      <c r="C159" t="s">
        <v>419</v>
      </c>
      <c r="D159" t="s">
        <v>420</v>
      </c>
      <c r="E159" t="s">
        <v>719</v>
      </c>
      <c r="F159" t="s">
        <v>433</v>
      </c>
    </row>
    <row r="160" spans="1:6" x14ac:dyDescent="0.3">
      <c r="A160">
        <v>159</v>
      </c>
      <c r="B160" t="s">
        <v>720</v>
      </c>
      <c r="C160" t="s">
        <v>419</v>
      </c>
      <c r="D160" t="s">
        <v>435</v>
      </c>
      <c r="E160" t="s">
        <v>721</v>
      </c>
      <c r="F160" t="s">
        <v>425</v>
      </c>
    </row>
    <row r="161" spans="1:6" x14ac:dyDescent="0.3">
      <c r="A161">
        <v>160</v>
      </c>
      <c r="B161" t="s">
        <v>722</v>
      </c>
      <c r="C161" t="s">
        <v>431</v>
      </c>
      <c r="D161" t="s">
        <v>420</v>
      </c>
      <c r="E161" t="s">
        <v>404</v>
      </c>
      <c r="F161" t="s">
        <v>421</v>
      </c>
    </row>
    <row r="162" spans="1:6" x14ac:dyDescent="0.3">
      <c r="A162">
        <v>161</v>
      </c>
      <c r="B162" t="s">
        <v>723</v>
      </c>
      <c r="C162" t="s">
        <v>419</v>
      </c>
      <c r="D162" t="s">
        <v>423</v>
      </c>
      <c r="E162" t="s">
        <v>268</v>
      </c>
      <c r="F162" t="s">
        <v>425</v>
      </c>
    </row>
    <row r="163" spans="1:6" x14ac:dyDescent="0.3">
      <c r="A163">
        <v>162</v>
      </c>
      <c r="B163" t="s">
        <v>724</v>
      </c>
      <c r="C163" t="s">
        <v>427</v>
      </c>
      <c r="D163" t="s">
        <v>428</v>
      </c>
      <c r="E163" t="s">
        <v>296</v>
      </c>
      <c r="F163" t="s">
        <v>433</v>
      </c>
    </row>
    <row r="164" spans="1:6" x14ac:dyDescent="0.3">
      <c r="A164">
        <v>163</v>
      </c>
      <c r="B164" t="s">
        <v>725</v>
      </c>
      <c r="C164" t="s">
        <v>419</v>
      </c>
      <c r="D164" t="s">
        <v>420</v>
      </c>
      <c r="E164" t="s">
        <v>580</v>
      </c>
      <c r="F164" t="s">
        <v>425</v>
      </c>
    </row>
    <row r="165" spans="1:6" x14ac:dyDescent="0.3">
      <c r="A165">
        <v>164</v>
      </c>
      <c r="B165" t="s">
        <v>726</v>
      </c>
      <c r="C165" t="s">
        <v>419</v>
      </c>
      <c r="D165" t="s">
        <v>437</v>
      </c>
      <c r="E165" t="s">
        <v>727</v>
      </c>
      <c r="F165" t="s">
        <v>425</v>
      </c>
    </row>
    <row r="166" spans="1:6" x14ac:dyDescent="0.3">
      <c r="A166">
        <v>165</v>
      </c>
      <c r="B166" t="s">
        <v>728</v>
      </c>
      <c r="C166" t="s">
        <v>427</v>
      </c>
      <c r="D166" t="s">
        <v>420</v>
      </c>
      <c r="E166" t="s">
        <v>400</v>
      </c>
      <c r="F166" t="s">
        <v>433</v>
      </c>
    </row>
    <row r="167" spans="1:6" x14ac:dyDescent="0.3">
      <c r="A167">
        <v>166</v>
      </c>
      <c r="B167" t="s">
        <v>729</v>
      </c>
      <c r="C167" t="s">
        <v>427</v>
      </c>
      <c r="D167" t="s">
        <v>420</v>
      </c>
      <c r="E167" t="s">
        <v>399</v>
      </c>
      <c r="F167" t="s">
        <v>425</v>
      </c>
    </row>
    <row r="168" spans="1:6" x14ac:dyDescent="0.3">
      <c r="A168">
        <v>167</v>
      </c>
      <c r="B168" t="s">
        <v>730</v>
      </c>
      <c r="C168" t="s">
        <v>419</v>
      </c>
      <c r="D168" t="s">
        <v>435</v>
      </c>
      <c r="E168" t="s">
        <v>731</v>
      </c>
      <c r="F168" t="s">
        <v>421</v>
      </c>
    </row>
    <row r="169" spans="1:6" x14ac:dyDescent="0.3">
      <c r="A169">
        <v>168</v>
      </c>
      <c r="B169" t="s">
        <v>732</v>
      </c>
      <c r="C169" t="s">
        <v>431</v>
      </c>
      <c r="D169" t="s">
        <v>428</v>
      </c>
      <c r="E169" t="s">
        <v>733</v>
      </c>
      <c r="F169" t="s">
        <v>446</v>
      </c>
    </row>
    <row r="170" spans="1:6" x14ac:dyDescent="0.3">
      <c r="A170">
        <v>169</v>
      </c>
      <c r="B170" t="s">
        <v>734</v>
      </c>
      <c r="C170" t="s">
        <v>419</v>
      </c>
      <c r="D170" t="s">
        <v>428</v>
      </c>
      <c r="E170" t="s">
        <v>735</v>
      </c>
      <c r="F170" t="s">
        <v>421</v>
      </c>
    </row>
    <row r="171" spans="1:6" x14ac:dyDescent="0.3">
      <c r="A171">
        <v>170</v>
      </c>
      <c r="B171" t="s">
        <v>736</v>
      </c>
      <c r="C171" t="s">
        <v>427</v>
      </c>
      <c r="D171" t="s">
        <v>428</v>
      </c>
      <c r="E171" t="s">
        <v>737</v>
      </c>
      <c r="F171" t="s">
        <v>425</v>
      </c>
    </row>
    <row r="172" spans="1:6" x14ac:dyDescent="0.3">
      <c r="A172">
        <v>171</v>
      </c>
      <c r="B172" t="s">
        <v>738</v>
      </c>
      <c r="C172" t="s">
        <v>431</v>
      </c>
      <c r="D172" t="s">
        <v>420</v>
      </c>
      <c r="E172" t="s">
        <v>70</v>
      </c>
      <c r="F172" t="s">
        <v>425</v>
      </c>
    </row>
    <row r="173" spans="1:6" x14ac:dyDescent="0.3">
      <c r="A173">
        <v>172</v>
      </c>
      <c r="B173" t="s">
        <v>739</v>
      </c>
      <c r="C173" t="s">
        <v>431</v>
      </c>
      <c r="D173" t="s">
        <v>435</v>
      </c>
      <c r="E173" t="s">
        <v>740</v>
      </c>
      <c r="F173" t="s">
        <v>421</v>
      </c>
    </row>
    <row r="174" spans="1:6" x14ac:dyDescent="0.3">
      <c r="A174">
        <v>173</v>
      </c>
      <c r="B174" t="s">
        <v>741</v>
      </c>
      <c r="C174" t="s">
        <v>427</v>
      </c>
      <c r="D174" t="s">
        <v>437</v>
      </c>
      <c r="E174" t="s">
        <v>742</v>
      </c>
      <c r="F174" t="s">
        <v>425</v>
      </c>
    </row>
    <row r="175" spans="1:6" x14ac:dyDescent="0.3">
      <c r="A175">
        <v>174</v>
      </c>
      <c r="B175" t="s">
        <v>743</v>
      </c>
      <c r="C175" t="s">
        <v>427</v>
      </c>
      <c r="D175" t="s">
        <v>423</v>
      </c>
      <c r="E175" t="s">
        <v>313</v>
      </c>
      <c r="F175" t="s">
        <v>425</v>
      </c>
    </row>
    <row r="176" spans="1:6" x14ac:dyDescent="0.3">
      <c r="A176">
        <v>175</v>
      </c>
      <c r="B176" t="s">
        <v>744</v>
      </c>
      <c r="C176" t="s">
        <v>427</v>
      </c>
      <c r="D176" t="s">
        <v>437</v>
      </c>
      <c r="E176" t="s">
        <v>745</v>
      </c>
      <c r="F176" t="s">
        <v>425</v>
      </c>
    </row>
    <row r="177" spans="1:6" x14ac:dyDescent="0.3">
      <c r="A177">
        <v>176</v>
      </c>
      <c r="B177" t="s">
        <v>746</v>
      </c>
      <c r="C177" t="s">
        <v>419</v>
      </c>
      <c r="D177" t="s">
        <v>437</v>
      </c>
      <c r="E177" t="s">
        <v>138</v>
      </c>
      <c r="F177" t="s">
        <v>421</v>
      </c>
    </row>
    <row r="178" spans="1:6" x14ac:dyDescent="0.3">
      <c r="A178">
        <v>177</v>
      </c>
      <c r="B178" t="s">
        <v>747</v>
      </c>
      <c r="C178" t="s">
        <v>431</v>
      </c>
      <c r="D178" t="s">
        <v>420</v>
      </c>
      <c r="E178" t="s">
        <v>748</v>
      </c>
      <c r="F178" t="s">
        <v>425</v>
      </c>
    </row>
    <row r="179" spans="1:6" x14ac:dyDescent="0.3">
      <c r="A179">
        <v>178</v>
      </c>
      <c r="B179" t="s">
        <v>749</v>
      </c>
      <c r="C179" t="s">
        <v>427</v>
      </c>
      <c r="D179" t="s">
        <v>428</v>
      </c>
      <c r="E179" t="s">
        <v>750</v>
      </c>
      <c r="F179" t="s">
        <v>421</v>
      </c>
    </row>
    <row r="180" spans="1:6" x14ac:dyDescent="0.3">
      <c r="A180">
        <v>179</v>
      </c>
      <c r="B180" t="s">
        <v>751</v>
      </c>
      <c r="C180" t="s">
        <v>427</v>
      </c>
      <c r="D180" t="s">
        <v>435</v>
      </c>
      <c r="E180" t="s">
        <v>752</v>
      </c>
      <c r="F180" t="s">
        <v>425</v>
      </c>
    </row>
    <row r="181" spans="1:6" x14ac:dyDescent="0.3">
      <c r="A181">
        <v>180</v>
      </c>
      <c r="B181" t="s">
        <v>753</v>
      </c>
      <c r="C181" t="s">
        <v>431</v>
      </c>
      <c r="D181" t="s">
        <v>437</v>
      </c>
      <c r="E181" t="s">
        <v>754</v>
      </c>
      <c r="F181" t="s">
        <v>425</v>
      </c>
    </row>
    <row r="182" spans="1:6" x14ac:dyDescent="0.3">
      <c r="A182">
        <v>181</v>
      </c>
      <c r="B182" t="s">
        <v>755</v>
      </c>
      <c r="C182" t="s">
        <v>431</v>
      </c>
      <c r="D182" t="s">
        <v>437</v>
      </c>
      <c r="E182" t="s">
        <v>756</v>
      </c>
      <c r="F182" t="s">
        <v>421</v>
      </c>
    </row>
    <row r="183" spans="1:6" x14ac:dyDescent="0.3">
      <c r="A183">
        <v>182</v>
      </c>
      <c r="B183" t="s">
        <v>757</v>
      </c>
      <c r="C183" t="s">
        <v>427</v>
      </c>
      <c r="D183" t="s">
        <v>428</v>
      </c>
      <c r="E183" t="s">
        <v>758</v>
      </c>
      <c r="F183" t="s">
        <v>421</v>
      </c>
    </row>
    <row r="184" spans="1:6" x14ac:dyDescent="0.3">
      <c r="A184">
        <v>183</v>
      </c>
      <c r="B184" t="s">
        <v>759</v>
      </c>
      <c r="C184" t="s">
        <v>419</v>
      </c>
      <c r="D184" t="s">
        <v>428</v>
      </c>
      <c r="E184" t="s">
        <v>760</v>
      </c>
      <c r="F184" t="s">
        <v>425</v>
      </c>
    </row>
    <row r="185" spans="1:6" x14ac:dyDescent="0.3">
      <c r="A185">
        <v>184</v>
      </c>
      <c r="B185" t="s">
        <v>761</v>
      </c>
      <c r="C185" t="s">
        <v>427</v>
      </c>
      <c r="D185" t="s">
        <v>437</v>
      </c>
      <c r="E185" t="s">
        <v>762</v>
      </c>
      <c r="F185" t="s">
        <v>425</v>
      </c>
    </row>
    <row r="186" spans="1:6" x14ac:dyDescent="0.3">
      <c r="A186">
        <v>185</v>
      </c>
      <c r="B186" t="s">
        <v>763</v>
      </c>
      <c r="C186" t="s">
        <v>431</v>
      </c>
      <c r="D186" t="s">
        <v>423</v>
      </c>
      <c r="E186" t="s">
        <v>764</v>
      </c>
      <c r="F186" t="s">
        <v>425</v>
      </c>
    </row>
    <row r="187" spans="1:6" x14ac:dyDescent="0.3">
      <c r="A187">
        <v>186</v>
      </c>
      <c r="B187" t="s">
        <v>765</v>
      </c>
      <c r="C187" t="s">
        <v>419</v>
      </c>
      <c r="D187" t="s">
        <v>423</v>
      </c>
      <c r="E187" t="s">
        <v>766</v>
      </c>
      <c r="F187" t="s">
        <v>425</v>
      </c>
    </row>
    <row r="188" spans="1:6" x14ac:dyDescent="0.3">
      <c r="A188">
        <v>187</v>
      </c>
      <c r="B188" t="s">
        <v>767</v>
      </c>
      <c r="C188" t="s">
        <v>427</v>
      </c>
      <c r="D188" t="s">
        <v>437</v>
      </c>
      <c r="E188" t="s">
        <v>29</v>
      </c>
      <c r="F188" t="s">
        <v>421</v>
      </c>
    </row>
    <row r="189" spans="1:6" x14ac:dyDescent="0.3">
      <c r="A189">
        <v>188</v>
      </c>
      <c r="B189" t="s">
        <v>768</v>
      </c>
      <c r="C189" t="s">
        <v>419</v>
      </c>
      <c r="D189" t="s">
        <v>428</v>
      </c>
      <c r="E189" t="s">
        <v>36</v>
      </c>
      <c r="F189" t="s">
        <v>425</v>
      </c>
    </row>
    <row r="190" spans="1:6" x14ac:dyDescent="0.3">
      <c r="A190">
        <v>189</v>
      </c>
      <c r="B190" t="s">
        <v>769</v>
      </c>
      <c r="C190" t="s">
        <v>431</v>
      </c>
      <c r="D190" t="s">
        <v>437</v>
      </c>
      <c r="E190" t="s">
        <v>770</v>
      </c>
      <c r="F190" t="s">
        <v>425</v>
      </c>
    </row>
    <row r="191" spans="1:6" x14ac:dyDescent="0.3">
      <c r="A191">
        <v>190</v>
      </c>
      <c r="B191" t="s">
        <v>771</v>
      </c>
      <c r="C191" t="s">
        <v>427</v>
      </c>
      <c r="D191" t="s">
        <v>420</v>
      </c>
      <c r="E191" t="s">
        <v>772</v>
      </c>
      <c r="F191" t="s">
        <v>421</v>
      </c>
    </row>
    <row r="192" spans="1:6" x14ac:dyDescent="0.3">
      <c r="A192">
        <v>191</v>
      </c>
      <c r="B192" t="s">
        <v>773</v>
      </c>
      <c r="C192" t="s">
        <v>427</v>
      </c>
      <c r="D192" t="s">
        <v>420</v>
      </c>
      <c r="E192" t="s">
        <v>774</v>
      </c>
      <c r="F192" t="s">
        <v>446</v>
      </c>
    </row>
    <row r="193" spans="1:6" x14ac:dyDescent="0.3">
      <c r="A193">
        <v>192</v>
      </c>
      <c r="B193" t="s">
        <v>775</v>
      </c>
      <c r="C193" t="s">
        <v>427</v>
      </c>
      <c r="D193" t="s">
        <v>423</v>
      </c>
      <c r="E193" t="s">
        <v>264</v>
      </c>
      <c r="F193" t="s">
        <v>421</v>
      </c>
    </row>
    <row r="194" spans="1:6" x14ac:dyDescent="0.3">
      <c r="A194">
        <v>193</v>
      </c>
      <c r="B194" t="s">
        <v>776</v>
      </c>
      <c r="C194" t="s">
        <v>427</v>
      </c>
      <c r="D194" t="s">
        <v>420</v>
      </c>
      <c r="E194" t="s">
        <v>777</v>
      </c>
      <c r="F194" t="s">
        <v>433</v>
      </c>
    </row>
    <row r="195" spans="1:6" x14ac:dyDescent="0.3">
      <c r="A195">
        <v>194</v>
      </c>
      <c r="B195" t="s">
        <v>778</v>
      </c>
      <c r="C195" t="s">
        <v>427</v>
      </c>
      <c r="D195" t="s">
        <v>435</v>
      </c>
      <c r="E195" t="s">
        <v>779</v>
      </c>
      <c r="F195" t="s">
        <v>425</v>
      </c>
    </row>
    <row r="196" spans="1:6" x14ac:dyDescent="0.3">
      <c r="A196">
        <v>195</v>
      </c>
      <c r="B196" t="s">
        <v>780</v>
      </c>
      <c r="C196" t="s">
        <v>431</v>
      </c>
      <c r="D196" t="s">
        <v>420</v>
      </c>
      <c r="E196" t="s">
        <v>781</v>
      </c>
      <c r="F196" t="s">
        <v>425</v>
      </c>
    </row>
    <row r="197" spans="1:6" x14ac:dyDescent="0.3">
      <c r="A197">
        <v>196</v>
      </c>
      <c r="B197" t="s">
        <v>782</v>
      </c>
      <c r="C197" t="s">
        <v>427</v>
      </c>
      <c r="D197" t="s">
        <v>420</v>
      </c>
      <c r="E197" t="s">
        <v>783</v>
      </c>
      <c r="F197" t="s">
        <v>433</v>
      </c>
    </row>
    <row r="198" spans="1:6" x14ac:dyDescent="0.3">
      <c r="A198">
        <v>197</v>
      </c>
      <c r="B198" t="s">
        <v>784</v>
      </c>
      <c r="C198" t="s">
        <v>427</v>
      </c>
      <c r="D198" t="s">
        <v>420</v>
      </c>
      <c r="E198" t="s">
        <v>785</v>
      </c>
      <c r="F198" t="s">
        <v>421</v>
      </c>
    </row>
    <row r="199" spans="1:6" x14ac:dyDescent="0.3">
      <c r="A199">
        <v>198</v>
      </c>
      <c r="B199" t="s">
        <v>786</v>
      </c>
      <c r="C199" t="s">
        <v>431</v>
      </c>
      <c r="D199" t="s">
        <v>423</v>
      </c>
      <c r="E199" t="s">
        <v>787</v>
      </c>
      <c r="F199" t="s">
        <v>425</v>
      </c>
    </row>
    <row r="200" spans="1:6" x14ac:dyDescent="0.3">
      <c r="A200">
        <v>199</v>
      </c>
      <c r="B200" t="s">
        <v>788</v>
      </c>
      <c r="C200" t="s">
        <v>427</v>
      </c>
      <c r="D200" t="s">
        <v>420</v>
      </c>
      <c r="E200" t="s">
        <v>789</v>
      </c>
      <c r="F200" t="s">
        <v>446</v>
      </c>
    </row>
    <row r="201" spans="1:6" x14ac:dyDescent="0.3">
      <c r="A201">
        <v>200</v>
      </c>
      <c r="B201" t="s">
        <v>790</v>
      </c>
      <c r="C201" t="s">
        <v>419</v>
      </c>
      <c r="D201" t="s">
        <v>435</v>
      </c>
      <c r="E201" t="s">
        <v>791</v>
      </c>
      <c r="F201" t="s">
        <v>421</v>
      </c>
    </row>
    <row r="202" spans="1:6" x14ac:dyDescent="0.3">
      <c r="A202">
        <v>201</v>
      </c>
      <c r="B202" t="s">
        <v>792</v>
      </c>
      <c r="C202" t="s">
        <v>419</v>
      </c>
      <c r="D202" t="s">
        <v>423</v>
      </c>
      <c r="E202" t="s">
        <v>793</v>
      </c>
      <c r="F202" t="s">
        <v>421</v>
      </c>
    </row>
    <row r="203" spans="1:6" x14ac:dyDescent="0.3">
      <c r="A203">
        <v>202</v>
      </c>
      <c r="B203" t="s">
        <v>794</v>
      </c>
      <c r="C203" t="s">
        <v>427</v>
      </c>
      <c r="D203" t="s">
        <v>435</v>
      </c>
      <c r="E203" t="s">
        <v>795</v>
      </c>
      <c r="F203" t="s">
        <v>425</v>
      </c>
    </row>
    <row r="204" spans="1:6" x14ac:dyDescent="0.3">
      <c r="A204">
        <v>203</v>
      </c>
      <c r="B204" t="s">
        <v>796</v>
      </c>
      <c r="C204" t="s">
        <v>427</v>
      </c>
      <c r="D204" t="s">
        <v>437</v>
      </c>
      <c r="E204" t="s">
        <v>289</v>
      </c>
      <c r="F204" t="s">
        <v>421</v>
      </c>
    </row>
    <row r="205" spans="1:6" x14ac:dyDescent="0.3">
      <c r="A205">
        <v>204</v>
      </c>
      <c r="B205" t="s">
        <v>797</v>
      </c>
      <c r="C205" t="s">
        <v>419</v>
      </c>
      <c r="D205" t="s">
        <v>420</v>
      </c>
      <c r="E205" t="s">
        <v>798</v>
      </c>
      <c r="F205" t="s">
        <v>433</v>
      </c>
    </row>
    <row r="206" spans="1:6" x14ac:dyDescent="0.3">
      <c r="A206">
        <v>205</v>
      </c>
      <c r="B206" t="s">
        <v>799</v>
      </c>
      <c r="C206" t="s">
        <v>419</v>
      </c>
      <c r="D206" t="s">
        <v>423</v>
      </c>
      <c r="E206" t="s">
        <v>800</v>
      </c>
      <c r="F206" t="s">
        <v>425</v>
      </c>
    </row>
    <row r="207" spans="1:6" x14ac:dyDescent="0.3">
      <c r="A207">
        <v>206</v>
      </c>
      <c r="B207" t="s">
        <v>801</v>
      </c>
      <c r="C207" t="s">
        <v>431</v>
      </c>
      <c r="D207" t="s">
        <v>423</v>
      </c>
      <c r="E207" t="s">
        <v>802</v>
      </c>
      <c r="F207" t="s">
        <v>425</v>
      </c>
    </row>
    <row r="208" spans="1:6" x14ac:dyDescent="0.3">
      <c r="A208">
        <v>207</v>
      </c>
      <c r="B208" t="s">
        <v>803</v>
      </c>
      <c r="C208" t="s">
        <v>431</v>
      </c>
      <c r="D208" t="s">
        <v>420</v>
      </c>
      <c r="E208" t="s">
        <v>804</v>
      </c>
      <c r="F208" t="s">
        <v>425</v>
      </c>
    </row>
    <row r="209" spans="1:6" x14ac:dyDescent="0.3">
      <c r="A209">
        <v>208</v>
      </c>
      <c r="B209" t="s">
        <v>805</v>
      </c>
      <c r="C209" t="s">
        <v>419</v>
      </c>
      <c r="D209" t="s">
        <v>435</v>
      </c>
      <c r="E209" t="s">
        <v>38</v>
      </c>
      <c r="F209" t="s">
        <v>425</v>
      </c>
    </row>
    <row r="210" spans="1:6" x14ac:dyDescent="0.3">
      <c r="A210">
        <v>209</v>
      </c>
      <c r="B210" t="s">
        <v>806</v>
      </c>
      <c r="C210" t="s">
        <v>427</v>
      </c>
      <c r="D210" t="s">
        <v>437</v>
      </c>
      <c r="E210" t="s">
        <v>807</v>
      </c>
      <c r="F210" t="s">
        <v>421</v>
      </c>
    </row>
    <row r="211" spans="1:6" x14ac:dyDescent="0.3">
      <c r="A211">
        <v>210</v>
      </c>
      <c r="B211" t="s">
        <v>808</v>
      </c>
      <c r="C211" t="s">
        <v>431</v>
      </c>
      <c r="D211" t="s">
        <v>423</v>
      </c>
      <c r="E211" t="s">
        <v>809</v>
      </c>
      <c r="F211" t="s">
        <v>433</v>
      </c>
    </row>
    <row r="212" spans="1:6" x14ac:dyDescent="0.3">
      <c r="A212">
        <v>211</v>
      </c>
      <c r="B212" t="s">
        <v>810</v>
      </c>
      <c r="C212" t="s">
        <v>419</v>
      </c>
      <c r="D212" t="s">
        <v>428</v>
      </c>
      <c r="E212" t="s">
        <v>412</v>
      </c>
      <c r="F212" t="s">
        <v>421</v>
      </c>
    </row>
    <row r="213" spans="1:6" x14ac:dyDescent="0.3">
      <c r="A213">
        <v>212</v>
      </c>
      <c r="B213" t="s">
        <v>811</v>
      </c>
      <c r="C213" t="s">
        <v>427</v>
      </c>
      <c r="D213" t="s">
        <v>420</v>
      </c>
      <c r="E213" t="s">
        <v>812</v>
      </c>
      <c r="F213" t="s">
        <v>421</v>
      </c>
    </row>
    <row r="214" spans="1:6" x14ac:dyDescent="0.3">
      <c r="A214">
        <v>213</v>
      </c>
      <c r="B214" t="s">
        <v>813</v>
      </c>
      <c r="C214" t="s">
        <v>431</v>
      </c>
      <c r="D214" t="s">
        <v>437</v>
      </c>
      <c r="E214" t="s">
        <v>400</v>
      </c>
      <c r="F214" t="s">
        <v>433</v>
      </c>
    </row>
    <row r="215" spans="1:6" x14ac:dyDescent="0.3">
      <c r="A215">
        <v>214</v>
      </c>
      <c r="B215" t="s">
        <v>814</v>
      </c>
      <c r="C215" t="s">
        <v>431</v>
      </c>
      <c r="D215" t="s">
        <v>423</v>
      </c>
      <c r="E215" t="s">
        <v>815</v>
      </c>
      <c r="F215" t="s">
        <v>421</v>
      </c>
    </row>
    <row r="216" spans="1:6" x14ac:dyDescent="0.3">
      <c r="A216">
        <v>215</v>
      </c>
      <c r="B216" t="s">
        <v>816</v>
      </c>
      <c r="C216" t="s">
        <v>419</v>
      </c>
      <c r="D216" t="s">
        <v>428</v>
      </c>
      <c r="E216" t="s">
        <v>368</v>
      </c>
      <c r="F216" t="s">
        <v>433</v>
      </c>
    </row>
    <row r="217" spans="1:6" x14ac:dyDescent="0.3">
      <c r="A217">
        <v>216</v>
      </c>
      <c r="B217" t="s">
        <v>817</v>
      </c>
      <c r="C217" t="s">
        <v>431</v>
      </c>
      <c r="D217" t="s">
        <v>435</v>
      </c>
      <c r="E217" t="s">
        <v>818</v>
      </c>
      <c r="F217" t="s">
        <v>421</v>
      </c>
    </row>
    <row r="218" spans="1:6" x14ac:dyDescent="0.3">
      <c r="A218">
        <v>217</v>
      </c>
      <c r="B218" t="s">
        <v>819</v>
      </c>
      <c r="C218" t="s">
        <v>427</v>
      </c>
      <c r="D218" t="s">
        <v>437</v>
      </c>
      <c r="E218" t="s">
        <v>820</v>
      </c>
      <c r="F218" t="s">
        <v>421</v>
      </c>
    </row>
    <row r="219" spans="1:6" x14ac:dyDescent="0.3">
      <c r="A219">
        <v>218</v>
      </c>
      <c r="B219" t="s">
        <v>821</v>
      </c>
      <c r="C219" t="s">
        <v>427</v>
      </c>
      <c r="D219" t="s">
        <v>420</v>
      </c>
      <c r="E219" t="s">
        <v>822</v>
      </c>
      <c r="F219" t="s">
        <v>421</v>
      </c>
    </row>
    <row r="220" spans="1:6" x14ac:dyDescent="0.3">
      <c r="A220">
        <v>219</v>
      </c>
      <c r="B220" t="s">
        <v>823</v>
      </c>
      <c r="C220" t="s">
        <v>419</v>
      </c>
      <c r="D220" t="s">
        <v>437</v>
      </c>
      <c r="E220" t="s">
        <v>824</v>
      </c>
      <c r="F220" t="s">
        <v>421</v>
      </c>
    </row>
    <row r="221" spans="1:6" x14ac:dyDescent="0.3">
      <c r="A221">
        <v>220</v>
      </c>
      <c r="B221" t="s">
        <v>825</v>
      </c>
      <c r="C221" t="s">
        <v>431</v>
      </c>
      <c r="D221" t="s">
        <v>423</v>
      </c>
      <c r="E221" t="s">
        <v>826</v>
      </c>
      <c r="F221" t="s">
        <v>446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0098-DC50-4489-AE93-748182A39FBB}">
  <dimension ref="A1:I801"/>
  <sheetViews>
    <sheetView workbookViewId="0"/>
  </sheetViews>
  <sheetFormatPr defaultRowHeight="14.4" x14ac:dyDescent="0.3"/>
  <cols>
    <col min="1" max="1" width="9" bestFit="1" customWidth="1"/>
    <col min="2" max="2" width="10.5546875" bestFit="1" customWidth="1"/>
    <col min="3" max="3" width="11.6640625" bestFit="1" customWidth="1"/>
    <col min="4" max="4" width="13.6640625" bestFit="1" customWidth="1"/>
    <col min="5" max="5" width="12.44140625" bestFit="1" customWidth="1"/>
    <col min="6" max="6" width="10.33203125" bestFit="1" customWidth="1"/>
    <col min="7" max="7" width="7.33203125" bestFit="1" customWidth="1"/>
    <col min="8" max="8" width="10.44140625" bestFit="1" customWidth="1"/>
    <col min="9" max="9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0">
        <v>44969</v>
      </c>
      <c r="C2">
        <v>5</v>
      </c>
      <c r="D2">
        <v>189</v>
      </c>
      <c r="E2">
        <v>97</v>
      </c>
      <c r="F2">
        <v>2</v>
      </c>
      <c r="G2">
        <v>158.26</v>
      </c>
      <c r="H2">
        <v>0</v>
      </c>
      <c r="I2">
        <v>316.52</v>
      </c>
    </row>
    <row r="3" spans="1:9" x14ac:dyDescent="0.3">
      <c r="A3">
        <v>2</v>
      </c>
      <c r="B3" s="10">
        <v>45009</v>
      </c>
      <c r="C3">
        <v>3</v>
      </c>
      <c r="D3">
        <v>152</v>
      </c>
      <c r="E3">
        <v>24</v>
      </c>
      <c r="F3">
        <v>1</v>
      </c>
      <c r="G3">
        <v>91.73</v>
      </c>
      <c r="H3">
        <v>0.05</v>
      </c>
      <c r="I3">
        <v>87.14</v>
      </c>
    </row>
    <row r="4" spans="1:9" x14ac:dyDescent="0.3">
      <c r="A4">
        <v>3</v>
      </c>
      <c r="B4" s="10">
        <v>45890</v>
      </c>
      <c r="C4">
        <v>8</v>
      </c>
      <c r="D4">
        <v>77</v>
      </c>
      <c r="E4">
        <v>84</v>
      </c>
      <c r="F4">
        <v>1</v>
      </c>
      <c r="G4">
        <v>26.78</v>
      </c>
      <c r="H4">
        <v>0.1</v>
      </c>
      <c r="I4">
        <v>24.1</v>
      </c>
    </row>
    <row r="5" spans="1:9" x14ac:dyDescent="0.3">
      <c r="A5">
        <v>4</v>
      </c>
      <c r="B5" s="10">
        <v>45496</v>
      </c>
      <c r="C5">
        <v>3</v>
      </c>
      <c r="D5">
        <v>123</v>
      </c>
      <c r="E5">
        <v>97</v>
      </c>
      <c r="F5">
        <v>5</v>
      </c>
      <c r="G5">
        <v>158.26</v>
      </c>
      <c r="H5">
        <v>0</v>
      </c>
      <c r="I5">
        <v>791.3</v>
      </c>
    </row>
    <row r="6" spans="1:9" x14ac:dyDescent="0.3">
      <c r="A6">
        <v>5</v>
      </c>
      <c r="B6" s="10">
        <v>45819</v>
      </c>
      <c r="C6">
        <v>8</v>
      </c>
      <c r="D6">
        <v>106</v>
      </c>
      <c r="E6">
        <v>30</v>
      </c>
      <c r="F6">
        <v>3</v>
      </c>
      <c r="G6">
        <v>19.399999999999999</v>
      </c>
      <c r="H6">
        <v>0</v>
      </c>
      <c r="I6">
        <v>58.2</v>
      </c>
    </row>
    <row r="7" spans="1:9" x14ac:dyDescent="0.3">
      <c r="A7">
        <v>6</v>
      </c>
      <c r="B7" s="10">
        <v>45113</v>
      </c>
      <c r="C7">
        <v>8</v>
      </c>
      <c r="D7">
        <v>64</v>
      </c>
      <c r="E7">
        <v>33</v>
      </c>
      <c r="F7">
        <v>1</v>
      </c>
      <c r="G7">
        <v>21.23</v>
      </c>
      <c r="H7">
        <v>0.05</v>
      </c>
      <c r="I7">
        <v>20.170000000000002</v>
      </c>
    </row>
    <row r="8" spans="1:9" x14ac:dyDescent="0.3">
      <c r="A8">
        <v>7</v>
      </c>
      <c r="B8" s="10">
        <v>45639</v>
      </c>
      <c r="C8">
        <v>7</v>
      </c>
      <c r="D8">
        <v>22</v>
      </c>
      <c r="E8">
        <v>16</v>
      </c>
      <c r="F8">
        <v>1</v>
      </c>
      <c r="G8">
        <v>62.77</v>
      </c>
      <c r="H8">
        <v>0</v>
      </c>
      <c r="I8">
        <v>62.77</v>
      </c>
    </row>
    <row r="9" spans="1:9" x14ac:dyDescent="0.3">
      <c r="A9">
        <v>8</v>
      </c>
      <c r="B9" s="10">
        <v>45609</v>
      </c>
      <c r="C9">
        <v>6</v>
      </c>
      <c r="D9">
        <v>89</v>
      </c>
      <c r="E9">
        <v>59</v>
      </c>
      <c r="F9">
        <v>1</v>
      </c>
      <c r="G9">
        <v>17.41</v>
      </c>
      <c r="H9">
        <v>0</v>
      </c>
      <c r="I9">
        <v>17.41</v>
      </c>
    </row>
    <row r="10" spans="1:9" x14ac:dyDescent="0.3">
      <c r="A10">
        <v>9</v>
      </c>
      <c r="B10" s="10">
        <v>45141</v>
      </c>
      <c r="C10">
        <v>3</v>
      </c>
      <c r="D10">
        <v>50</v>
      </c>
      <c r="E10">
        <v>30</v>
      </c>
      <c r="F10">
        <v>1</v>
      </c>
      <c r="G10">
        <v>19.399999999999999</v>
      </c>
      <c r="H10">
        <v>0</v>
      </c>
      <c r="I10">
        <v>19.399999999999999</v>
      </c>
    </row>
    <row r="11" spans="1:9" x14ac:dyDescent="0.3">
      <c r="A11">
        <v>10</v>
      </c>
      <c r="B11" s="10">
        <v>45602</v>
      </c>
      <c r="C11">
        <v>7</v>
      </c>
      <c r="D11">
        <v>207</v>
      </c>
      <c r="E11">
        <v>96</v>
      </c>
      <c r="F11">
        <v>1</v>
      </c>
      <c r="G11">
        <v>132.69</v>
      </c>
      <c r="H11">
        <v>0</v>
      </c>
      <c r="I11">
        <v>132.69</v>
      </c>
    </row>
    <row r="12" spans="1:9" x14ac:dyDescent="0.3">
      <c r="A12">
        <v>11</v>
      </c>
      <c r="B12" s="10">
        <v>45941</v>
      </c>
      <c r="C12">
        <v>5</v>
      </c>
      <c r="D12">
        <v>80</v>
      </c>
      <c r="E12">
        <v>48</v>
      </c>
      <c r="F12">
        <v>1</v>
      </c>
      <c r="G12">
        <v>146.85</v>
      </c>
      <c r="H12">
        <v>0</v>
      </c>
      <c r="I12">
        <v>146.85</v>
      </c>
    </row>
    <row r="13" spans="1:9" x14ac:dyDescent="0.3">
      <c r="A13">
        <v>12</v>
      </c>
      <c r="B13" s="10">
        <v>45747</v>
      </c>
      <c r="C13">
        <v>1</v>
      </c>
      <c r="D13">
        <v>45</v>
      </c>
      <c r="E13">
        <v>19</v>
      </c>
      <c r="F13">
        <v>1</v>
      </c>
      <c r="G13">
        <v>138.31</v>
      </c>
      <c r="H13">
        <v>0</v>
      </c>
      <c r="I13">
        <v>138.31</v>
      </c>
    </row>
    <row r="14" spans="1:9" x14ac:dyDescent="0.3">
      <c r="A14">
        <v>13</v>
      </c>
      <c r="B14" s="10">
        <v>45858</v>
      </c>
      <c r="C14">
        <v>2</v>
      </c>
      <c r="D14">
        <v>177</v>
      </c>
      <c r="E14">
        <v>26</v>
      </c>
      <c r="F14">
        <v>2</v>
      </c>
      <c r="G14">
        <v>211.87</v>
      </c>
      <c r="H14">
        <v>0.1</v>
      </c>
      <c r="I14">
        <v>381.37</v>
      </c>
    </row>
    <row r="15" spans="1:9" x14ac:dyDescent="0.3">
      <c r="A15">
        <v>14</v>
      </c>
      <c r="B15" s="10">
        <v>45571</v>
      </c>
      <c r="C15">
        <v>5</v>
      </c>
      <c r="D15">
        <v>172</v>
      </c>
      <c r="E15">
        <v>66</v>
      </c>
      <c r="F15">
        <v>2</v>
      </c>
      <c r="G15">
        <v>169.57</v>
      </c>
      <c r="H15">
        <v>0.1</v>
      </c>
      <c r="I15">
        <v>305.23</v>
      </c>
    </row>
    <row r="16" spans="1:9" x14ac:dyDescent="0.3">
      <c r="A16">
        <v>15</v>
      </c>
      <c r="B16" s="10">
        <v>45589</v>
      </c>
      <c r="C16">
        <v>2</v>
      </c>
      <c r="D16">
        <v>152</v>
      </c>
      <c r="E16">
        <v>26</v>
      </c>
      <c r="F16">
        <v>1</v>
      </c>
      <c r="G16">
        <v>211.87</v>
      </c>
      <c r="H16">
        <v>0</v>
      </c>
      <c r="I16">
        <v>211.87</v>
      </c>
    </row>
    <row r="17" spans="1:9" x14ac:dyDescent="0.3">
      <c r="A17">
        <v>16</v>
      </c>
      <c r="B17" s="10">
        <v>45754</v>
      </c>
      <c r="C17">
        <v>1</v>
      </c>
      <c r="D17">
        <v>203</v>
      </c>
      <c r="E17">
        <v>26</v>
      </c>
      <c r="F17">
        <v>1</v>
      </c>
      <c r="G17">
        <v>211.87</v>
      </c>
      <c r="H17">
        <v>0</v>
      </c>
      <c r="I17">
        <v>211.87</v>
      </c>
    </row>
    <row r="18" spans="1:9" x14ac:dyDescent="0.3">
      <c r="A18">
        <v>17</v>
      </c>
      <c r="B18" s="10">
        <v>45873</v>
      </c>
      <c r="C18">
        <v>7</v>
      </c>
      <c r="D18">
        <v>40</v>
      </c>
      <c r="E18">
        <v>26</v>
      </c>
      <c r="F18">
        <v>1</v>
      </c>
      <c r="G18">
        <v>211.87</v>
      </c>
      <c r="H18">
        <v>0.05</v>
      </c>
      <c r="I18">
        <v>201.28</v>
      </c>
    </row>
    <row r="19" spans="1:9" x14ac:dyDescent="0.3">
      <c r="A19">
        <v>18</v>
      </c>
      <c r="B19" s="10">
        <v>45038</v>
      </c>
      <c r="C19">
        <v>4</v>
      </c>
      <c r="D19">
        <v>3</v>
      </c>
      <c r="E19">
        <v>47</v>
      </c>
      <c r="F19">
        <v>1</v>
      </c>
      <c r="G19">
        <v>93.41</v>
      </c>
      <c r="H19">
        <v>0</v>
      </c>
      <c r="I19">
        <v>93.41</v>
      </c>
    </row>
    <row r="20" spans="1:9" x14ac:dyDescent="0.3">
      <c r="A20">
        <v>19</v>
      </c>
      <c r="B20" s="10">
        <v>45667</v>
      </c>
      <c r="C20">
        <v>8</v>
      </c>
      <c r="D20">
        <v>32</v>
      </c>
      <c r="E20">
        <v>81</v>
      </c>
      <c r="F20">
        <v>1</v>
      </c>
      <c r="G20">
        <v>225.3</v>
      </c>
      <c r="H20">
        <v>0.1</v>
      </c>
      <c r="I20">
        <v>202.77</v>
      </c>
    </row>
    <row r="21" spans="1:9" x14ac:dyDescent="0.3">
      <c r="A21">
        <v>20</v>
      </c>
      <c r="B21" s="10">
        <v>45832</v>
      </c>
      <c r="C21">
        <v>1</v>
      </c>
      <c r="D21">
        <v>60</v>
      </c>
      <c r="E21">
        <v>71</v>
      </c>
      <c r="F21">
        <v>1</v>
      </c>
      <c r="G21">
        <v>225.61</v>
      </c>
      <c r="H21">
        <v>0</v>
      </c>
      <c r="I21">
        <v>225.61</v>
      </c>
    </row>
    <row r="22" spans="1:9" x14ac:dyDescent="0.3">
      <c r="A22">
        <v>21</v>
      </c>
      <c r="B22" s="10">
        <v>45343</v>
      </c>
      <c r="C22">
        <v>5</v>
      </c>
      <c r="D22">
        <v>144</v>
      </c>
      <c r="E22">
        <v>58</v>
      </c>
      <c r="F22">
        <v>1</v>
      </c>
      <c r="G22">
        <v>64.400000000000006</v>
      </c>
      <c r="H22">
        <v>0.1</v>
      </c>
      <c r="I22">
        <v>57.96</v>
      </c>
    </row>
    <row r="23" spans="1:9" x14ac:dyDescent="0.3">
      <c r="A23">
        <v>22</v>
      </c>
      <c r="B23" s="10">
        <v>45195</v>
      </c>
      <c r="C23">
        <v>5</v>
      </c>
      <c r="D23">
        <v>21</v>
      </c>
      <c r="E23">
        <v>61</v>
      </c>
      <c r="F23">
        <v>1</v>
      </c>
      <c r="G23">
        <v>106.64</v>
      </c>
      <c r="H23">
        <v>0.05</v>
      </c>
      <c r="I23">
        <v>101.31</v>
      </c>
    </row>
    <row r="24" spans="1:9" x14ac:dyDescent="0.3">
      <c r="A24">
        <v>23</v>
      </c>
      <c r="B24" s="10">
        <v>45824</v>
      </c>
      <c r="C24">
        <v>8</v>
      </c>
      <c r="D24">
        <v>154</v>
      </c>
      <c r="E24">
        <v>25</v>
      </c>
      <c r="F24">
        <v>1</v>
      </c>
      <c r="G24">
        <v>117.41</v>
      </c>
      <c r="H24">
        <v>0</v>
      </c>
      <c r="I24">
        <v>117.41</v>
      </c>
    </row>
    <row r="25" spans="1:9" x14ac:dyDescent="0.3">
      <c r="A25">
        <v>24</v>
      </c>
      <c r="B25" s="10">
        <v>45175</v>
      </c>
      <c r="C25">
        <v>1</v>
      </c>
      <c r="D25">
        <v>19</v>
      </c>
      <c r="E25">
        <v>31</v>
      </c>
      <c r="F25">
        <v>1</v>
      </c>
      <c r="G25">
        <v>165.45</v>
      </c>
      <c r="H25">
        <v>0.05</v>
      </c>
      <c r="I25">
        <v>157.18</v>
      </c>
    </row>
    <row r="26" spans="1:9" x14ac:dyDescent="0.3">
      <c r="A26">
        <v>25</v>
      </c>
      <c r="B26" s="10">
        <v>45417</v>
      </c>
      <c r="C26">
        <v>3</v>
      </c>
      <c r="D26">
        <v>90</v>
      </c>
      <c r="E26">
        <v>17</v>
      </c>
      <c r="F26">
        <v>1</v>
      </c>
      <c r="G26">
        <v>97.14</v>
      </c>
      <c r="H26">
        <v>0.05</v>
      </c>
      <c r="I26">
        <v>92.28</v>
      </c>
    </row>
    <row r="27" spans="1:9" x14ac:dyDescent="0.3">
      <c r="A27">
        <v>26</v>
      </c>
      <c r="B27" s="10">
        <v>45563</v>
      </c>
      <c r="C27">
        <v>1</v>
      </c>
      <c r="D27">
        <v>179</v>
      </c>
      <c r="E27">
        <v>74</v>
      </c>
      <c r="F27">
        <v>1</v>
      </c>
      <c r="G27">
        <v>205.01</v>
      </c>
      <c r="H27">
        <v>0</v>
      </c>
      <c r="I27">
        <v>205.01</v>
      </c>
    </row>
    <row r="28" spans="1:9" x14ac:dyDescent="0.3">
      <c r="A28">
        <v>27</v>
      </c>
      <c r="B28" s="10">
        <v>45762</v>
      </c>
      <c r="C28">
        <v>2</v>
      </c>
      <c r="D28">
        <v>201</v>
      </c>
      <c r="E28">
        <v>57</v>
      </c>
      <c r="F28">
        <v>3</v>
      </c>
      <c r="G28">
        <v>32.28</v>
      </c>
      <c r="H28">
        <v>0.15</v>
      </c>
      <c r="I28">
        <v>82.31</v>
      </c>
    </row>
    <row r="29" spans="1:9" x14ac:dyDescent="0.3">
      <c r="A29">
        <v>28</v>
      </c>
      <c r="B29" s="10">
        <v>45387</v>
      </c>
      <c r="C29">
        <v>2</v>
      </c>
      <c r="D29">
        <v>112</v>
      </c>
      <c r="E29">
        <v>95</v>
      </c>
      <c r="F29">
        <v>2</v>
      </c>
      <c r="G29">
        <v>201.94</v>
      </c>
      <c r="H29">
        <v>0</v>
      </c>
      <c r="I29">
        <v>403.88</v>
      </c>
    </row>
    <row r="30" spans="1:9" x14ac:dyDescent="0.3">
      <c r="A30">
        <v>29</v>
      </c>
      <c r="B30" s="10">
        <v>45872</v>
      </c>
      <c r="C30">
        <v>2</v>
      </c>
      <c r="D30">
        <v>76</v>
      </c>
      <c r="E30">
        <v>95</v>
      </c>
      <c r="F30">
        <v>1</v>
      </c>
      <c r="G30">
        <v>201.94</v>
      </c>
      <c r="H30">
        <v>0</v>
      </c>
      <c r="I30">
        <v>201.94</v>
      </c>
    </row>
    <row r="31" spans="1:9" x14ac:dyDescent="0.3">
      <c r="A31">
        <v>30</v>
      </c>
      <c r="B31" s="10">
        <v>45242</v>
      </c>
      <c r="C31">
        <v>8</v>
      </c>
      <c r="D31">
        <v>108</v>
      </c>
      <c r="E31">
        <v>57</v>
      </c>
      <c r="F31">
        <v>1</v>
      </c>
      <c r="G31">
        <v>32.28</v>
      </c>
      <c r="H31">
        <v>0.1</v>
      </c>
      <c r="I31">
        <v>29.05</v>
      </c>
    </row>
    <row r="32" spans="1:9" x14ac:dyDescent="0.3">
      <c r="A32">
        <v>31</v>
      </c>
      <c r="B32" s="10">
        <v>45524</v>
      </c>
      <c r="C32">
        <v>5</v>
      </c>
      <c r="D32">
        <v>160</v>
      </c>
      <c r="E32">
        <v>43</v>
      </c>
      <c r="F32">
        <v>1</v>
      </c>
      <c r="G32">
        <v>16.04</v>
      </c>
      <c r="H32">
        <v>0.2</v>
      </c>
      <c r="I32">
        <v>12.83</v>
      </c>
    </row>
    <row r="33" spans="1:9" x14ac:dyDescent="0.3">
      <c r="A33">
        <v>32</v>
      </c>
      <c r="B33" s="10">
        <v>45777</v>
      </c>
      <c r="C33">
        <v>8</v>
      </c>
      <c r="D33">
        <v>208</v>
      </c>
      <c r="E33">
        <v>72</v>
      </c>
      <c r="F33">
        <v>2</v>
      </c>
      <c r="G33">
        <v>50.75</v>
      </c>
      <c r="H33">
        <v>0</v>
      </c>
      <c r="I33">
        <v>101.5</v>
      </c>
    </row>
    <row r="34" spans="1:9" x14ac:dyDescent="0.3">
      <c r="A34">
        <v>33</v>
      </c>
      <c r="B34" s="10">
        <v>45894</v>
      </c>
      <c r="C34">
        <v>4</v>
      </c>
      <c r="D34">
        <v>220</v>
      </c>
      <c r="E34">
        <v>6</v>
      </c>
      <c r="F34">
        <v>1</v>
      </c>
      <c r="G34">
        <v>44.63</v>
      </c>
      <c r="H34">
        <v>0.05</v>
      </c>
      <c r="I34">
        <v>42.4</v>
      </c>
    </row>
    <row r="35" spans="1:9" x14ac:dyDescent="0.3">
      <c r="A35">
        <v>34</v>
      </c>
      <c r="B35" s="10">
        <v>45862</v>
      </c>
      <c r="C35">
        <v>3</v>
      </c>
      <c r="D35">
        <v>118</v>
      </c>
      <c r="E35">
        <v>33</v>
      </c>
      <c r="F35">
        <v>1</v>
      </c>
      <c r="G35">
        <v>21.23</v>
      </c>
      <c r="H35">
        <v>0.1</v>
      </c>
      <c r="I35">
        <v>19.11</v>
      </c>
    </row>
    <row r="36" spans="1:9" x14ac:dyDescent="0.3">
      <c r="A36">
        <v>35</v>
      </c>
      <c r="B36" s="10">
        <v>45712</v>
      </c>
      <c r="C36">
        <v>4</v>
      </c>
      <c r="D36">
        <v>211</v>
      </c>
      <c r="E36">
        <v>98</v>
      </c>
      <c r="F36">
        <v>1</v>
      </c>
      <c r="G36">
        <v>136.97</v>
      </c>
      <c r="H36">
        <v>0.05</v>
      </c>
      <c r="I36">
        <v>130.12</v>
      </c>
    </row>
    <row r="37" spans="1:9" x14ac:dyDescent="0.3">
      <c r="A37">
        <v>36</v>
      </c>
      <c r="B37" s="10">
        <v>45967</v>
      </c>
      <c r="C37">
        <v>3</v>
      </c>
      <c r="D37">
        <v>187</v>
      </c>
      <c r="E37">
        <v>52</v>
      </c>
      <c r="F37">
        <v>2</v>
      </c>
      <c r="G37">
        <v>196.75</v>
      </c>
      <c r="H37">
        <v>0</v>
      </c>
      <c r="I37">
        <v>393.5</v>
      </c>
    </row>
    <row r="38" spans="1:9" x14ac:dyDescent="0.3">
      <c r="A38">
        <v>37</v>
      </c>
      <c r="B38" s="10">
        <v>45069</v>
      </c>
      <c r="C38">
        <v>5</v>
      </c>
      <c r="D38">
        <v>96</v>
      </c>
      <c r="E38">
        <v>89</v>
      </c>
      <c r="F38">
        <v>1</v>
      </c>
      <c r="G38">
        <v>247.43</v>
      </c>
      <c r="H38">
        <v>0</v>
      </c>
      <c r="I38">
        <v>247.43</v>
      </c>
    </row>
    <row r="39" spans="1:9" x14ac:dyDescent="0.3">
      <c r="A39">
        <v>38</v>
      </c>
      <c r="B39" s="10">
        <v>45776</v>
      </c>
      <c r="C39">
        <v>6</v>
      </c>
      <c r="D39">
        <v>93</v>
      </c>
      <c r="E39">
        <v>9</v>
      </c>
      <c r="F39">
        <v>1</v>
      </c>
      <c r="G39">
        <v>152.78</v>
      </c>
      <c r="H39">
        <v>0</v>
      </c>
      <c r="I39">
        <v>152.78</v>
      </c>
    </row>
    <row r="40" spans="1:9" x14ac:dyDescent="0.3">
      <c r="A40">
        <v>39</v>
      </c>
      <c r="B40" s="10">
        <v>45966</v>
      </c>
      <c r="C40">
        <v>5</v>
      </c>
      <c r="D40">
        <v>110</v>
      </c>
      <c r="E40">
        <v>94</v>
      </c>
      <c r="F40">
        <v>1</v>
      </c>
      <c r="G40">
        <v>163.66</v>
      </c>
      <c r="H40">
        <v>0</v>
      </c>
      <c r="I40">
        <v>163.66</v>
      </c>
    </row>
    <row r="41" spans="1:9" x14ac:dyDescent="0.3">
      <c r="A41">
        <v>40</v>
      </c>
      <c r="B41" s="10">
        <v>44932</v>
      </c>
      <c r="C41">
        <v>5</v>
      </c>
      <c r="D41">
        <v>39</v>
      </c>
      <c r="E41">
        <v>25</v>
      </c>
      <c r="F41">
        <v>1</v>
      </c>
      <c r="G41">
        <v>117.41</v>
      </c>
      <c r="H41">
        <v>0</v>
      </c>
      <c r="I41">
        <v>117.41</v>
      </c>
    </row>
    <row r="42" spans="1:9" x14ac:dyDescent="0.3">
      <c r="A42">
        <v>41</v>
      </c>
      <c r="B42" s="10">
        <v>45538</v>
      </c>
      <c r="C42">
        <v>8</v>
      </c>
      <c r="D42">
        <v>154</v>
      </c>
      <c r="E42">
        <v>44</v>
      </c>
      <c r="F42">
        <v>1</v>
      </c>
      <c r="G42">
        <v>235.19</v>
      </c>
      <c r="H42">
        <v>0</v>
      </c>
      <c r="I42">
        <v>235.19</v>
      </c>
    </row>
    <row r="43" spans="1:9" x14ac:dyDescent="0.3">
      <c r="A43">
        <v>42</v>
      </c>
      <c r="B43" s="10">
        <v>45231</v>
      </c>
      <c r="C43">
        <v>8</v>
      </c>
      <c r="D43">
        <v>143</v>
      </c>
      <c r="E43">
        <v>25</v>
      </c>
      <c r="F43">
        <v>1</v>
      </c>
      <c r="G43">
        <v>117.41</v>
      </c>
      <c r="H43">
        <v>0.05</v>
      </c>
      <c r="I43">
        <v>111.54</v>
      </c>
    </row>
    <row r="44" spans="1:9" x14ac:dyDescent="0.3">
      <c r="A44">
        <v>43</v>
      </c>
      <c r="B44" s="10">
        <v>45918</v>
      </c>
      <c r="C44">
        <v>6</v>
      </c>
      <c r="D44">
        <v>177</v>
      </c>
      <c r="E44">
        <v>60</v>
      </c>
      <c r="F44">
        <v>1</v>
      </c>
      <c r="G44">
        <v>101.29</v>
      </c>
      <c r="H44">
        <v>0.05</v>
      </c>
      <c r="I44">
        <v>96.23</v>
      </c>
    </row>
    <row r="45" spans="1:9" x14ac:dyDescent="0.3">
      <c r="A45">
        <v>44</v>
      </c>
      <c r="B45" s="10">
        <v>45607</v>
      </c>
      <c r="C45">
        <v>7</v>
      </c>
      <c r="D45">
        <v>37</v>
      </c>
      <c r="E45">
        <v>93</v>
      </c>
      <c r="F45">
        <v>1</v>
      </c>
      <c r="G45">
        <v>239.23</v>
      </c>
      <c r="H45">
        <v>0</v>
      </c>
      <c r="I45">
        <v>239.23</v>
      </c>
    </row>
    <row r="46" spans="1:9" x14ac:dyDescent="0.3">
      <c r="A46">
        <v>45</v>
      </c>
      <c r="B46" s="10">
        <v>45859</v>
      </c>
      <c r="C46">
        <v>6</v>
      </c>
      <c r="D46">
        <v>125</v>
      </c>
      <c r="E46">
        <v>69</v>
      </c>
      <c r="F46">
        <v>1</v>
      </c>
      <c r="G46">
        <v>22.86</v>
      </c>
      <c r="H46">
        <v>0.15</v>
      </c>
      <c r="I46">
        <v>19.43</v>
      </c>
    </row>
    <row r="47" spans="1:9" x14ac:dyDescent="0.3">
      <c r="A47">
        <v>46</v>
      </c>
      <c r="B47" s="10">
        <v>45313</v>
      </c>
      <c r="C47">
        <v>4</v>
      </c>
      <c r="D47">
        <v>94</v>
      </c>
      <c r="E47">
        <v>62</v>
      </c>
      <c r="F47">
        <v>1</v>
      </c>
      <c r="G47">
        <v>82.81</v>
      </c>
      <c r="H47">
        <v>0</v>
      </c>
      <c r="I47">
        <v>82.81</v>
      </c>
    </row>
    <row r="48" spans="1:9" x14ac:dyDescent="0.3">
      <c r="A48">
        <v>47</v>
      </c>
      <c r="B48" s="10">
        <v>45711</v>
      </c>
      <c r="C48">
        <v>4</v>
      </c>
      <c r="D48">
        <v>149</v>
      </c>
      <c r="E48">
        <v>80</v>
      </c>
      <c r="F48">
        <v>1</v>
      </c>
      <c r="G48">
        <v>33.380000000000003</v>
      </c>
      <c r="H48">
        <v>0</v>
      </c>
      <c r="I48">
        <v>33.380000000000003</v>
      </c>
    </row>
    <row r="49" spans="1:9" x14ac:dyDescent="0.3">
      <c r="A49">
        <v>48</v>
      </c>
      <c r="B49" s="10">
        <v>45768</v>
      </c>
      <c r="C49">
        <v>1</v>
      </c>
      <c r="D49">
        <v>218</v>
      </c>
      <c r="E49">
        <v>86</v>
      </c>
      <c r="F49">
        <v>1</v>
      </c>
      <c r="G49">
        <v>99.19</v>
      </c>
      <c r="H49">
        <v>0.15</v>
      </c>
      <c r="I49">
        <v>84.31</v>
      </c>
    </row>
    <row r="50" spans="1:9" x14ac:dyDescent="0.3">
      <c r="A50">
        <v>49</v>
      </c>
      <c r="B50" s="10">
        <v>45578</v>
      </c>
      <c r="C50">
        <v>8</v>
      </c>
      <c r="D50">
        <v>83</v>
      </c>
      <c r="E50">
        <v>72</v>
      </c>
      <c r="F50">
        <v>1</v>
      </c>
      <c r="G50">
        <v>50.75</v>
      </c>
      <c r="H50">
        <v>0</v>
      </c>
      <c r="I50">
        <v>50.75</v>
      </c>
    </row>
    <row r="51" spans="1:9" x14ac:dyDescent="0.3">
      <c r="A51">
        <v>50</v>
      </c>
      <c r="B51" s="10">
        <v>45707</v>
      </c>
      <c r="C51">
        <v>7</v>
      </c>
      <c r="D51">
        <v>193</v>
      </c>
      <c r="E51">
        <v>83</v>
      </c>
      <c r="F51">
        <v>1</v>
      </c>
      <c r="G51">
        <v>109.16</v>
      </c>
      <c r="H51">
        <v>0</v>
      </c>
      <c r="I51">
        <v>109.16</v>
      </c>
    </row>
    <row r="52" spans="1:9" x14ac:dyDescent="0.3">
      <c r="A52">
        <v>51</v>
      </c>
      <c r="B52" s="10">
        <v>45238</v>
      </c>
      <c r="C52">
        <v>8</v>
      </c>
      <c r="D52">
        <v>127</v>
      </c>
      <c r="E52">
        <v>5</v>
      </c>
      <c r="F52">
        <v>1</v>
      </c>
      <c r="G52">
        <v>55.26</v>
      </c>
      <c r="H52">
        <v>0</v>
      </c>
      <c r="I52">
        <v>55.26</v>
      </c>
    </row>
    <row r="53" spans="1:9" x14ac:dyDescent="0.3">
      <c r="A53">
        <v>52</v>
      </c>
      <c r="B53" s="10">
        <v>45002</v>
      </c>
      <c r="C53">
        <v>3</v>
      </c>
      <c r="D53">
        <v>217</v>
      </c>
      <c r="E53">
        <v>71</v>
      </c>
      <c r="F53">
        <v>1</v>
      </c>
      <c r="G53">
        <v>225.61</v>
      </c>
      <c r="H53">
        <v>0</v>
      </c>
      <c r="I53">
        <v>225.61</v>
      </c>
    </row>
    <row r="54" spans="1:9" x14ac:dyDescent="0.3">
      <c r="A54">
        <v>53</v>
      </c>
      <c r="B54" s="10">
        <v>45955</v>
      </c>
      <c r="C54">
        <v>6</v>
      </c>
      <c r="D54">
        <v>195</v>
      </c>
      <c r="E54">
        <v>4</v>
      </c>
      <c r="F54">
        <v>1</v>
      </c>
      <c r="G54">
        <v>168</v>
      </c>
      <c r="H54">
        <v>0</v>
      </c>
      <c r="I54">
        <v>168</v>
      </c>
    </row>
    <row r="55" spans="1:9" x14ac:dyDescent="0.3">
      <c r="A55">
        <v>54</v>
      </c>
      <c r="B55" s="10">
        <v>45132</v>
      </c>
      <c r="C55">
        <v>8</v>
      </c>
      <c r="D55">
        <v>17</v>
      </c>
      <c r="E55">
        <v>50</v>
      </c>
      <c r="F55">
        <v>1</v>
      </c>
      <c r="G55">
        <v>52.54</v>
      </c>
      <c r="H55">
        <v>0</v>
      </c>
      <c r="I55">
        <v>52.54</v>
      </c>
    </row>
    <row r="56" spans="1:9" x14ac:dyDescent="0.3">
      <c r="A56">
        <v>55</v>
      </c>
      <c r="B56" s="10">
        <v>45131</v>
      </c>
      <c r="C56">
        <v>8</v>
      </c>
      <c r="D56">
        <v>200</v>
      </c>
      <c r="E56">
        <v>64</v>
      </c>
      <c r="F56">
        <v>1</v>
      </c>
      <c r="G56">
        <v>103.65</v>
      </c>
      <c r="H56">
        <v>0</v>
      </c>
      <c r="I56">
        <v>103.65</v>
      </c>
    </row>
    <row r="57" spans="1:9" x14ac:dyDescent="0.3">
      <c r="A57">
        <v>56</v>
      </c>
      <c r="B57" s="10">
        <v>44958</v>
      </c>
      <c r="C57">
        <v>3</v>
      </c>
      <c r="D57">
        <v>139</v>
      </c>
      <c r="E57">
        <v>44</v>
      </c>
      <c r="F57">
        <v>1</v>
      </c>
      <c r="G57">
        <v>235.19</v>
      </c>
      <c r="H57">
        <v>0.1</v>
      </c>
      <c r="I57">
        <v>211.67</v>
      </c>
    </row>
    <row r="58" spans="1:9" x14ac:dyDescent="0.3">
      <c r="A58">
        <v>57</v>
      </c>
      <c r="B58" s="10">
        <v>45766</v>
      </c>
      <c r="C58">
        <v>3</v>
      </c>
      <c r="D58">
        <v>190</v>
      </c>
      <c r="E58">
        <v>47</v>
      </c>
      <c r="F58">
        <v>1</v>
      </c>
      <c r="G58">
        <v>93.41</v>
      </c>
      <c r="H58">
        <v>0</v>
      </c>
      <c r="I58">
        <v>93.41</v>
      </c>
    </row>
    <row r="59" spans="1:9" x14ac:dyDescent="0.3">
      <c r="A59">
        <v>58</v>
      </c>
      <c r="B59" s="10">
        <v>45080</v>
      </c>
      <c r="C59">
        <v>8</v>
      </c>
      <c r="D59">
        <v>87</v>
      </c>
      <c r="E59">
        <v>29</v>
      </c>
      <c r="F59">
        <v>1</v>
      </c>
      <c r="G59">
        <v>138.6</v>
      </c>
      <c r="H59">
        <v>0</v>
      </c>
      <c r="I59">
        <v>138.6</v>
      </c>
    </row>
    <row r="60" spans="1:9" x14ac:dyDescent="0.3">
      <c r="A60">
        <v>59</v>
      </c>
      <c r="B60" s="10">
        <v>45469</v>
      </c>
      <c r="C60">
        <v>6</v>
      </c>
      <c r="D60">
        <v>106</v>
      </c>
      <c r="E60">
        <v>94</v>
      </c>
      <c r="F60">
        <v>1</v>
      </c>
      <c r="G60">
        <v>163.66</v>
      </c>
      <c r="H60">
        <v>0</v>
      </c>
      <c r="I60">
        <v>163.66</v>
      </c>
    </row>
    <row r="61" spans="1:9" x14ac:dyDescent="0.3">
      <c r="A61">
        <v>60</v>
      </c>
      <c r="B61" s="10">
        <v>45741</v>
      </c>
      <c r="C61">
        <v>2</v>
      </c>
      <c r="D61">
        <v>132</v>
      </c>
      <c r="E61">
        <v>6</v>
      </c>
      <c r="F61">
        <v>2</v>
      </c>
      <c r="G61">
        <v>44.63</v>
      </c>
      <c r="H61">
        <v>0</v>
      </c>
      <c r="I61">
        <v>89.26</v>
      </c>
    </row>
    <row r="62" spans="1:9" x14ac:dyDescent="0.3">
      <c r="A62">
        <v>61</v>
      </c>
      <c r="B62" s="10">
        <v>45599</v>
      </c>
      <c r="C62">
        <v>7</v>
      </c>
      <c r="D62">
        <v>43</v>
      </c>
      <c r="E62">
        <v>72</v>
      </c>
      <c r="F62">
        <v>1</v>
      </c>
      <c r="G62">
        <v>50.75</v>
      </c>
      <c r="H62">
        <v>0.05</v>
      </c>
      <c r="I62">
        <v>48.21</v>
      </c>
    </row>
    <row r="63" spans="1:9" x14ac:dyDescent="0.3">
      <c r="A63">
        <v>62</v>
      </c>
      <c r="B63" s="10">
        <v>45575</v>
      </c>
      <c r="C63">
        <v>8</v>
      </c>
      <c r="D63">
        <v>47</v>
      </c>
      <c r="E63">
        <v>1</v>
      </c>
      <c r="F63">
        <v>1</v>
      </c>
      <c r="G63">
        <v>90.53</v>
      </c>
      <c r="H63">
        <v>0</v>
      </c>
      <c r="I63">
        <v>90.53</v>
      </c>
    </row>
    <row r="64" spans="1:9" x14ac:dyDescent="0.3">
      <c r="A64">
        <v>63</v>
      </c>
      <c r="B64" s="10">
        <v>45000</v>
      </c>
      <c r="C64">
        <v>2</v>
      </c>
      <c r="D64">
        <v>165</v>
      </c>
      <c r="E64">
        <v>70</v>
      </c>
      <c r="F64">
        <v>1</v>
      </c>
      <c r="G64">
        <v>280.36</v>
      </c>
      <c r="H64">
        <v>0</v>
      </c>
      <c r="I64">
        <v>280.36</v>
      </c>
    </row>
    <row r="65" spans="1:9" x14ac:dyDescent="0.3">
      <c r="A65">
        <v>64</v>
      </c>
      <c r="B65" s="10">
        <v>45407</v>
      </c>
      <c r="C65">
        <v>5</v>
      </c>
      <c r="D65">
        <v>101</v>
      </c>
      <c r="E65">
        <v>73</v>
      </c>
      <c r="F65">
        <v>1</v>
      </c>
      <c r="G65">
        <v>8.39</v>
      </c>
      <c r="H65">
        <v>0</v>
      </c>
      <c r="I65">
        <v>8.39</v>
      </c>
    </row>
    <row r="66" spans="1:9" x14ac:dyDescent="0.3">
      <c r="A66">
        <v>65</v>
      </c>
      <c r="B66" s="10">
        <v>45392</v>
      </c>
      <c r="C66">
        <v>2</v>
      </c>
      <c r="D66">
        <v>103</v>
      </c>
      <c r="E66">
        <v>57</v>
      </c>
      <c r="F66">
        <v>4</v>
      </c>
      <c r="G66">
        <v>32.28</v>
      </c>
      <c r="H66">
        <v>0</v>
      </c>
      <c r="I66">
        <v>129.12</v>
      </c>
    </row>
    <row r="67" spans="1:9" x14ac:dyDescent="0.3">
      <c r="A67">
        <v>66</v>
      </c>
      <c r="B67" s="10">
        <v>45815</v>
      </c>
      <c r="C67">
        <v>2</v>
      </c>
      <c r="D67">
        <v>27</v>
      </c>
      <c r="E67">
        <v>30</v>
      </c>
      <c r="F67">
        <v>1</v>
      </c>
      <c r="G67">
        <v>19.399999999999999</v>
      </c>
      <c r="H67">
        <v>0</v>
      </c>
      <c r="I67">
        <v>19.399999999999999</v>
      </c>
    </row>
    <row r="68" spans="1:9" x14ac:dyDescent="0.3">
      <c r="A68">
        <v>67</v>
      </c>
      <c r="B68" s="10">
        <v>45132</v>
      </c>
      <c r="C68">
        <v>8</v>
      </c>
      <c r="D68">
        <v>24</v>
      </c>
      <c r="E68">
        <v>7</v>
      </c>
      <c r="F68">
        <v>1</v>
      </c>
      <c r="G68">
        <v>21.72</v>
      </c>
      <c r="H68">
        <v>0.1</v>
      </c>
      <c r="I68">
        <v>19.55</v>
      </c>
    </row>
    <row r="69" spans="1:9" x14ac:dyDescent="0.3">
      <c r="A69">
        <v>68</v>
      </c>
      <c r="B69" s="10">
        <v>45267</v>
      </c>
      <c r="C69">
        <v>5</v>
      </c>
      <c r="D69">
        <v>15</v>
      </c>
      <c r="E69">
        <v>79</v>
      </c>
      <c r="F69">
        <v>1</v>
      </c>
      <c r="G69">
        <v>117.59</v>
      </c>
      <c r="H69">
        <v>0.1</v>
      </c>
      <c r="I69">
        <v>105.83</v>
      </c>
    </row>
    <row r="70" spans="1:9" x14ac:dyDescent="0.3">
      <c r="A70">
        <v>69</v>
      </c>
      <c r="B70" s="10">
        <v>44986</v>
      </c>
      <c r="C70">
        <v>1</v>
      </c>
      <c r="D70">
        <v>95</v>
      </c>
      <c r="E70">
        <v>98</v>
      </c>
      <c r="F70">
        <v>1</v>
      </c>
      <c r="G70">
        <v>136.97</v>
      </c>
      <c r="H70">
        <v>0.05</v>
      </c>
      <c r="I70">
        <v>130.12</v>
      </c>
    </row>
    <row r="71" spans="1:9" x14ac:dyDescent="0.3">
      <c r="A71">
        <v>70</v>
      </c>
      <c r="B71" s="10">
        <v>45591</v>
      </c>
      <c r="C71">
        <v>1</v>
      </c>
      <c r="D71">
        <v>78</v>
      </c>
      <c r="E71">
        <v>29</v>
      </c>
      <c r="F71">
        <v>2</v>
      </c>
      <c r="G71">
        <v>138.6</v>
      </c>
      <c r="H71">
        <v>0.05</v>
      </c>
      <c r="I71">
        <v>263.33999999999997</v>
      </c>
    </row>
    <row r="72" spans="1:9" x14ac:dyDescent="0.3">
      <c r="A72">
        <v>71</v>
      </c>
      <c r="B72" s="10">
        <v>45527</v>
      </c>
      <c r="C72">
        <v>6</v>
      </c>
      <c r="D72">
        <v>119</v>
      </c>
      <c r="E72">
        <v>16</v>
      </c>
      <c r="F72">
        <v>1</v>
      </c>
      <c r="G72">
        <v>62.77</v>
      </c>
      <c r="H72">
        <v>0</v>
      </c>
      <c r="I72">
        <v>62.77</v>
      </c>
    </row>
    <row r="73" spans="1:9" x14ac:dyDescent="0.3">
      <c r="A73">
        <v>72</v>
      </c>
      <c r="B73" s="10">
        <v>45694</v>
      </c>
      <c r="C73">
        <v>7</v>
      </c>
      <c r="D73">
        <v>143</v>
      </c>
      <c r="E73">
        <v>23</v>
      </c>
      <c r="F73">
        <v>1</v>
      </c>
      <c r="G73">
        <v>79.94</v>
      </c>
      <c r="H73">
        <v>0</v>
      </c>
      <c r="I73">
        <v>79.94</v>
      </c>
    </row>
    <row r="74" spans="1:9" x14ac:dyDescent="0.3">
      <c r="A74">
        <v>73</v>
      </c>
      <c r="B74" s="10">
        <v>45225</v>
      </c>
      <c r="C74">
        <v>4</v>
      </c>
      <c r="D74">
        <v>7</v>
      </c>
      <c r="E74">
        <v>9</v>
      </c>
      <c r="F74">
        <v>2</v>
      </c>
      <c r="G74">
        <v>152.78</v>
      </c>
      <c r="H74">
        <v>0</v>
      </c>
      <c r="I74">
        <v>305.56</v>
      </c>
    </row>
    <row r="75" spans="1:9" x14ac:dyDescent="0.3">
      <c r="A75">
        <v>74</v>
      </c>
      <c r="B75" s="10">
        <v>45770</v>
      </c>
      <c r="C75">
        <v>3</v>
      </c>
      <c r="D75">
        <v>19</v>
      </c>
      <c r="E75">
        <v>91</v>
      </c>
      <c r="F75">
        <v>1</v>
      </c>
      <c r="G75">
        <v>33.700000000000003</v>
      </c>
      <c r="H75">
        <v>0</v>
      </c>
      <c r="I75">
        <v>33.700000000000003</v>
      </c>
    </row>
    <row r="76" spans="1:9" x14ac:dyDescent="0.3">
      <c r="A76">
        <v>75</v>
      </c>
      <c r="B76" s="10">
        <v>45275</v>
      </c>
      <c r="C76">
        <v>3</v>
      </c>
      <c r="D76">
        <v>98</v>
      </c>
      <c r="E76">
        <v>88</v>
      </c>
      <c r="F76">
        <v>1</v>
      </c>
      <c r="G76">
        <v>181.05</v>
      </c>
      <c r="H76">
        <v>0</v>
      </c>
      <c r="I76">
        <v>181.05</v>
      </c>
    </row>
    <row r="77" spans="1:9" x14ac:dyDescent="0.3">
      <c r="A77">
        <v>76</v>
      </c>
      <c r="B77" s="10">
        <v>45088</v>
      </c>
      <c r="C77">
        <v>7</v>
      </c>
      <c r="D77">
        <v>167</v>
      </c>
      <c r="E77">
        <v>61</v>
      </c>
      <c r="F77">
        <v>1</v>
      </c>
      <c r="G77">
        <v>106.64</v>
      </c>
      <c r="H77">
        <v>0.2</v>
      </c>
      <c r="I77">
        <v>85.31</v>
      </c>
    </row>
    <row r="78" spans="1:9" x14ac:dyDescent="0.3">
      <c r="A78">
        <v>77</v>
      </c>
      <c r="B78" s="10">
        <v>45420</v>
      </c>
      <c r="C78">
        <v>8</v>
      </c>
      <c r="D78">
        <v>51</v>
      </c>
      <c r="E78">
        <v>87</v>
      </c>
      <c r="F78">
        <v>1</v>
      </c>
      <c r="G78">
        <v>223.85</v>
      </c>
      <c r="H78">
        <v>0.05</v>
      </c>
      <c r="I78">
        <v>212.66</v>
      </c>
    </row>
    <row r="79" spans="1:9" x14ac:dyDescent="0.3">
      <c r="A79">
        <v>78</v>
      </c>
      <c r="B79" s="10">
        <v>45220</v>
      </c>
      <c r="C79">
        <v>4</v>
      </c>
      <c r="D79">
        <v>148</v>
      </c>
      <c r="E79">
        <v>23</v>
      </c>
      <c r="F79">
        <v>1</v>
      </c>
      <c r="G79">
        <v>79.94</v>
      </c>
      <c r="H79">
        <v>0</v>
      </c>
      <c r="I79">
        <v>79.94</v>
      </c>
    </row>
    <row r="80" spans="1:9" x14ac:dyDescent="0.3">
      <c r="A80">
        <v>79</v>
      </c>
      <c r="B80" s="10">
        <v>45871</v>
      </c>
      <c r="C80">
        <v>5</v>
      </c>
      <c r="D80">
        <v>74</v>
      </c>
      <c r="E80">
        <v>34</v>
      </c>
      <c r="F80">
        <v>2</v>
      </c>
      <c r="G80">
        <v>247.04</v>
      </c>
      <c r="H80">
        <v>0</v>
      </c>
      <c r="I80">
        <v>494.08</v>
      </c>
    </row>
    <row r="81" spans="1:9" x14ac:dyDescent="0.3">
      <c r="A81">
        <v>80</v>
      </c>
      <c r="B81" s="10">
        <v>45868</v>
      </c>
      <c r="C81">
        <v>5</v>
      </c>
      <c r="D81">
        <v>82</v>
      </c>
      <c r="E81">
        <v>36</v>
      </c>
      <c r="F81">
        <v>2</v>
      </c>
      <c r="G81">
        <v>211.43</v>
      </c>
      <c r="H81">
        <v>0</v>
      </c>
      <c r="I81">
        <v>422.86</v>
      </c>
    </row>
    <row r="82" spans="1:9" x14ac:dyDescent="0.3">
      <c r="A82">
        <v>81</v>
      </c>
      <c r="B82" s="10">
        <v>44946</v>
      </c>
      <c r="C82">
        <v>8</v>
      </c>
      <c r="D82">
        <v>34</v>
      </c>
      <c r="E82">
        <v>63</v>
      </c>
      <c r="F82">
        <v>1</v>
      </c>
      <c r="G82">
        <v>239.9</v>
      </c>
      <c r="H82">
        <v>0.1</v>
      </c>
      <c r="I82">
        <v>215.91</v>
      </c>
    </row>
    <row r="83" spans="1:9" x14ac:dyDescent="0.3">
      <c r="A83">
        <v>82</v>
      </c>
      <c r="B83" s="10">
        <v>45516</v>
      </c>
      <c r="C83">
        <v>3</v>
      </c>
      <c r="D83">
        <v>164</v>
      </c>
      <c r="E83">
        <v>87</v>
      </c>
      <c r="F83">
        <v>1</v>
      </c>
      <c r="G83">
        <v>223.85</v>
      </c>
      <c r="H83">
        <v>0.1</v>
      </c>
      <c r="I83">
        <v>201.47</v>
      </c>
    </row>
    <row r="84" spans="1:9" x14ac:dyDescent="0.3">
      <c r="A84">
        <v>83</v>
      </c>
      <c r="B84" s="10">
        <v>45078</v>
      </c>
      <c r="C84">
        <v>8</v>
      </c>
      <c r="D84">
        <v>147</v>
      </c>
      <c r="E84">
        <v>35</v>
      </c>
      <c r="F84">
        <v>1</v>
      </c>
      <c r="G84">
        <v>303.48</v>
      </c>
      <c r="H84">
        <v>0</v>
      </c>
      <c r="I84">
        <v>303.48</v>
      </c>
    </row>
    <row r="85" spans="1:9" x14ac:dyDescent="0.3">
      <c r="A85">
        <v>84</v>
      </c>
      <c r="B85" s="10">
        <v>45634</v>
      </c>
      <c r="C85">
        <v>5</v>
      </c>
      <c r="D85">
        <v>130</v>
      </c>
      <c r="E85">
        <v>90</v>
      </c>
      <c r="F85">
        <v>1</v>
      </c>
      <c r="G85">
        <v>122.32</v>
      </c>
      <c r="H85">
        <v>0.15</v>
      </c>
      <c r="I85">
        <v>103.97</v>
      </c>
    </row>
    <row r="86" spans="1:9" x14ac:dyDescent="0.3">
      <c r="A86">
        <v>85</v>
      </c>
      <c r="B86" s="10">
        <v>45795</v>
      </c>
      <c r="C86">
        <v>5</v>
      </c>
      <c r="D86">
        <v>108</v>
      </c>
      <c r="E86">
        <v>26</v>
      </c>
      <c r="F86">
        <v>2</v>
      </c>
      <c r="G86">
        <v>211.87</v>
      </c>
      <c r="H86">
        <v>0</v>
      </c>
      <c r="I86">
        <v>423.74</v>
      </c>
    </row>
    <row r="87" spans="1:9" x14ac:dyDescent="0.3">
      <c r="A87">
        <v>86</v>
      </c>
      <c r="B87" s="10">
        <v>45862</v>
      </c>
      <c r="C87">
        <v>5</v>
      </c>
      <c r="D87">
        <v>115</v>
      </c>
      <c r="E87">
        <v>35</v>
      </c>
      <c r="F87">
        <v>1</v>
      </c>
      <c r="G87">
        <v>303.48</v>
      </c>
      <c r="H87">
        <v>0.05</v>
      </c>
      <c r="I87">
        <v>288.31</v>
      </c>
    </row>
    <row r="88" spans="1:9" x14ac:dyDescent="0.3">
      <c r="A88">
        <v>87</v>
      </c>
      <c r="B88" s="10">
        <v>45334</v>
      </c>
      <c r="C88">
        <v>7</v>
      </c>
      <c r="D88">
        <v>90</v>
      </c>
      <c r="E88">
        <v>97</v>
      </c>
      <c r="F88">
        <v>1</v>
      </c>
      <c r="G88">
        <v>158.26</v>
      </c>
      <c r="H88">
        <v>0.1</v>
      </c>
      <c r="I88">
        <v>142.43</v>
      </c>
    </row>
    <row r="89" spans="1:9" x14ac:dyDescent="0.3">
      <c r="A89">
        <v>88</v>
      </c>
      <c r="B89" s="10">
        <v>45916</v>
      </c>
      <c r="C89">
        <v>2</v>
      </c>
      <c r="D89">
        <v>56</v>
      </c>
      <c r="E89">
        <v>38</v>
      </c>
      <c r="F89">
        <v>1</v>
      </c>
      <c r="G89">
        <v>35.35</v>
      </c>
      <c r="H89">
        <v>0</v>
      </c>
      <c r="I89">
        <v>35.35</v>
      </c>
    </row>
    <row r="90" spans="1:9" x14ac:dyDescent="0.3">
      <c r="A90">
        <v>89</v>
      </c>
      <c r="B90" s="10">
        <v>45412</v>
      </c>
      <c r="C90">
        <v>7</v>
      </c>
      <c r="D90">
        <v>99</v>
      </c>
      <c r="E90">
        <v>98</v>
      </c>
      <c r="F90">
        <v>4</v>
      </c>
      <c r="G90">
        <v>136.97</v>
      </c>
      <c r="H90">
        <v>0</v>
      </c>
      <c r="I90">
        <v>547.88</v>
      </c>
    </row>
    <row r="91" spans="1:9" x14ac:dyDescent="0.3">
      <c r="A91">
        <v>90</v>
      </c>
      <c r="B91" s="10">
        <v>45662</v>
      </c>
      <c r="C91">
        <v>5</v>
      </c>
      <c r="D91">
        <v>24</v>
      </c>
      <c r="E91">
        <v>67</v>
      </c>
      <c r="F91">
        <v>1</v>
      </c>
      <c r="G91">
        <v>41.9</v>
      </c>
      <c r="H91">
        <v>0</v>
      </c>
      <c r="I91">
        <v>41.9</v>
      </c>
    </row>
    <row r="92" spans="1:9" x14ac:dyDescent="0.3">
      <c r="A92">
        <v>91</v>
      </c>
      <c r="B92" s="10">
        <v>45531</v>
      </c>
      <c r="C92">
        <v>1</v>
      </c>
      <c r="D92">
        <v>9</v>
      </c>
      <c r="E92">
        <v>91</v>
      </c>
      <c r="F92">
        <v>1</v>
      </c>
      <c r="G92">
        <v>33.700000000000003</v>
      </c>
      <c r="H92">
        <v>0</v>
      </c>
      <c r="I92">
        <v>33.700000000000003</v>
      </c>
    </row>
    <row r="93" spans="1:9" x14ac:dyDescent="0.3">
      <c r="A93">
        <v>92</v>
      </c>
      <c r="B93" s="10">
        <v>45737</v>
      </c>
      <c r="C93">
        <v>5</v>
      </c>
      <c r="D93">
        <v>210</v>
      </c>
      <c r="E93">
        <v>48</v>
      </c>
      <c r="F93">
        <v>1</v>
      </c>
      <c r="G93">
        <v>146.85</v>
      </c>
      <c r="H93">
        <v>0</v>
      </c>
      <c r="I93">
        <v>146.85</v>
      </c>
    </row>
    <row r="94" spans="1:9" x14ac:dyDescent="0.3">
      <c r="A94">
        <v>93</v>
      </c>
      <c r="B94" s="10">
        <v>44943</v>
      </c>
      <c r="C94">
        <v>1</v>
      </c>
      <c r="D94">
        <v>217</v>
      </c>
      <c r="E94">
        <v>31</v>
      </c>
      <c r="F94">
        <v>3</v>
      </c>
      <c r="G94">
        <v>165.45</v>
      </c>
      <c r="H94">
        <v>0</v>
      </c>
      <c r="I94">
        <v>496.35</v>
      </c>
    </row>
    <row r="95" spans="1:9" x14ac:dyDescent="0.3">
      <c r="A95">
        <v>94</v>
      </c>
      <c r="B95" s="10">
        <v>45944</v>
      </c>
      <c r="C95">
        <v>5</v>
      </c>
      <c r="D95">
        <v>54</v>
      </c>
      <c r="E95">
        <v>34</v>
      </c>
      <c r="F95">
        <v>2</v>
      </c>
      <c r="G95">
        <v>247.04</v>
      </c>
      <c r="H95">
        <v>0</v>
      </c>
      <c r="I95">
        <v>494.08</v>
      </c>
    </row>
    <row r="96" spans="1:9" x14ac:dyDescent="0.3">
      <c r="A96">
        <v>95</v>
      </c>
      <c r="B96" s="10">
        <v>45398</v>
      </c>
      <c r="C96">
        <v>6</v>
      </c>
      <c r="D96">
        <v>104</v>
      </c>
      <c r="E96">
        <v>55</v>
      </c>
      <c r="F96">
        <v>2</v>
      </c>
      <c r="G96">
        <v>193.33</v>
      </c>
      <c r="H96">
        <v>0</v>
      </c>
      <c r="I96">
        <v>386.66</v>
      </c>
    </row>
    <row r="97" spans="1:9" x14ac:dyDescent="0.3">
      <c r="A97">
        <v>96</v>
      </c>
      <c r="B97" s="10">
        <v>45375</v>
      </c>
      <c r="C97">
        <v>4</v>
      </c>
      <c r="D97">
        <v>116</v>
      </c>
      <c r="E97">
        <v>26</v>
      </c>
      <c r="F97">
        <v>1</v>
      </c>
      <c r="G97">
        <v>211.87</v>
      </c>
      <c r="H97">
        <v>0</v>
      </c>
      <c r="I97">
        <v>211.87</v>
      </c>
    </row>
    <row r="98" spans="1:9" x14ac:dyDescent="0.3">
      <c r="A98">
        <v>97</v>
      </c>
      <c r="B98" s="10">
        <v>45440</v>
      </c>
      <c r="C98">
        <v>3</v>
      </c>
      <c r="D98">
        <v>202</v>
      </c>
      <c r="E98">
        <v>46</v>
      </c>
      <c r="F98">
        <v>2</v>
      </c>
      <c r="G98">
        <v>157</v>
      </c>
      <c r="H98">
        <v>0</v>
      </c>
      <c r="I98">
        <v>314</v>
      </c>
    </row>
    <row r="99" spans="1:9" x14ac:dyDescent="0.3">
      <c r="A99">
        <v>98</v>
      </c>
      <c r="B99" s="10">
        <v>45125</v>
      </c>
      <c r="C99">
        <v>1</v>
      </c>
      <c r="D99">
        <v>130</v>
      </c>
      <c r="E99">
        <v>93</v>
      </c>
      <c r="F99">
        <v>1</v>
      </c>
      <c r="G99">
        <v>239.23</v>
      </c>
      <c r="H99">
        <v>0.2</v>
      </c>
      <c r="I99">
        <v>191.38</v>
      </c>
    </row>
    <row r="100" spans="1:9" x14ac:dyDescent="0.3">
      <c r="A100">
        <v>99</v>
      </c>
      <c r="B100" s="10">
        <v>45559</v>
      </c>
      <c r="C100">
        <v>8</v>
      </c>
      <c r="D100">
        <v>140</v>
      </c>
      <c r="E100">
        <v>9</v>
      </c>
      <c r="F100">
        <v>1</v>
      </c>
      <c r="G100">
        <v>152.78</v>
      </c>
      <c r="H100">
        <v>0</v>
      </c>
      <c r="I100">
        <v>152.78</v>
      </c>
    </row>
    <row r="101" spans="1:9" x14ac:dyDescent="0.3">
      <c r="A101">
        <v>100</v>
      </c>
      <c r="B101" s="10">
        <v>44995</v>
      </c>
      <c r="C101">
        <v>6</v>
      </c>
      <c r="D101">
        <v>3</v>
      </c>
      <c r="E101">
        <v>89</v>
      </c>
      <c r="F101">
        <v>2</v>
      </c>
      <c r="G101">
        <v>247.43</v>
      </c>
      <c r="H101">
        <v>0.05</v>
      </c>
      <c r="I101">
        <v>470.12</v>
      </c>
    </row>
    <row r="102" spans="1:9" x14ac:dyDescent="0.3">
      <c r="A102">
        <v>101</v>
      </c>
      <c r="B102" s="10">
        <v>45196</v>
      </c>
      <c r="C102">
        <v>2</v>
      </c>
      <c r="D102">
        <v>69</v>
      </c>
      <c r="E102">
        <v>97</v>
      </c>
      <c r="F102">
        <v>1</v>
      </c>
      <c r="G102">
        <v>158.26</v>
      </c>
      <c r="H102">
        <v>0.1</v>
      </c>
      <c r="I102">
        <v>142.43</v>
      </c>
    </row>
    <row r="103" spans="1:9" x14ac:dyDescent="0.3">
      <c r="A103">
        <v>102</v>
      </c>
      <c r="B103" s="10">
        <v>45531</v>
      </c>
      <c r="C103">
        <v>6</v>
      </c>
      <c r="D103">
        <v>89</v>
      </c>
      <c r="E103">
        <v>49</v>
      </c>
      <c r="F103">
        <v>1</v>
      </c>
      <c r="G103">
        <v>130.58000000000001</v>
      </c>
      <c r="H103">
        <v>0</v>
      </c>
      <c r="I103">
        <v>130.58000000000001</v>
      </c>
    </row>
    <row r="104" spans="1:9" x14ac:dyDescent="0.3">
      <c r="A104">
        <v>103</v>
      </c>
      <c r="B104" s="10">
        <v>45777</v>
      </c>
      <c r="C104">
        <v>3</v>
      </c>
      <c r="D104">
        <v>127</v>
      </c>
      <c r="E104">
        <v>13</v>
      </c>
      <c r="F104">
        <v>2</v>
      </c>
      <c r="G104">
        <v>262.70999999999998</v>
      </c>
      <c r="H104">
        <v>0</v>
      </c>
      <c r="I104">
        <v>525.41999999999996</v>
      </c>
    </row>
    <row r="105" spans="1:9" x14ac:dyDescent="0.3">
      <c r="A105">
        <v>104</v>
      </c>
      <c r="B105" s="10">
        <v>45338</v>
      </c>
      <c r="C105">
        <v>3</v>
      </c>
      <c r="D105">
        <v>178</v>
      </c>
      <c r="E105">
        <v>33</v>
      </c>
      <c r="F105">
        <v>1</v>
      </c>
      <c r="G105">
        <v>21.23</v>
      </c>
      <c r="H105">
        <v>0.05</v>
      </c>
      <c r="I105">
        <v>20.170000000000002</v>
      </c>
    </row>
    <row r="106" spans="1:9" x14ac:dyDescent="0.3">
      <c r="A106">
        <v>105</v>
      </c>
      <c r="B106" s="10">
        <v>45676</v>
      </c>
      <c r="C106">
        <v>5</v>
      </c>
      <c r="D106">
        <v>188</v>
      </c>
      <c r="E106">
        <v>30</v>
      </c>
      <c r="F106">
        <v>2</v>
      </c>
      <c r="G106">
        <v>19.399999999999999</v>
      </c>
      <c r="H106">
        <v>0.05</v>
      </c>
      <c r="I106">
        <v>36.86</v>
      </c>
    </row>
    <row r="107" spans="1:9" x14ac:dyDescent="0.3">
      <c r="A107">
        <v>106</v>
      </c>
      <c r="B107" s="10">
        <v>45263</v>
      </c>
      <c r="C107">
        <v>5</v>
      </c>
      <c r="D107">
        <v>33</v>
      </c>
      <c r="E107">
        <v>89</v>
      </c>
      <c r="F107">
        <v>3</v>
      </c>
      <c r="G107">
        <v>247.43</v>
      </c>
      <c r="H107">
        <v>0</v>
      </c>
      <c r="I107">
        <v>742.29</v>
      </c>
    </row>
    <row r="108" spans="1:9" x14ac:dyDescent="0.3">
      <c r="A108">
        <v>107</v>
      </c>
      <c r="B108" s="10">
        <v>45913</v>
      </c>
      <c r="C108">
        <v>5</v>
      </c>
      <c r="D108">
        <v>95</v>
      </c>
      <c r="E108">
        <v>88</v>
      </c>
      <c r="F108">
        <v>1</v>
      </c>
      <c r="G108">
        <v>181.05</v>
      </c>
      <c r="H108">
        <v>0.05</v>
      </c>
      <c r="I108">
        <v>172</v>
      </c>
    </row>
    <row r="109" spans="1:9" x14ac:dyDescent="0.3">
      <c r="A109">
        <v>108</v>
      </c>
      <c r="B109" s="10">
        <v>45620</v>
      </c>
      <c r="C109">
        <v>2</v>
      </c>
      <c r="D109">
        <v>150</v>
      </c>
      <c r="E109">
        <v>29</v>
      </c>
      <c r="F109">
        <v>2</v>
      </c>
      <c r="G109">
        <v>138.6</v>
      </c>
      <c r="H109">
        <v>0.05</v>
      </c>
      <c r="I109">
        <v>263.33999999999997</v>
      </c>
    </row>
    <row r="110" spans="1:9" x14ac:dyDescent="0.3">
      <c r="A110">
        <v>109</v>
      </c>
      <c r="B110" s="10">
        <v>45886</v>
      </c>
      <c r="C110">
        <v>2</v>
      </c>
      <c r="D110">
        <v>102</v>
      </c>
      <c r="E110">
        <v>28</v>
      </c>
      <c r="F110">
        <v>1</v>
      </c>
      <c r="G110">
        <v>162.13</v>
      </c>
      <c r="H110">
        <v>0</v>
      </c>
      <c r="I110">
        <v>162.13</v>
      </c>
    </row>
    <row r="111" spans="1:9" x14ac:dyDescent="0.3">
      <c r="A111">
        <v>110</v>
      </c>
      <c r="B111" s="10">
        <v>45215</v>
      </c>
      <c r="C111">
        <v>4</v>
      </c>
      <c r="D111">
        <v>84</v>
      </c>
      <c r="E111">
        <v>12</v>
      </c>
      <c r="F111">
        <v>1</v>
      </c>
      <c r="G111">
        <v>236.84</v>
      </c>
      <c r="H111">
        <v>0.15</v>
      </c>
      <c r="I111">
        <v>201.31</v>
      </c>
    </row>
    <row r="112" spans="1:9" x14ac:dyDescent="0.3">
      <c r="A112">
        <v>111</v>
      </c>
      <c r="B112" s="10">
        <v>45740</v>
      </c>
      <c r="C112">
        <v>6</v>
      </c>
      <c r="D112">
        <v>67</v>
      </c>
      <c r="E112">
        <v>78</v>
      </c>
      <c r="F112">
        <v>2</v>
      </c>
      <c r="G112">
        <v>25.66</v>
      </c>
      <c r="H112">
        <v>0.05</v>
      </c>
      <c r="I112">
        <v>48.75</v>
      </c>
    </row>
    <row r="113" spans="1:9" x14ac:dyDescent="0.3">
      <c r="A113">
        <v>112</v>
      </c>
      <c r="B113" s="10">
        <v>45111</v>
      </c>
      <c r="C113">
        <v>7</v>
      </c>
      <c r="D113">
        <v>137</v>
      </c>
      <c r="E113">
        <v>3</v>
      </c>
      <c r="F113">
        <v>2</v>
      </c>
      <c r="G113">
        <v>190.58</v>
      </c>
      <c r="H113">
        <v>0</v>
      </c>
      <c r="I113">
        <v>381.16</v>
      </c>
    </row>
    <row r="114" spans="1:9" x14ac:dyDescent="0.3">
      <c r="A114">
        <v>113</v>
      </c>
      <c r="B114" s="10">
        <v>44955</v>
      </c>
      <c r="C114">
        <v>5</v>
      </c>
      <c r="D114">
        <v>58</v>
      </c>
      <c r="E114">
        <v>75</v>
      </c>
      <c r="F114">
        <v>1</v>
      </c>
      <c r="G114">
        <v>205.69</v>
      </c>
      <c r="H114">
        <v>0</v>
      </c>
      <c r="I114">
        <v>205.69</v>
      </c>
    </row>
    <row r="115" spans="1:9" x14ac:dyDescent="0.3">
      <c r="A115">
        <v>114</v>
      </c>
      <c r="B115" s="10">
        <v>45180</v>
      </c>
      <c r="C115">
        <v>8</v>
      </c>
      <c r="D115">
        <v>21</v>
      </c>
      <c r="E115">
        <v>44</v>
      </c>
      <c r="F115">
        <v>1</v>
      </c>
      <c r="G115">
        <v>235.19</v>
      </c>
      <c r="H115">
        <v>0.05</v>
      </c>
      <c r="I115">
        <v>223.43</v>
      </c>
    </row>
    <row r="116" spans="1:9" x14ac:dyDescent="0.3">
      <c r="A116">
        <v>115</v>
      </c>
      <c r="B116" s="10">
        <v>45681</v>
      </c>
      <c r="C116">
        <v>5</v>
      </c>
      <c r="D116">
        <v>182</v>
      </c>
      <c r="E116">
        <v>88</v>
      </c>
      <c r="F116">
        <v>1</v>
      </c>
      <c r="G116">
        <v>181.05</v>
      </c>
      <c r="H116">
        <v>0.1</v>
      </c>
      <c r="I116">
        <v>162.94999999999999</v>
      </c>
    </row>
    <row r="117" spans="1:9" x14ac:dyDescent="0.3">
      <c r="A117">
        <v>116</v>
      </c>
      <c r="B117" s="10">
        <v>45707</v>
      </c>
      <c r="C117">
        <v>6</v>
      </c>
      <c r="D117">
        <v>193</v>
      </c>
      <c r="E117">
        <v>11</v>
      </c>
      <c r="F117">
        <v>1</v>
      </c>
      <c r="G117">
        <v>11.53</v>
      </c>
      <c r="H117">
        <v>0</v>
      </c>
      <c r="I117">
        <v>11.53</v>
      </c>
    </row>
    <row r="118" spans="1:9" x14ac:dyDescent="0.3">
      <c r="A118">
        <v>117</v>
      </c>
      <c r="B118" s="10">
        <v>45148</v>
      </c>
      <c r="C118">
        <v>4</v>
      </c>
      <c r="D118">
        <v>15</v>
      </c>
      <c r="E118">
        <v>52</v>
      </c>
      <c r="F118">
        <v>2</v>
      </c>
      <c r="G118">
        <v>196.75</v>
      </c>
      <c r="H118">
        <v>0</v>
      </c>
      <c r="I118">
        <v>393.5</v>
      </c>
    </row>
    <row r="119" spans="1:9" x14ac:dyDescent="0.3">
      <c r="A119">
        <v>118</v>
      </c>
      <c r="B119" s="10">
        <v>45892</v>
      </c>
      <c r="C119">
        <v>1</v>
      </c>
      <c r="D119">
        <v>174</v>
      </c>
      <c r="E119">
        <v>13</v>
      </c>
      <c r="F119">
        <v>1</v>
      </c>
      <c r="G119">
        <v>262.70999999999998</v>
      </c>
      <c r="H119">
        <v>0</v>
      </c>
      <c r="I119">
        <v>262.70999999999998</v>
      </c>
    </row>
    <row r="120" spans="1:9" x14ac:dyDescent="0.3">
      <c r="A120">
        <v>119</v>
      </c>
      <c r="B120" s="10">
        <v>45598</v>
      </c>
      <c r="C120">
        <v>4</v>
      </c>
      <c r="D120">
        <v>212</v>
      </c>
      <c r="E120">
        <v>38</v>
      </c>
      <c r="F120">
        <v>1</v>
      </c>
      <c r="G120">
        <v>35.35</v>
      </c>
      <c r="H120">
        <v>0.1</v>
      </c>
      <c r="I120">
        <v>31.82</v>
      </c>
    </row>
    <row r="121" spans="1:9" x14ac:dyDescent="0.3">
      <c r="A121">
        <v>120</v>
      </c>
      <c r="B121" s="10">
        <v>45056</v>
      </c>
      <c r="C121">
        <v>8</v>
      </c>
      <c r="D121">
        <v>94</v>
      </c>
      <c r="E121">
        <v>59</v>
      </c>
      <c r="F121">
        <v>1</v>
      </c>
      <c r="G121">
        <v>17.41</v>
      </c>
      <c r="H121">
        <v>0.15</v>
      </c>
      <c r="I121">
        <v>14.8</v>
      </c>
    </row>
    <row r="122" spans="1:9" x14ac:dyDescent="0.3">
      <c r="A122">
        <v>121</v>
      </c>
      <c r="B122" s="10">
        <v>45545</v>
      </c>
      <c r="C122">
        <v>7</v>
      </c>
      <c r="D122">
        <v>164</v>
      </c>
      <c r="E122">
        <v>77</v>
      </c>
      <c r="F122">
        <v>1</v>
      </c>
      <c r="G122">
        <v>226.88</v>
      </c>
      <c r="H122">
        <v>0.15</v>
      </c>
      <c r="I122">
        <v>192.85</v>
      </c>
    </row>
    <row r="123" spans="1:9" x14ac:dyDescent="0.3">
      <c r="A123">
        <v>122</v>
      </c>
      <c r="B123" s="10">
        <v>45165</v>
      </c>
      <c r="C123">
        <v>3</v>
      </c>
      <c r="D123">
        <v>140</v>
      </c>
      <c r="E123">
        <v>71</v>
      </c>
      <c r="F123">
        <v>1</v>
      </c>
      <c r="G123">
        <v>225.61</v>
      </c>
      <c r="H123">
        <v>0.2</v>
      </c>
      <c r="I123">
        <v>180.49</v>
      </c>
    </row>
    <row r="124" spans="1:9" x14ac:dyDescent="0.3">
      <c r="A124">
        <v>123</v>
      </c>
      <c r="B124" s="10">
        <v>45019</v>
      </c>
      <c r="C124">
        <v>1</v>
      </c>
      <c r="D124">
        <v>157</v>
      </c>
      <c r="E124">
        <v>68</v>
      </c>
      <c r="F124">
        <v>1</v>
      </c>
      <c r="G124">
        <v>198.56</v>
      </c>
      <c r="H124">
        <v>0</v>
      </c>
      <c r="I124">
        <v>198.56</v>
      </c>
    </row>
    <row r="125" spans="1:9" x14ac:dyDescent="0.3">
      <c r="A125">
        <v>124</v>
      </c>
      <c r="B125" s="10">
        <v>45550</v>
      </c>
      <c r="C125">
        <v>8</v>
      </c>
      <c r="D125">
        <v>144</v>
      </c>
      <c r="E125">
        <v>79</v>
      </c>
      <c r="F125">
        <v>2</v>
      </c>
      <c r="G125">
        <v>117.59</v>
      </c>
      <c r="H125">
        <v>0.15</v>
      </c>
      <c r="I125">
        <v>199.9</v>
      </c>
    </row>
    <row r="126" spans="1:9" x14ac:dyDescent="0.3">
      <c r="A126">
        <v>125</v>
      </c>
      <c r="B126" s="10">
        <v>45164</v>
      </c>
      <c r="C126">
        <v>2</v>
      </c>
      <c r="D126">
        <v>118</v>
      </c>
      <c r="E126">
        <v>47</v>
      </c>
      <c r="F126">
        <v>2</v>
      </c>
      <c r="G126">
        <v>93.41</v>
      </c>
      <c r="H126">
        <v>0</v>
      </c>
      <c r="I126">
        <v>186.82</v>
      </c>
    </row>
    <row r="127" spans="1:9" x14ac:dyDescent="0.3">
      <c r="A127">
        <v>126</v>
      </c>
      <c r="B127" s="10">
        <v>45407</v>
      </c>
      <c r="C127">
        <v>3</v>
      </c>
      <c r="D127">
        <v>92</v>
      </c>
      <c r="E127">
        <v>41</v>
      </c>
      <c r="F127">
        <v>1</v>
      </c>
      <c r="G127">
        <v>45.5</v>
      </c>
      <c r="H127">
        <v>0.15</v>
      </c>
      <c r="I127">
        <v>38.67</v>
      </c>
    </row>
    <row r="128" spans="1:9" x14ac:dyDescent="0.3">
      <c r="A128">
        <v>127</v>
      </c>
      <c r="B128" s="10">
        <v>45722</v>
      </c>
      <c r="C128">
        <v>8</v>
      </c>
      <c r="D128">
        <v>108</v>
      </c>
      <c r="E128">
        <v>50</v>
      </c>
      <c r="F128">
        <v>2</v>
      </c>
      <c r="G128">
        <v>52.54</v>
      </c>
      <c r="H128">
        <v>0</v>
      </c>
      <c r="I128">
        <v>105.08</v>
      </c>
    </row>
    <row r="129" spans="1:9" x14ac:dyDescent="0.3">
      <c r="A129">
        <v>128</v>
      </c>
      <c r="B129" s="10">
        <v>45686</v>
      </c>
      <c r="C129">
        <v>7</v>
      </c>
      <c r="D129">
        <v>86</v>
      </c>
      <c r="E129">
        <v>29</v>
      </c>
      <c r="F129">
        <v>1</v>
      </c>
      <c r="G129">
        <v>138.6</v>
      </c>
      <c r="H129">
        <v>0.15</v>
      </c>
      <c r="I129">
        <v>117.81</v>
      </c>
    </row>
    <row r="130" spans="1:9" x14ac:dyDescent="0.3">
      <c r="A130">
        <v>129</v>
      </c>
      <c r="B130" s="10">
        <v>45243</v>
      </c>
      <c r="C130">
        <v>7</v>
      </c>
      <c r="D130">
        <v>40</v>
      </c>
      <c r="E130">
        <v>12</v>
      </c>
      <c r="F130">
        <v>1</v>
      </c>
      <c r="G130">
        <v>236.84</v>
      </c>
      <c r="H130">
        <v>0</v>
      </c>
      <c r="I130">
        <v>236.84</v>
      </c>
    </row>
    <row r="131" spans="1:9" x14ac:dyDescent="0.3">
      <c r="A131">
        <v>130</v>
      </c>
      <c r="B131" s="10">
        <v>45129</v>
      </c>
      <c r="C131">
        <v>8</v>
      </c>
      <c r="D131">
        <v>3</v>
      </c>
      <c r="E131">
        <v>41</v>
      </c>
      <c r="F131">
        <v>1</v>
      </c>
      <c r="G131">
        <v>45.5</v>
      </c>
      <c r="H131">
        <v>0</v>
      </c>
      <c r="I131">
        <v>45.5</v>
      </c>
    </row>
    <row r="132" spans="1:9" x14ac:dyDescent="0.3">
      <c r="A132">
        <v>131</v>
      </c>
      <c r="B132" s="10">
        <v>45762</v>
      </c>
      <c r="C132">
        <v>5</v>
      </c>
      <c r="D132">
        <v>120</v>
      </c>
      <c r="E132">
        <v>44</v>
      </c>
      <c r="F132">
        <v>2</v>
      </c>
      <c r="G132">
        <v>235.19</v>
      </c>
      <c r="H132">
        <v>0.1</v>
      </c>
      <c r="I132">
        <v>423.34</v>
      </c>
    </row>
    <row r="133" spans="1:9" x14ac:dyDescent="0.3">
      <c r="A133">
        <v>132</v>
      </c>
      <c r="B133" s="10">
        <v>44994</v>
      </c>
      <c r="C133">
        <v>6</v>
      </c>
      <c r="D133">
        <v>146</v>
      </c>
      <c r="E133">
        <v>37</v>
      </c>
      <c r="F133">
        <v>1</v>
      </c>
      <c r="G133">
        <v>88.87</v>
      </c>
      <c r="H133">
        <v>0</v>
      </c>
      <c r="I133">
        <v>88.87</v>
      </c>
    </row>
    <row r="134" spans="1:9" x14ac:dyDescent="0.3">
      <c r="A134">
        <v>133</v>
      </c>
      <c r="B134" s="10">
        <v>45371</v>
      </c>
      <c r="C134">
        <v>8</v>
      </c>
      <c r="D134">
        <v>97</v>
      </c>
      <c r="E134">
        <v>84</v>
      </c>
      <c r="F134">
        <v>2</v>
      </c>
      <c r="G134">
        <v>26.78</v>
      </c>
      <c r="H134">
        <v>0</v>
      </c>
      <c r="I134">
        <v>53.56</v>
      </c>
    </row>
    <row r="135" spans="1:9" x14ac:dyDescent="0.3">
      <c r="A135">
        <v>134</v>
      </c>
      <c r="B135" s="10">
        <v>45837</v>
      </c>
      <c r="C135">
        <v>4</v>
      </c>
      <c r="D135">
        <v>154</v>
      </c>
      <c r="E135">
        <v>81</v>
      </c>
      <c r="F135">
        <v>1</v>
      </c>
      <c r="G135">
        <v>225.3</v>
      </c>
      <c r="H135">
        <v>0</v>
      </c>
      <c r="I135">
        <v>225.3</v>
      </c>
    </row>
    <row r="136" spans="1:9" x14ac:dyDescent="0.3">
      <c r="A136">
        <v>135</v>
      </c>
      <c r="B136" s="10">
        <v>45669</v>
      </c>
      <c r="C136">
        <v>2</v>
      </c>
      <c r="D136">
        <v>190</v>
      </c>
      <c r="E136">
        <v>20</v>
      </c>
      <c r="F136">
        <v>1</v>
      </c>
      <c r="G136">
        <v>85.89</v>
      </c>
      <c r="H136">
        <v>0</v>
      </c>
      <c r="I136">
        <v>85.89</v>
      </c>
    </row>
    <row r="137" spans="1:9" x14ac:dyDescent="0.3">
      <c r="A137">
        <v>136</v>
      </c>
      <c r="B137" s="10">
        <v>45679</v>
      </c>
      <c r="C137">
        <v>6</v>
      </c>
      <c r="D137">
        <v>182</v>
      </c>
      <c r="E137">
        <v>28</v>
      </c>
      <c r="F137">
        <v>1</v>
      </c>
      <c r="G137">
        <v>162.13</v>
      </c>
      <c r="H137">
        <v>0</v>
      </c>
      <c r="I137">
        <v>162.13</v>
      </c>
    </row>
    <row r="138" spans="1:9" x14ac:dyDescent="0.3">
      <c r="A138">
        <v>137</v>
      </c>
      <c r="B138" s="10">
        <v>45051</v>
      </c>
      <c r="C138">
        <v>7</v>
      </c>
      <c r="D138">
        <v>18</v>
      </c>
      <c r="E138">
        <v>45</v>
      </c>
      <c r="F138">
        <v>4</v>
      </c>
      <c r="G138">
        <v>70.989999999999995</v>
      </c>
      <c r="H138">
        <v>0.2</v>
      </c>
      <c r="I138">
        <v>227.17</v>
      </c>
    </row>
    <row r="139" spans="1:9" x14ac:dyDescent="0.3">
      <c r="A139">
        <v>138</v>
      </c>
      <c r="B139" s="10">
        <v>45492</v>
      </c>
      <c r="C139">
        <v>4</v>
      </c>
      <c r="D139">
        <v>143</v>
      </c>
      <c r="E139">
        <v>1</v>
      </c>
      <c r="F139">
        <v>1</v>
      </c>
      <c r="G139">
        <v>90.53</v>
      </c>
      <c r="H139">
        <v>0.05</v>
      </c>
      <c r="I139">
        <v>86</v>
      </c>
    </row>
    <row r="140" spans="1:9" x14ac:dyDescent="0.3">
      <c r="A140">
        <v>139</v>
      </c>
      <c r="B140" s="10">
        <v>45177</v>
      </c>
      <c r="C140">
        <v>8</v>
      </c>
      <c r="D140">
        <v>85</v>
      </c>
      <c r="E140">
        <v>17</v>
      </c>
      <c r="F140">
        <v>1</v>
      </c>
      <c r="G140">
        <v>97.14</v>
      </c>
      <c r="H140">
        <v>0</v>
      </c>
      <c r="I140">
        <v>97.14</v>
      </c>
    </row>
    <row r="141" spans="1:9" x14ac:dyDescent="0.3">
      <c r="A141">
        <v>140</v>
      </c>
      <c r="B141" s="10">
        <v>45114</v>
      </c>
      <c r="C141">
        <v>4</v>
      </c>
      <c r="D141">
        <v>218</v>
      </c>
      <c r="E141">
        <v>1</v>
      </c>
      <c r="F141">
        <v>1</v>
      </c>
      <c r="G141">
        <v>90.53</v>
      </c>
      <c r="H141">
        <v>0</v>
      </c>
      <c r="I141">
        <v>90.53</v>
      </c>
    </row>
    <row r="142" spans="1:9" x14ac:dyDescent="0.3">
      <c r="A142">
        <v>141</v>
      </c>
      <c r="B142" s="10">
        <v>44970</v>
      </c>
      <c r="C142">
        <v>1</v>
      </c>
      <c r="D142">
        <v>10</v>
      </c>
      <c r="E142">
        <v>2</v>
      </c>
      <c r="F142">
        <v>1</v>
      </c>
      <c r="G142">
        <v>274.16000000000003</v>
      </c>
      <c r="H142">
        <v>0.2</v>
      </c>
      <c r="I142">
        <v>219.33</v>
      </c>
    </row>
    <row r="143" spans="1:9" x14ac:dyDescent="0.3">
      <c r="A143">
        <v>142</v>
      </c>
      <c r="B143" s="10">
        <v>45610</v>
      </c>
      <c r="C143">
        <v>4</v>
      </c>
      <c r="D143">
        <v>119</v>
      </c>
      <c r="E143">
        <v>62</v>
      </c>
      <c r="F143">
        <v>2</v>
      </c>
      <c r="G143">
        <v>82.81</v>
      </c>
      <c r="H143">
        <v>0</v>
      </c>
      <c r="I143">
        <v>165.62</v>
      </c>
    </row>
    <row r="144" spans="1:9" x14ac:dyDescent="0.3">
      <c r="A144">
        <v>143</v>
      </c>
      <c r="B144" s="10">
        <v>45184</v>
      </c>
      <c r="C144">
        <v>4</v>
      </c>
      <c r="D144">
        <v>80</v>
      </c>
      <c r="E144">
        <v>86</v>
      </c>
      <c r="F144">
        <v>1</v>
      </c>
      <c r="G144">
        <v>99.19</v>
      </c>
      <c r="H144">
        <v>0.15</v>
      </c>
      <c r="I144">
        <v>84.31</v>
      </c>
    </row>
    <row r="145" spans="1:9" x14ac:dyDescent="0.3">
      <c r="A145">
        <v>144</v>
      </c>
      <c r="B145" s="10">
        <v>45067</v>
      </c>
      <c r="C145">
        <v>4</v>
      </c>
      <c r="D145">
        <v>189</v>
      </c>
      <c r="E145">
        <v>81</v>
      </c>
      <c r="F145">
        <v>1</v>
      </c>
      <c r="G145">
        <v>225.3</v>
      </c>
      <c r="H145">
        <v>0.15</v>
      </c>
      <c r="I145">
        <v>191.5</v>
      </c>
    </row>
    <row r="146" spans="1:9" x14ac:dyDescent="0.3">
      <c r="A146">
        <v>145</v>
      </c>
      <c r="B146" s="10">
        <v>45369</v>
      </c>
      <c r="C146">
        <v>4</v>
      </c>
      <c r="D146">
        <v>214</v>
      </c>
      <c r="E146">
        <v>78</v>
      </c>
      <c r="F146">
        <v>1</v>
      </c>
      <c r="G146">
        <v>25.66</v>
      </c>
      <c r="H146">
        <v>0</v>
      </c>
      <c r="I146">
        <v>25.66</v>
      </c>
    </row>
    <row r="147" spans="1:9" x14ac:dyDescent="0.3">
      <c r="A147">
        <v>146</v>
      </c>
      <c r="B147" s="10">
        <v>45599</v>
      </c>
      <c r="C147">
        <v>3</v>
      </c>
      <c r="D147">
        <v>182</v>
      </c>
      <c r="E147">
        <v>73</v>
      </c>
      <c r="F147">
        <v>1</v>
      </c>
      <c r="G147">
        <v>8.39</v>
      </c>
      <c r="H147">
        <v>0</v>
      </c>
      <c r="I147">
        <v>8.39</v>
      </c>
    </row>
    <row r="148" spans="1:9" x14ac:dyDescent="0.3">
      <c r="A148">
        <v>147</v>
      </c>
      <c r="B148" s="10">
        <v>44932</v>
      </c>
      <c r="C148">
        <v>5</v>
      </c>
      <c r="D148">
        <v>32</v>
      </c>
      <c r="E148">
        <v>97</v>
      </c>
      <c r="F148">
        <v>1</v>
      </c>
      <c r="G148">
        <v>158.26</v>
      </c>
      <c r="H148">
        <v>0</v>
      </c>
      <c r="I148">
        <v>158.26</v>
      </c>
    </row>
    <row r="149" spans="1:9" x14ac:dyDescent="0.3">
      <c r="A149">
        <v>148</v>
      </c>
      <c r="B149" s="10">
        <v>45223</v>
      </c>
      <c r="C149">
        <v>3</v>
      </c>
      <c r="D149">
        <v>210</v>
      </c>
      <c r="E149">
        <v>15</v>
      </c>
      <c r="F149">
        <v>1</v>
      </c>
      <c r="G149">
        <v>58.26</v>
      </c>
      <c r="H149">
        <v>0.05</v>
      </c>
      <c r="I149">
        <v>55.35</v>
      </c>
    </row>
    <row r="150" spans="1:9" x14ac:dyDescent="0.3">
      <c r="A150">
        <v>149</v>
      </c>
      <c r="B150" s="10">
        <v>45440</v>
      </c>
      <c r="C150">
        <v>3</v>
      </c>
      <c r="D150">
        <v>97</v>
      </c>
      <c r="E150">
        <v>45</v>
      </c>
      <c r="F150">
        <v>1</v>
      </c>
      <c r="G150">
        <v>70.989999999999995</v>
      </c>
      <c r="H150">
        <v>0.1</v>
      </c>
      <c r="I150">
        <v>63.89</v>
      </c>
    </row>
    <row r="151" spans="1:9" x14ac:dyDescent="0.3">
      <c r="A151">
        <v>150</v>
      </c>
      <c r="B151" s="10">
        <v>45152</v>
      </c>
      <c r="C151">
        <v>1</v>
      </c>
      <c r="D151">
        <v>6</v>
      </c>
      <c r="E151">
        <v>58</v>
      </c>
      <c r="F151">
        <v>1</v>
      </c>
      <c r="G151">
        <v>64.400000000000006</v>
      </c>
      <c r="H151">
        <v>0.2</v>
      </c>
      <c r="I151">
        <v>51.52</v>
      </c>
    </row>
    <row r="152" spans="1:9" x14ac:dyDescent="0.3">
      <c r="A152">
        <v>151</v>
      </c>
      <c r="B152" s="10">
        <v>45196</v>
      </c>
      <c r="C152">
        <v>1</v>
      </c>
      <c r="D152">
        <v>194</v>
      </c>
      <c r="E152">
        <v>17</v>
      </c>
      <c r="F152">
        <v>1</v>
      </c>
      <c r="G152">
        <v>97.14</v>
      </c>
      <c r="H152">
        <v>0.2</v>
      </c>
      <c r="I152">
        <v>77.709999999999994</v>
      </c>
    </row>
    <row r="153" spans="1:9" x14ac:dyDescent="0.3">
      <c r="A153">
        <v>152</v>
      </c>
      <c r="B153" s="10">
        <v>45660</v>
      </c>
      <c r="C153">
        <v>4</v>
      </c>
      <c r="D153">
        <v>179</v>
      </c>
      <c r="E153">
        <v>76</v>
      </c>
      <c r="F153">
        <v>1</v>
      </c>
      <c r="G153">
        <v>181.01</v>
      </c>
      <c r="H153">
        <v>0</v>
      </c>
      <c r="I153">
        <v>181.01</v>
      </c>
    </row>
    <row r="154" spans="1:9" x14ac:dyDescent="0.3">
      <c r="A154">
        <v>153</v>
      </c>
      <c r="B154" s="10">
        <v>45590</v>
      </c>
      <c r="C154">
        <v>1</v>
      </c>
      <c r="D154">
        <v>31</v>
      </c>
      <c r="E154">
        <v>43</v>
      </c>
      <c r="F154">
        <v>2</v>
      </c>
      <c r="G154">
        <v>16.04</v>
      </c>
      <c r="H154">
        <v>0.05</v>
      </c>
      <c r="I154">
        <v>30.48</v>
      </c>
    </row>
    <row r="155" spans="1:9" x14ac:dyDescent="0.3">
      <c r="A155">
        <v>154</v>
      </c>
      <c r="B155" s="10">
        <v>45283</v>
      </c>
      <c r="C155">
        <v>5</v>
      </c>
      <c r="D155">
        <v>5</v>
      </c>
      <c r="E155">
        <v>16</v>
      </c>
      <c r="F155">
        <v>1</v>
      </c>
      <c r="G155">
        <v>62.77</v>
      </c>
      <c r="H155">
        <v>0</v>
      </c>
      <c r="I155">
        <v>62.77</v>
      </c>
    </row>
    <row r="156" spans="1:9" x14ac:dyDescent="0.3">
      <c r="A156">
        <v>155</v>
      </c>
      <c r="B156" s="10">
        <v>45034</v>
      </c>
      <c r="C156">
        <v>3</v>
      </c>
      <c r="D156">
        <v>133</v>
      </c>
      <c r="E156">
        <v>96</v>
      </c>
      <c r="F156">
        <v>1</v>
      </c>
      <c r="G156">
        <v>132.69</v>
      </c>
      <c r="H156">
        <v>0</v>
      </c>
      <c r="I156">
        <v>132.69</v>
      </c>
    </row>
    <row r="157" spans="1:9" x14ac:dyDescent="0.3">
      <c r="A157">
        <v>156</v>
      </c>
      <c r="B157" s="10">
        <v>45789</v>
      </c>
      <c r="C157">
        <v>2</v>
      </c>
      <c r="D157">
        <v>84</v>
      </c>
      <c r="E157">
        <v>19</v>
      </c>
      <c r="F157">
        <v>1</v>
      </c>
      <c r="G157">
        <v>138.31</v>
      </c>
      <c r="H157">
        <v>0.2</v>
      </c>
      <c r="I157">
        <v>110.65</v>
      </c>
    </row>
    <row r="158" spans="1:9" x14ac:dyDescent="0.3">
      <c r="A158">
        <v>157</v>
      </c>
      <c r="B158" s="10">
        <v>45057</v>
      </c>
      <c r="C158">
        <v>8</v>
      </c>
      <c r="D158">
        <v>192</v>
      </c>
      <c r="E158">
        <v>28</v>
      </c>
      <c r="F158">
        <v>2</v>
      </c>
      <c r="G158">
        <v>162.13</v>
      </c>
      <c r="H158">
        <v>0</v>
      </c>
      <c r="I158">
        <v>324.26</v>
      </c>
    </row>
    <row r="159" spans="1:9" x14ac:dyDescent="0.3">
      <c r="A159">
        <v>158</v>
      </c>
      <c r="B159" s="10">
        <v>45845</v>
      </c>
      <c r="C159">
        <v>6</v>
      </c>
      <c r="D159">
        <v>184</v>
      </c>
      <c r="E159">
        <v>23</v>
      </c>
      <c r="F159">
        <v>1</v>
      </c>
      <c r="G159">
        <v>79.94</v>
      </c>
      <c r="H159">
        <v>0.1</v>
      </c>
      <c r="I159">
        <v>71.95</v>
      </c>
    </row>
    <row r="160" spans="1:9" x14ac:dyDescent="0.3">
      <c r="A160">
        <v>159</v>
      </c>
      <c r="B160" s="10">
        <v>45150</v>
      </c>
      <c r="C160">
        <v>8</v>
      </c>
      <c r="D160">
        <v>126</v>
      </c>
      <c r="E160">
        <v>62</v>
      </c>
      <c r="F160">
        <v>2</v>
      </c>
      <c r="G160">
        <v>82.81</v>
      </c>
      <c r="H160">
        <v>0.2</v>
      </c>
      <c r="I160">
        <v>132.5</v>
      </c>
    </row>
    <row r="161" spans="1:9" x14ac:dyDescent="0.3">
      <c r="A161">
        <v>160</v>
      </c>
      <c r="B161" s="10">
        <v>45958</v>
      </c>
      <c r="C161">
        <v>4</v>
      </c>
      <c r="D161">
        <v>40</v>
      </c>
      <c r="E161">
        <v>56</v>
      </c>
      <c r="F161">
        <v>4</v>
      </c>
      <c r="G161">
        <v>232.81</v>
      </c>
      <c r="H161">
        <v>0</v>
      </c>
      <c r="I161">
        <v>931.24</v>
      </c>
    </row>
    <row r="162" spans="1:9" x14ac:dyDescent="0.3">
      <c r="A162">
        <v>161</v>
      </c>
      <c r="B162" s="10">
        <v>45015</v>
      </c>
      <c r="C162">
        <v>5</v>
      </c>
      <c r="D162">
        <v>103</v>
      </c>
      <c r="E162">
        <v>71</v>
      </c>
      <c r="F162">
        <v>1</v>
      </c>
      <c r="G162">
        <v>225.61</v>
      </c>
      <c r="H162">
        <v>0.2</v>
      </c>
      <c r="I162">
        <v>180.49</v>
      </c>
    </row>
    <row r="163" spans="1:9" x14ac:dyDescent="0.3">
      <c r="A163">
        <v>162</v>
      </c>
      <c r="B163" s="10">
        <v>45865</v>
      </c>
      <c r="C163">
        <v>1</v>
      </c>
      <c r="D163">
        <v>129</v>
      </c>
      <c r="E163">
        <v>88</v>
      </c>
      <c r="F163">
        <v>1</v>
      </c>
      <c r="G163">
        <v>181.05</v>
      </c>
      <c r="H163">
        <v>0</v>
      </c>
      <c r="I163">
        <v>181.05</v>
      </c>
    </row>
    <row r="164" spans="1:9" x14ac:dyDescent="0.3">
      <c r="A164">
        <v>163</v>
      </c>
      <c r="B164" s="10">
        <v>45051</v>
      </c>
      <c r="C164">
        <v>8</v>
      </c>
      <c r="D164">
        <v>137</v>
      </c>
      <c r="E164">
        <v>57</v>
      </c>
      <c r="F164">
        <v>1</v>
      </c>
      <c r="G164">
        <v>32.28</v>
      </c>
      <c r="H164">
        <v>0</v>
      </c>
      <c r="I164">
        <v>32.28</v>
      </c>
    </row>
    <row r="165" spans="1:9" x14ac:dyDescent="0.3">
      <c r="A165">
        <v>164</v>
      </c>
      <c r="B165" s="10">
        <v>45749</v>
      </c>
      <c r="C165">
        <v>7</v>
      </c>
      <c r="D165">
        <v>109</v>
      </c>
      <c r="E165">
        <v>55</v>
      </c>
      <c r="F165">
        <v>2</v>
      </c>
      <c r="G165">
        <v>193.33</v>
      </c>
      <c r="H165">
        <v>0</v>
      </c>
      <c r="I165">
        <v>386.66</v>
      </c>
    </row>
    <row r="166" spans="1:9" x14ac:dyDescent="0.3">
      <c r="A166">
        <v>165</v>
      </c>
      <c r="B166" s="10">
        <v>45148</v>
      </c>
      <c r="C166">
        <v>8</v>
      </c>
      <c r="D166">
        <v>120</v>
      </c>
      <c r="E166">
        <v>89</v>
      </c>
      <c r="F166">
        <v>1</v>
      </c>
      <c r="G166">
        <v>247.43</v>
      </c>
      <c r="H166">
        <v>0</v>
      </c>
      <c r="I166">
        <v>247.43</v>
      </c>
    </row>
    <row r="167" spans="1:9" x14ac:dyDescent="0.3">
      <c r="A167">
        <v>166</v>
      </c>
      <c r="B167" s="10">
        <v>45835</v>
      </c>
      <c r="C167">
        <v>2</v>
      </c>
      <c r="D167">
        <v>134</v>
      </c>
      <c r="E167">
        <v>65</v>
      </c>
      <c r="F167">
        <v>1</v>
      </c>
      <c r="G167">
        <v>71.14</v>
      </c>
      <c r="H167">
        <v>0</v>
      </c>
      <c r="I167">
        <v>71.14</v>
      </c>
    </row>
    <row r="168" spans="1:9" x14ac:dyDescent="0.3">
      <c r="A168">
        <v>167</v>
      </c>
      <c r="B168" s="10">
        <v>45092</v>
      </c>
      <c r="C168">
        <v>6</v>
      </c>
      <c r="D168">
        <v>71</v>
      </c>
      <c r="E168">
        <v>11</v>
      </c>
      <c r="F168">
        <v>1</v>
      </c>
      <c r="G168">
        <v>11.53</v>
      </c>
      <c r="H168">
        <v>0.1</v>
      </c>
      <c r="I168">
        <v>10.38</v>
      </c>
    </row>
    <row r="169" spans="1:9" x14ac:dyDescent="0.3">
      <c r="A169">
        <v>168</v>
      </c>
      <c r="B169" s="10">
        <v>45230</v>
      </c>
      <c r="C169">
        <v>2</v>
      </c>
      <c r="D169">
        <v>49</v>
      </c>
      <c r="E169">
        <v>62</v>
      </c>
      <c r="F169">
        <v>1</v>
      </c>
      <c r="G169">
        <v>82.81</v>
      </c>
      <c r="H169">
        <v>0</v>
      </c>
      <c r="I169">
        <v>82.81</v>
      </c>
    </row>
    <row r="170" spans="1:9" x14ac:dyDescent="0.3">
      <c r="A170">
        <v>169</v>
      </c>
      <c r="B170" s="10">
        <v>45185</v>
      </c>
      <c r="C170">
        <v>5</v>
      </c>
      <c r="D170">
        <v>21</v>
      </c>
      <c r="E170">
        <v>60</v>
      </c>
      <c r="F170">
        <v>1</v>
      </c>
      <c r="G170">
        <v>101.29</v>
      </c>
      <c r="H170">
        <v>0</v>
      </c>
      <c r="I170">
        <v>101.29</v>
      </c>
    </row>
    <row r="171" spans="1:9" x14ac:dyDescent="0.3">
      <c r="A171">
        <v>170</v>
      </c>
      <c r="B171" s="10">
        <v>45592</v>
      </c>
      <c r="C171">
        <v>7</v>
      </c>
      <c r="D171">
        <v>151</v>
      </c>
      <c r="E171">
        <v>48</v>
      </c>
      <c r="F171">
        <v>2</v>
      </c>
      <c r="G171">
        <v>146.85</v>
      </c>
      <c r="H171">
        <v>0.1</v>
      </c>
      <c r="I171">
        <v>264.33</v>
      </c>
    </row>
    <row r="172" spans="1:9" x14ac:dyDescent="0.3">
      <c r="A172">
        <v>171</v>
      </c>
      <c r="B172" s="10">
        <v>45530</v>
      </c>
      <c r="C172">
        <v>8</v>
      </c>
      <c r="D172">
        <v>190</v>
      </c>
      <c r="E172">
        <v>63</v>
      </c>
      <c r="F172">
        <v>1</v>
      </c>
      <c r="G172">
        <v>239.9</v>
      </c>
      <c r="H172">
        <v>0</v>
      </c>
      <c r="I172">
        <v>239.9</v>
      </c>
    </row>
    <row r="173" spans="1:9" x14ac:dyDescent="0.3">
      <c r="A173">
        <v>172</v>
      </c>
      <c r="B173" s="10">
        <v>45962</v>
      </c>
      <c r="C173">
        <v>7</v>
      </c>
      <c r="D173">
        <v>74</v>
      </c>
      <c r="E173">
        <v>86</v>
      </c>
      <c r="F173">
        <v>1</v>
      </c>
      <c r="G173">
        <v>99.19</v>
      </c>
      <c r="H173">
        <v>0.2</v>
      </c>
      <c r="I173">
        <v>79.349999999999994</v>
      </c>
    </row>
    <row r="174" spans="1:9" x14ac:dyDescent="0.3">
      <c r="A174">
        <v>173</v>
      </c>
      <c r="B174" s="10">
        <v>45130</v>
      </c>
      <c r="C174">
        <v>2</v>
      </c>
      <c r="D174">
        <v>128</v>
      </c>
      <c r="E174">
        <v>49</v>
      </c>
      <c r="F174">
        <v>1</v>
      </c>
      <c r="G174">
        <v>130.58000000000001</v>
      </c>
      <c r="H174">
        <v>0</v>
      </c>
      <c r="I174">
        <v>130.58000000000001</v>
      </c>
    </row>
    <row r="175" spans="1:9" x14ac:dyDescent="0.3">
      <c r="A175">
        <v>174</v>
      </c>
      <c r="B175" s="10">
        <v>45367</v>
      </c>
      <c r="C175">
        <v>7</v>
      </c>
      <c r="D175">
        <v>216</v>
      </c>
      <c r="E175">
        <v>15</v>
      </c>
      <c r="F175">
        <v>1</v>
      </c>
      <c r="G175">
        <v>58.26</v>
      </c>
      <c r="H175">
        <v>0.05</v>
      </c>
      <c r="I175">
        <v>55.35</v>
      </c>
    </row>
    <row r="176" spans="1:9" x14ac:dyDescent="0.3">
      <c r="A176">
        <v>175</v>
      </c>
      <c r="B176" s="10">
        <v>45851</v>
      </c>
      <c r="C176">
        <v>4</v>
      </c>
      <c r="D176">
        <v>162</v>
      </c>
      <c r="E176">
        <v>94</v>
      </c>
      <c r="F176">
        <v>2</v>
      </c>
      <c r="G176">
        <v>163.66</v>
      </c>
      <c r="H176">
        <v>0.05</v>
      </c>
      <c r="I176">
        <v>310.95</v>
      </c>
    </row>
    <row r="177" spans="1:9" x14ac:dyDescent="0.3">
      <c r="A177">
        <v>176</v>
      </c>
      <c r="B177" s="10">
        <v>45774</v>
      </c>
      <c r="C177">
        <v>6</v>
      </c>
      <c r="D177">
        <v>5</v>
      </c>
      <c r="E177">
        <v>75</v>
      </c>
      <c r="F177">
        <v>1</v>
      </c>
      <c r="G177">
        <v>205.69</v>
      </c>
      <c r="H177">
        <v>0.05</v>
      </c>
      <c r="I177">
        <v>195.41</v>
      </c>
    </row>
    <row r="178" spans="1:9" x14ac:dyDescent="0.3">
      <c r="A178">
        <v>177</v>
      </c>
      <c r="B178" s="10">
        <v>45855</v>
      </c>
      <c r="C178">
        <v>7</v>
      </c>
      <c r="D178">
        <v>28</v>
      </c>
      <c r="E178">
        <v>75</v>
      </c>
      <c r="F178">
        <v>3</v>
      </c>
      <c r="G178">
        <v>205.69</v>
      </c>
      <c r="H178">
        <v>0.1</v>
      </c>
      <c r="I178">
        <v>555.36</v>
      </c>
    </row>
    <row r="179" spans="1:9" x14ac:dyDescent="0.3">
      <c r="A179">
        <v>178</v>
      </c>
      <c r="B179" s="10">
        <v>45778</v>
      </c>
      <c r="C179">
        <v>2</v>
      </c>
      <c r="D179">
        <v>171</v>
      </c>
      <c r="E179">
        <v>47</v>
      </c>
      <c r="F179">
        <v>1</v>
      </c>
      <c r="G179">
        <v>93.41</v>
      </c>
      <c r="H179">
        <v>0</v>
      </c>
      <c r="I179">
        <v>93.41</v>
      </c>
    </row>
    <row r="180" spans="1:9" x14ac:dyDescent="0.3">
      <c r="A180">
        <v>179</v>
      </c>
      <c r="B180" s="10">
        <v>45567</v>
      </c>
      <c r="C180">
        <v>7</v>
      </c>
      <c r="D180">
        <v>95</v>
      </c>
      <c r="E180">
        <v>91</v>
      </c>
      <c r="F180">
        <v>1</v>
      </c>
      <c r="G180">
        <v>33.700000000000003</v>
      </c>
      <c r="H180">
        <v>0</v>
      </c>
      <c r="I180">
        <v>33.700000000000003</v>
      </c>
    </row>
    <row r="181" spans="1:9" x14ac:dyDescent="0.3">
      <c r="A181">
        <v>180</v>
      </c>
      <c r="B181" s="10">
        <v>45567</v>
      </c>
      <c r="C181">
        <v>5</v>
      </c>
      <c r="D181">
        <v>208</v>
      </c>
      <c r="E181">
        <v>36</v>
      </c>
      <c r="F181">
        <v>2</v>
      </c>
      <c r="G181">
        <v>211.43</v>
      </c>
      <c r="H181">
        <v>0</v>
      </c>
      <c r="I181">
        <v>422.86</v>
      </c>
    </row>
    <row r="182" spans="1:9" x14ac:dyDescent="0.3">
      <c r="A182">
        <v>181</v>
      </c>
      <c r="B182" s="10">
        <v>45693</v>
      </c>
      <c r="C182">
        <v>3</v>
      </c>
      <c r="D182">
        <v>84</v>
      </c>
      <c r="E182">
        <v>37</v>
      </c>
      <c r="F182">
        <v>1</v>
      </c>
      <c r="G182">
        <v>88.87</v>
      </c>
      <c r="H182">
        <v>0</v>
      </c>
      <c r="I182">
        <v>88.87</v>
      </c>
    </row>
    <row r="183" spans="1:9" x14ac:dyDescent="0.3">
      <c r="A183">
        <v>182</v>
      </c>
      <c r="B183" s="10">
        <v>45898</v>
      </c>
      <c r="C183">
        <v>2</v>
      </c>
      <c r="D183">
        <v>94</v>
      </c>
      <c r="E183">
        <v>24</v>
      </c>
      <c r="F183">
        <v>1</v>
      </c>
      <c r="G183">
        <v>91.73</v>
      </c>
      <c r="H183">
        <v>0</v>
      </c>
      <c r="I183">
        <v>91.73</v>
      </c>
    </row>
    <row r="184" spans="1:9" x14ac:dyDescent="0.3">
      <c r="A184">
        <v>183</v>
      </c>
      <c r="B184" s="10">
        <v>45113</v>
      </c>
      <c r="C184">
        <v>2</v>
      </c>
      <c r="D184">
        <v>110</v>
      </c>
      <c r="E184">
        <v>58</v>
      </c>
      <c r="F184">
        <v>2</v>
      </c>
      <c r="G184">
        <v>64.400000000000006</v>
      </c>
      <c r="H184">
        <v>0.1</v>
      </c>
      <c r="I184">
        <v>115.92</v>
      </c>
    </row>
    <row r="185" spans="1:9" x14ac:dyDescent="0.3">
      <c r="A185">
        <v>184</v>
      </c>
      <c r="B185" s="10">
        <v>45117</v>
      </c>
      <c r="C185">
        <v>7</v>
      </c>
      <c r="D185">
        <v>47</v>
      </c>
      <c r="E185">
        <v>14</v>
      </c>
      <c r="F185">
        <v>1</v>
      </c>
      <c r="G185">
        <v>70.08</v>
      </c>
      <c r="H185">
        <v>0</v>
      </c>
      <c r="I185">
        <v>70.08</v>
      </c>
    </row>
    <row r="186" spans="1:9" x14ac:dyDescent="0.3">
      <c r="A186">
        <v>185</v>
      </c>
      <c r="B186" s="10">
        <v>45124</v>
      </c>
      <c r="C186">
        <v>6</v>
      </c>
      <c r="D186">
        <v>146</v>
      </c>
      <c r="E186">
        <v>57</v>
      </c>
      <c r="F186">
        <v>1</v>
      </c>
      <c r="G186">
        <v>32.28</v>
      </c>
      <c r="H186">
        <v>0</v>
      </c>
      <c r="I186">
        <v>32.28</v>
      </c>
    </row>
    <row r="187" spans="1:9" x14ac:dyDescent="0.3">
      <c r="A187">
        <v>186</v>
      </c>
      <c r="B187" s="10">
        <v>45193</v>
      </c>
      <c r="C187">
        <v>1</v>
      </c>
      <c r="D187">
        <v>131</v>
      </c>
      <c r="E187">
        <v>67</v>
      </c>
      <c r="F187">
        <v>1</v>
      </c>
      <c r="G187">
        <v>41.9</v>
      </c>
      <c r="H187">
        <v>0</v>
      </c>
      <c r="I187">
        <v>41.9</v>
      </c>
    </row>
    <row r="188" spans="1:9" x14ac:dyDescent="0.3">
      <c r="A188">
        <v>187</v>
      </c>
      <c r="B188" s="10">
        <v>45602</v>
      </c>
      <c r="C188">
        <v>2</v>
      </c>
      <c r="D188">
        <v>216</v>
      </c>
      <c r="E188">
        <v>13</v>
      </c>
      <c r="F188">
        <v>4</v>
      </c>
      <c r="G188">
        <v>262.70999999999998</v>
      </c>
      <c r="H188">
        <v>0.05</v>
      </c>
      <c r="I188">
        <v>998.3</v>
      </c>
    </row>
    <row r="189" spans="1:9" x14ac:dyDescent="0.3">
      <c r="A189">
        <v>188</v>
      </c>
      <c r="B189" s="10">
        <v>45768</v>
      </c>
      <c r="C189">
        <v>6</v>
      </c>
      <c r="D189">
        <v>198</v>
      </c>
      <c r="E189">
        <v>14</v>
      </c>
      <c r="F189">
        <v>1</v>
      </c>
      <c r="G189">
        <v>70.08</v>
      </c>
      <c r="H189">
        <v>0.1</v>
      </c>
      <c r="I189">
        <v>63.07</v>
      </c>
    </row>
    <row r="190" spans="1:9" x14ac:dyDescent="0.3">
      <c r="A190">
        <v>189</v>
      </c>
      <c r="B190" s="10">
        <v>45793</v>
      </c>
      <c r="C190">
        <v>1</v>
      </c>
      <c r="D190">
        <v>91</v>
      </c>
      <c r="E190">
        <v>37</v>
      </c>
      <c r="F190">
        <v>2</v>
      </c>
      <c r="G190">
        <v>88.87</v>
      </c>
      <c r="H190">
        <v>0.15</v>
      </c>
      <c r="I190">
        <v>151.08000000000001</v>
      </c>
    </row>
    <row r="191" spans="1:9" x14ac:dyDescent="0.3">
      <c r="A191">
        <v>190</v>
      </c>
      <c r="B191" s="10">
        <v>45516</v>
      </c>
      <c r="C191">
        <v>5</v>
      </c>
      <c r="D191">
        <v>138</v>
      </c>
      <c r="E191">
        <v>61</v>
      </c>
      <c r="F191">
        <v>1</v>
      </c>
      <c r="G191">
        <v>106.64</v>
      </c>
      <c r="H191">
        <v>0.1</v>
      </c>
      <c r="I191">
        <v>95.98</v>
      </c>
    </row>
    <row r="192" spans="1:9" x14ac:dyDescent="0.3">
      <c r="A192">
        <v>191</v>
      </c>
      <c r="B192" s="10">
        <v>45647</v>
      </c>
      <c r="C192">
        <v>2</v>
      </c>
      <c r="D192">
        <v>173</v>
      </c>
      <c r="E192">
        <v>75</v>
      </c>
      <c r="F192">
        <v>1</v>
      </c>
      <c r="G192">
        <v>205.69</v>
      </c>
      <c r="H192">
        <v>0</v>
      </c>
      <c r="I192">
        <v>205.69</v>
      </c>
    </row>
    <row r="193" spans="1:9" x14ac:dyDescent="0.3">
      <c r="A193">
        <v>192</v>
      </c>
      <c r="B193" s="10">
        <v>45966</v>
      </c>
      <c r="C193">
        <v>4</v>
      </c>
      <c r="D193">
        <v>122</v>
      </c>
      <c r="E193">
        <v>10</v>
      </c>
      <c r="F193">
        <v>2</v>
      </c>
      <c r="G193">
        <v>168.82</v>
      </c>
      <c r="H193">
        <v>0</v>
      </c>
      <c r="I193">
        <v>337.64</v>
      </c>
    </row>
    <row r="194" spans="1:9" x14ac:dyDescent="0.3">
      <c r="A194">
        <v>193</v>
      </c>
      <c r="B194" s="10">
        <v>45243</v>
      </c>
      <c r="C194">
        <v>8</v>
      </c>
      <c r="D194">
        <v>54</v>
      </c>
      <c r="E194">
        <v>28</v>
      </c>
      <c r="F194">
        <v>1</v>
      </c>
      <c r="G194">
        <v>162.13</v>
      </c>
      <c r="H194">
        <v>0</v>
      </c>
      <c r="I194">
        <v>162.13</v>
      </c>
    </row>
    <row r="195" spans="1:9" x14ac:dyDescent="0.3">
      <c r="A195">
        <v>194</v>
      </c>
      <c r="B195" s="10">
        <v>45386</v>
      </c>
      <c r="C195">
        <v>2</v>
      </c>
      <c r="D195">
        <v>150</v>
      </c>
      <c r="E195">
        <v>92</v>
      </c>
      <c r="F195">
        <v>1</v>
      </c>
      <c r="G195">
        <v>223.32</v>
      </c>
      <c r="H195">
        <v>0.05</v>
      </c>
      <c r="I195">
        <v>212.15</v>
      </c>
    </row>
    <row r="196" spans="1:9" x14ac:dyDescent="0.3">
      <c r="A196">
        <v>195</v>
      </c>
      <c r="B196" s="10">
        <v>45644</v>
      </c>
      <c r="C196">
        <v>6</v>
      </c>
      <c r="D196">
        <v>116</v>
      </c>
      <c r="E196">
        <v>71</v>
      </c>
      <c r="F196">
        <v>1</v>
      </c>
      <c r="G196">
        <v>225.61</v>
      </c>
      <c r="H196">
        <v>0</v>
      </c>
      <c r="I196">
        <v>225.61</v>
      </c>
    </row>
    <row r="197" spans="1:9" x14ac:dyDescent="0.3">
      <c r="A197">
        <v>196</v>
      </c>
      <c r="B197" s="10">
        <v>45162</v>
      </c>
      <c r="C197">
        <v>5</v>
      </c>
      <c r="D197">
        <v>62</v>
      </c>
      <c r="E197">
        <v>31</v>
      </c>
      <c r="F197">
        <v>1</v>
      </c>
      <c r="G197">
        <v>165.45</v>
      </c>
      <c r="H197">
        <v>0</v>
      </c>
      <c r="I197">
        <v>165.45</v>
      </c>
    </row>
    <row r="198" spans="1:9" x14ac:dyDescent="0.3">
      <c r="A198">
        <v>197</v>
      </c>
      <c r="B198" s="10">
        <v>45390</v>
      </c>
      <c r="C198">
        <v>7</v>
      </c>
      <c r="D198">
        <v>182</v>
      </c>
      <c r="E198">
        <v>39</v>
      </c>
      <c r="F198">
        <v>1</v>
      </c>
      <c r="G198">
        <v>181.34</v>
      </c>
      <c r="H198">
        <v>0.05</v>
      </c>
      <c r="I198">
        <v>172.27</v>
      </c>
    </row>
    <row r="199" spans="1:9" x14ac:dyDescent="0.3">
      <c r="A199">
        <v>198</v>
      </c>
      <c r="B199" s="10">
        <v>44980</v>
      </c>
      <c r="C199">
        <v>5</v>
      </c>
      <c r="D199">
        <v>63</v>
      </c>
      <c r="E199">
        <v>69</v>
      </c>
      <c r="F199">
        <v>1</v>
      </c>
      <c r="G199">
        <v>22.86</v>
      </c>
      <c r="H199">
        <v>0</v>
      </c>
      <c r="I199">
        <v>22.86</v>
      </c>
    </row>
    <row r="200" spans="1:9" x14ac:dyDescent="0.3">
      <c r="A200">
        <v>199</v>
      </c>
      <c r="B200" s="10">
        <v>44986</v>
      </c>
      <c r="C200">
        <v>3</v>
      </c>
      <c r="D200">
        <v>110</v>
      </c>
      <c r="E200">
        <v>41</v>
      </c>
      <c r="F200">
        <v>1</v>
      </c>
      <c r="G200">
        <v>45.5</v>
      </c>
      <c r="H200">
        <v>0</v>
      </c>
      <c r="I200">
        <v>45.5</v>
      </c>
    </row>
    <row r="201" spans="1:9" x14ac:dyDescent="0.3">
      <c r="A201">
        <v>200</v>
      </c>
      <c r="B201" s="10">
        <v>45486</v>
      </c>
      <c r="C201">
        <v>5</v>
      </c>
      <c r="D201">
        <v>25</v>
      </c>
      <c r="E201">
        <v>53</v>
      </c>
      <c r="F201">
        <v>1</v>
      </c>
      <c r="G201">
        <v>229.6</v>
      </c>
      <c r="H201">
        <v>0.1</v>
      </c>
      <c r="I201">
        <v>206.64</v>
      </c>
    </row>
    <row r="202" spans="1:9" x14ac:dyDescent="0.3">
      <c r="A202">
        <v>201</v>
      </c>
      <c r="B202" s="10">
        <v>45622</v>
      </c>
      <c r="C202">
        <v>6</v>
      </c>
      <c r="D202">
        <v>62</v>
      </c>
      <c r="E202">
        <v>95</v>
      </c>
      <c r="F202">
        <v>1</v>
      </c>
      <c r="G202">
        <v>201.94</v>
      </c>
      <c r="H202">
        <v>0</v>
      </c>
      <c r="I202">
        <v>201.94</v>
      </c>
    </row>
    <row r="203" spans="1:9" x14ac:dyDescent="0.3">
      <c r="A203">
        <v>202</v>
      </c>
      <c r="B203" s="10">
        <v>44939</v>
      </c>
      <c r="C203">
        <v>3</v>
      </c>
      <c r="D203">
        <v>177</v>
      </c>
      <c r="E203">
        <v>82</v>
      </c>
      <c r="F203">
        <v>2</v>
      </c>
      <c r="G203">
        <v>151.85</v>
      </c>
      <c r="H203">
        <v>0</v>
      </c>
      <c r="I203">
        <v>303.7</v>
      </c>
    </row>
    <row r="204" spans="1:9" x14ac:dyDescent="0.3">
      <c r="A204">
        <v>203</v>
      </c>
      <c r="B204" s="10">
        <v>45220</v>
      </c>
      <c r="C204">
        <v>7</v>
      </c>
      <c r="D204">
        <v>201</v>
      </c>
      <c r="E204">
        <v>96</v>
      </c>
      <c r="F204">
        <v>1</v>
      </c>
      <c r="G204">
        <v>132.69</v>
      </c>
      <c r="H204">
        <v>0</v>
      </c>
      <c r="I204">
        <v>132.69</v>
      </c>
    </row>
    <row r="205" spans="1:9" x14ac:dyDescent="0.3">
      <c r="A205">
        <v>204</v>
      </c>
      <c r="B205" s="10">
        <v>45069</v>
      </c>
      <c r="C205">
        <v>3</v>
      </c>
      <c r="D205">
        <v>189</v>
      </c>
      <c r="E205">
        <v>34</v>
      </c>
      <c r="F205">
        <v>1</v>
      </c>
      <c r="G205">
        <v>247.04</v>
      </c>
      <c r="H205">
        <v>0.05</v>
      </c>
      <c r="I205">
        <v>234.69</v>
      </c>
    </row>
    <row r="206" spans="1:9" x14ac:dyDescent="0.3">
      <c r="A206">
        <v>205</v>
      </c>
      <c r="B206" s="10">
        <v>44989</v>
      </c>
      <c r="C206">
        <v>2</v>
      </c>
      <c r="D206">
        <v>44</v>
      </c>
      <c r="E206">
        <v>59</v>
      </c>
      <c r="F206">
        <v>1</v>
      </c>
      <c r="G206">
        <v>17.41</v>
      </c>
      <c r="H206">
        <v>0.1</v>
      </c>
      <c r="I206">
        <v>15.67</v>
      </c>
    </row>
    <row r="207" spans="1:9" x14ac:dyDescent="0.3">
      <c r="A207">
        <v>206</v>
      </c>
      <c r="B207" s="10">
        <v>45367</v>
      </c>
      <c r="C207">
        <v>7</v>
      </c>
      <c r="D207">
        <v>194</v>
      </c>
      <c r="E207">
        <v>95</v>
      </c>
      <c r="F207">
        <v>2</v>
      </c>
      <c r="G207">
        <v>201.94</v>
      </c>
      <c r="H207">
        <v>0</v>
      </c>
      <c r="I207">
        <v>403.88</v>
      </c>
    </row>
    <row r="208" spans="1:9" x14ac:dyDescent="0.3">
      <c r="A208">
        <v>207</v>
      </c>
      <c r="B208" s="10">
        <v>45786</v>
      </c>
      <c r="C208">
        <v>8</v>
      </c>
      <c r="D208">
        <v>168</v>
      </c>
      <c r="E208">
        <v>44</v>
      </c>
      <c r="F208">
        <v>1</v>
      </c>
      <c r="G208">
        <v>235.19</v>
      </c>
      <c r="H208">
        <v>0</v>
      </c>
      <c r="I208">
        <v>235.19</v>
      </c>
    </row>
    <row r="209" spans="1:9" x14ac:dyDescent="0.3">
      <c r="A209">
        <v>208</v>
      </c>
      <c r="B209" s="10">
        <v>45625</v>
      </c>
      <c r="C209">
        <v>3</v>
      </c>
      <c r="D209">
        <v>112</v>
      </c>
      <c r="E209">
        <v>89</v>
      </c>
      <c r="F209">
        <v>1</v>
      </c>
      <c r="G209">
        <v>247.43</v>
      </c>
      <c r="H209">
        <v>0.05</v>
      </c>
      <c r="I209">
        <v>235.06</v>
      </c>
    </row>
    <row r="210" spans="1:9" x14ac:dyDescent="0.3">
      <c r="A210">
        <v>209</v>
      </c>
      <c r="B210" s="10">
        <v>45684</v>
      </c>
      <c r="C210">
        <v>5</v>
      </c>
      <c r="D210">
        <v>199</v>
      </c>
      <c r="E210">
        <v>76</v>
      </c>
      <c r="F210">
        <v>2</v>
      </c>
      <c r="G210">
        <v>181.01</v>
      </c>
      <c r="H210">
        <v>0</v>
      </c>
      <c r="I210">
        <v>362.02</v>
      </c>
    </row>
    <row r="211" spans="1:9" x14ac:dyDescent="0.3">
      <c r="A211">
        <v>210</v>
      </c>
      <c r="B211" s="10">
        <v>45591</v>
      </c>
      <c r="C211">
        <v>2</v>
      </c>
      <c r="D211">
        <v>34</v>
      </c>
      <c r="E211">
        <v>69</v>
      </c>
      <c r="F211">
        <v>1</v>
      </c>
      <c r="G211">
        <v>22.86</v>
      </c>
      <c r="H211">
        <v>0.1</v>
      </c>
      <c r="I211">
        <v>20.57</v>
      </c>
    </row>
    <row r="212" spans="1:9" x14ac:dyDescent="0.3">
      <c r="A212">
        <v>211</v>
      </c>
      <c r="B212" s="10">
        <v>45034</v>
      </c>
      <c r="C212">
        <v>3</v>
      </c>
      <c r="D212">
        <v>23</v>
      </c>
      <c r="E212">
        <v>95</v>
      </c>
      <c r="F212">
        <v>1</v>
      </c>
      <c r="G212">
        <v>201.94</v>
      </c>
      <c r="H212">
        <v>0.1</v>
      </c>
      <c r="I212">
        <v>181.75</v>
      </c>
    </row>
    <row r="213" spans="1:9" x14ac:dyDescent="0.3">
      <c r="A213">
        <v>212</v>
      </c>
      <c r="B213" s="10">
        <v>45249</v>
      </c>
      <c r="C213">
        <v>1</v>
      </c>
      <c r="D213">
        <v>162</v>
      </c>
      <c r="E213">
        <v>17</v>
      </c>
      <c r="F213">
        <v>1</v>
      </c>
      <c r="G213">
        <v>97.14</v>
      </c>
      <c r="H213">
        <v>0</v>
      </c>
      <c r="I213">
        <v>97.14</v>
      </c>
    </row>
    <row r="214" spans="1:9" x14ac:dyDescent="0.3">
      <c r="A214">
        <v>213</v>
      </c>
      <c r="B214" s="10">
        <v>45094</v>
      </c>
      <c r="C214">
        <v>5</v>
      </c>
      <c r="D214">
        <v>29</v>
      </c>
      <c r="E214">
        <v>5</v>
      </c>
      <c r="F214">
        <v>1</v>
      </c>
      <c r="G214">
        <v>55.26</v>
      </c>
      <c r="H214">
        <v>0.15</v>
      </c>
      <c r="I214">
        <v>46.97</v>
      </c>
    </row>
    <row r="215" spans="1:9" x14ac:dyDescent="0.3">
      <c r="A215">
        <v>214</v>
      </c>
      <c r="B215" s="10">
        <v>45834</v>
      </c>
      <c r="C215">
        <v>7</v>
      </c>
      <c r="D215">
        <v>102</v>
      </c>
      <c r="E215">
        <v>26</v>
      </c>
      <c r="F215">
        <v>2</v>
      </c>
      <c r="G215">
        <v>211.87</v>
      </c>
      <c r="H215">
        <v>0.05</v>
      </c>
      <c r="I215">
        <v>402.55</v>
      </c>
    </row>
    <row r="216" spans="1:9" x14ac:dyDescent="0.3">
      <c r="A216">
        <v>215</v>
      </c>
      <c r="B216" s="10">
        <v>45921</v>
      </c>
      <c r="C216">
        <v>8</v>
      </c>
      <c r="D216">
        <v>190</v>
      </c>
      <c r="E216">
        <v>95</v>
      </c>
      <c r="F216">
        <v>2</v>
      </c>
      <c r="G216">
        <v>201.94</v>
      </c>
      <c r="H216">
        <v>0</v>
      </c>
      <c r="I216">
        <v>403.88</v>
      </c>
    </row>
    <row r="217" spans="1:9" x14ac:dyDescent="0.3">
      <c r="A217">
        <v>216</v>
      </c>
      <c r="B217" s="10">
        <v>45775</v>
      </c>
      <c r="C217">
        <v>5</v>
      </c>
      <c r="D217">
        <v>182</v>
      </c>
      <c r="E217">
        <v>46</v>
      </c>
      <c r="F217">
        <v>1</v>
      </c>
      <c r="G217">
        <v>157</v>
      </c>
      <c r="H217">
        <v>0.15</v>
      </c>
      <c r="I217">
        <v>133.44999999999999</v>
      </c>
    </row>
    <row r="218" spans="1:9" x14ac:dyDescent="0.3">
      <c r="A218">
        <v>217</v>
      </c>
      <c r="B218" s="10">
        <v>45368</v>
      </c>
      <c r="C218">
        <v>2</v>
      </c>
      <c r="D218">
        <v>24</v>
      </c>
      <c r="E218">
        <v>19</v>
      </c>
      <c r="F218">
        <v>1</v>
      </c>
      <c r="G218">
        <v>138.31</v>
      </c>
      <c r="H218">
        <v>0.1</v>
      </c>
      <c r="I218">
        <v>124.48</v>
      </c>
    </row>
    <row r="219" spans="1:9" x14ac:dyDescent="0.3">
      <c r="A219">
        <v>218</v>
      </c>
      <c r="B219" s="10">
        <v>45633</v>
      </c>
      <c r="C219">
        <v>7</v>
      </c>
      <c r="D219">
        <v>145</v>
      </c>
      <c r="E219">
        <v>65</v>
      </c>
      <c r="F219">
        <v>1</v>
      </c>
      <c r="G219">
        <v>71.14</v>
      </c>
      <c r="H219">
        <v>0.05</v>
      </c>
      <c r="I219">
        <v>67.58</v>
      </c>
    </row>
    <row r="220" spans="1:9" x14ac:dyDescent="0.3">
      <c r="A220">
        <v>219</v>
      </c>
      <c r="B220" s="10">
        <v>45154</v>
      </c>
      <c r="C220">
        <v>5</v>
      </c>
      <c r="D220">
        <v>206</v>
      </c>
      <c r="E220">
        <v>86</v>
      </c>
      <c r="F220">
        <v>2</v>
      </c>
      <c r="G220">
        <v>99.19</v>
      </c>
      <c r="H220">
        <v>0</v>
      </c>
      <c r="I220">
        <v>198.38</v>
      </c>
    </row>
    <row r="221" spans="1:9" x14ac:dyDescent="0.3">
      <c r="A221">
        <v>220</v>
      </c>
      <c r="B221" s="10">
        <v>45923</v>
      </c>
      <c r="C221">
        <v>5</v>
      </c>
      <c r="D221">
        <v>33</v>
      </c>
      <c r="E221">
        <v>13</v>
      </c>
      <c r="F221">
        <v>3</v>
      </c>
      <c r="G221">
        <v>262.70999999999998</v>
      </c>
      <c r="H221">
        <v>0</v>
      </c>
      <c r="I221">
        <v>788.13</v>
      </c>
    </row>
    <row r="222" spans="1:9" x14ac:dyDescent="0.3">
      <c r="A222">
        <v>221</v>
      </c>
      <c r="B222" s="10">
        <v>45020</v>
      </c>
      <c r="C222">
        <v>4</v>
      </c>
      <c r="D222">
        <v>108</v>
      </c>
      <c r="E222">
        <v>33</v>
      </c>
      <c r="F222">
        <v>2</v>
      </c>
      <c r="G222">
        <v>21.23</v>
      </c>
      <c r="H222">
        <v>0.05</v>
      </c>
      <c r="I222">
        <v>40.340000000000003</v>
      </c>
    </row>
    <row r="223" spans="1:9" x14ac:dyDescent="0.3">
      <c r="A223">
        <v>222</v>
      </c>
      <c r="B223" s="10">
        <v>45736</v>
      </c>
      <c r="C223">
        <v>1</v>
      </c>
      <c r="D223">
        <v>147</v>
      </c>
      <c r="E223">
        <v>30</v>
      </c>
      <c r="F223">
        <v>1</v>
      </c>
      <c r="G223">
        <v>19.399999999999999</v>
      </c>
      <c r="H223">
        <v>0.05</v>
      </c>
      <c r="I223">
        <v>18.43</v>
      </c>
    </row>
    <row r="224" spans="1:9" x14ac:dyDescent="0.3">
      <c r="A224">
        <v>223</v>
      </c>
      <c r="B224" s="10">
        <v>44942</v>
      </c>
      <c r="C224">
        <v>4</v>
      </c>
      <c r="D224">
        <v>68</v>
      </c>
      <c r="E224">
        <v>84</v>
      </c>
      <c r="F224">
        <v>1</v>
      </c>
      <c r="G224">
        <v>26.78</v>
      </c>
      <c r="H224">
        <v>0</v>
      </c>
      <c r="I224">
        <v>26.78</v>
      </c>
    </row>
    <row r="225" spans="1:9" x14ac:dyDescent="0.3">
      <c r="A225">
        <v>224</v>
      </c>
      <c r="B225" s="10">
        <v>45544</v>
      </c>
      <c r="C225">
        <v>4</v>
      </c>
      <c r="D225">
        <v>217</v>
      </c>
      <c r="E225">
        <v>74</v>
      </c>
      <c r="F225">
        <v>1</v>
      </c>
      <c r="G225">
        <v>205.01</v>
      </c>
      <c r="H225">
        <v>0.1</v>
      </c>
      <c r="I225">
        <v>184.51</v>
      </c>
    </row>
    <row r="226" spans="1:9" x14ac:dyDescent="0.3">
      <c r="A226">
        <v>225</v>
      </c>
      <c r="B226" s="10">
        <v>45208</v>
      </c>
      <c r="C226">
        <v>5</v>
      </c>
      <c r="D226">
        <v>67</v>
      </c>
      <c r="E226">
        <v>96</v>
      </c>
      <c r="F226">
        <v>1</v>
      </c>
      <c r="G226">
        <v>132.69</v>
      </c>
      <c r="H226">
        <v>0</v>
      </c>
      <c r="I226">
        <v>132.69</v>
      </c>
    </row>
    <row r="227" spans="1:9" x14ac:dyDescent="0.3">
      <c r="A227">
        <v>226</v>
      </c>
      <c r="B227" s="10">
        <v>45519</v>
      </c>
      <c r="C227">
        <v>6</v>
      </c>
      <c r="D227">
        <v>55</v>
      </c>
      <c r="E227">
        <v>8</v>
      </c>
      <c r="F227">
        <v>1</v>
      </c>
      <c r="G227">
        <v>259.11</v>
      </c>
      <c r="H227">
        <v>0</v>
      </c>
      <c r="I227">
        <v>259.11</v>
      </c>
    </row>
    <row r="228" spans="1:9" x14ac:dyDescent="0.3">
      <c r="A228">
        <v>227</v>
      </c>
      <c r="B228" s="10">
        <v>45172</v>
      </c>
      <c r="C228">
        <v>1</v>
      </c>
      <c r="D228">
        <v>14</v>
      </c>
      <c r="E228">
        <v>62</v>
      </c>
      <c r="F228">
        <v>1</v>
      </c>
      <c r="G228">
        <v>82.81</v>
      </c>
      <c r="H228">
        <v>0</v>
      </c>
      <c r="I228">
        <v>82.81</v>
      </c>
    </row>
    <row r="229" spans="1:9" x14ac:dyDescent="0.3">
      <c r="A229">
        <v>228</v>
      </c>
      <c r="B229" s="10">
        <v>45945</v>
      </c>
      <c r="C229">
        <v>7</v>
      </c>
      <c r="D229">
        <v>132</v>
      </c>
      <c r="E229">
        <v>77</v>
      </c>
      <c r="F229">
        <v>1</v>
      </c>
      <c r="G229">
        <v>226.88</v>
      </c>
      <c r="H229">
        <v>0.2</v>
      </c>
      <c r="I229">
        <v>181.5</v>
      </c>
    </row>
    <row r="230" spans="1:9" x14ac:dyDescent="0.3">
      <c r="A230">
        <v>229</v>
      </c>
      <c r="B230" s="10">
        <v>45286</v>
      </c>
      <c r="C230">
        <v>3</v>
      </c>
      <c r="D230">
        <v>149</v>
      </c>
      <c r="E230">
        <v>19</v>
      </c>
      <c r="F230">
        <v>2</v>
      </c>
      <c r="G230">
        <v>138.31</v>
      </c>
      <c r="H230">
        <v>0</v>
      </c>
      <c r="I230">
        <v>276.62</v>
      </c>
    </row>
    <row r="231" spans="1:9" x14ac:dyDescent="0.3">
      <c r="A231">
        <v>230</v>
      </c>
      <c r="B231" s="10">
        <v>45705</v>
      </c>
      <c r="C231">
        <v>4</v>
      </c>
      <c r="D231">
        <v>22</v>
      </c>
      <c r="E231">
        <v>94</v>
      </c>
      <c r="F231">
        <v>1</v>
      </c>
      <c r="G231">
        <v>163.66</v>
      </c>
      <c r="H231">
        <v>0.05</v>
      </c>
      <c r="I231">
        <v>155.47999999999999</v>
      </c>
    </row>
    <row r="232" spans="1:9" x14ac:dyDescent="0.3">
      <c r="A232">
        <v>231</v>
      </c>
      <c r="B232" s="10">
        <v>45951</v>
      </c>
      <c r="C232">
        <v>6</v>
      </c>
      <c r="D232">
        <v>204</v>
      </c>
      <c r="E232">
        <v>63</v>
      </c>
      <c r="F232">
        <v>2</v>
      </c>
      <c r="G232">
        <v>239.9</v>
      </c>
      <c r="H232">
        <v>0.05</v>
      </c>
      <c r="I232">
        <v>455.81</v>
      </c>
    </row>
    <row r="233" spans="1:9" x14ac:dyDescent="0.3">
      <c r="A233">
        <v>232</v>
      </c>
      <c r="B233" s="10">
        <v>45074</v>
      </c>
      <c r="C233">
        <v>7</v>
      </c>
      <c r="D233">
        <v>29</v>
      </c>
      <c r="E233">
        <v>4</v>
      </c>
      <c r="F233">
        <v>1</v>
      </c>
      <c r="G233">
        <v>168</v>
      </c>
      <c r="H233">
        <v>0.1</v>
      </c>
      <c r="I233">
        <v>151.19999999999999</v>
      </c>
    </row>
    <row r="234" spans="1:9" x14ac:dyDescent="0.3">
      <c r="A234">
        <v>233</v>
      </c>
      <c r="B234" s="10">
        <v>45013</v>
      </c>
      <c r="C234">
        <v>7</v>
      </c>
      <c r="D234">
        <v>116</v>
      </c>
      <c r="E234">
        <v>97</v>
      </c>
      <c r="F234">
        <v>1</v>
      </c>
      <c r="G234">
        <v>158.26</v>
      </c>
      <c r="H234">
        <v>0.15</v>
      </c>
      <c r="I234">
        <v>134.52000000000001</v>
      </c>
    </row>
    <row r="235" spans="1:9" x14ac:dyDescent="0.3">
      <c r="A235">
        <v>234</v>
      </c>
      <c r="B235" s="10">
        <v>44965</v>
      </c>
      <c r="C235">
        <v>8</v>
      </c>
      <c r="D235">
        <v>182</v>
      </c>
      <c r="E235">
        <v>54</v>
      </c>
      <c r="F235">
        <v>2</v>
      </c>
      <c r="G235">
        <v>245.9</v>
      </c>
      <c r="H235">
        <v>0</v>
      </c>
      <c r="I235">
        <v>491.8</v>
      </c>
    </row>
    <row r="236" spans="1:9" x14ac:dyDescent="0.3">
      <c r="A236">
        <v>235</v>
      </c>
      <c r="B236" s="10">
        <v>45086</v>
      </c>
      <c r="C236">
        <v>6</v>
      </c>
      <c r="D236">
        <v>27</v>
      </c>
      <c r="E236">
        <v>46</v>
      </c>
      <c r="F236">
        <v>1</v>
      </c>
      <c r="G236">
        <v>157</v>
      </c>
      <c r="H236">
        <v>0</v>
      </c>
      <c r="I236">
        <v>157</v>
      </c>
    </row>
    <row r="237" spans="1:9" x14ac:dyDescent="0.3">
      <c r="A237">
        <v>236</v>
      </c>
      <c r="B237" s="10">
        <v>45806</v>
      </c>
      <c r="C237">
        <v>7</v>
      </c>
      <c r="D237">
        <v>114</v>
      </c>
      <c r="E237">
        <v>14</v>
      </c>
      <c r="F237">
        <v>2</v>
      </c>
      <c r="G237">
        <v>70.08</v>
      </c>
      <c r="H237">
        <v>0</v>
      </c>
      <c r="I237">
        <v>140.16</v>
      </c>
    </row>
    <row r="238" spans="1:9" x14ac:dyDescent="0.3">
      <c r="A238">
        <v>237</v>
      </c>
      <c r="B238" s="10">
        <v>45782</v>
      </c>
      <c r="C238">
        <v>5</v>
      </c>
      <c r="D238">
        <v>179</v>
      </c>
      <c r="E238">
        <v>73</v>
      </c>
      <c r="F238">
        <v>1</v>
      </c>
      <c r="G238">
        <v>8.39</v>
      </c>
      <c r="H238">
        <v>0</v>
      </c>
      <c r="I238">
        <v>8.39</v>
      </c>
    </row>
    <row r="239" spans="1:9" x14ac:dyDescent="0.3">
      <c r="A239">
        <v>238</v>
      </c>
      <c r="B239" s="10">
        <v>45162</v>
      </c>
      <c r="C239">
        <v>7</v>
      </c>
      <c r="D239">
        <v>108</v>
      </c>
      <c r="E239">
        <v>42</v>
      </c>
      <c r="F239">
        <v>1</v>
      </c>
      <c r="G239">
        <v>127.97</v>
      </c>
      <c r="H239">
        <v>0</v>
      </c>
      <c r="I239">
        <v>127.97</v>
      </c>
    </row>
    <row r="240" spans="1:9" x14ac:dyDescent="0.3">
      <c r="A240">
        <v>239</v>
      </c>
      <c r="B240" s="10">
        <v>44969</v>
      </c>
      <c r="C240">
        <v>6</v>
      </c>
      <c r="D240">
        <v>185</v>
      </c>
      <c r="E240">
        <v>30</v>
      </c>
      <c r="F240">
        <v>2</v>
      </c>
      <c r="G240">
        <v>19.399999999999999</v>
      </c>
      <c r="H240">
        <v>0.15</v>
      </c>
      <c r="I240">
        <v>32.979999999999997</v>
      </c>
    </row>
    <row r="241" spans="1:9" x14ac:dyDescent="0.3">
      <c r="A241">
        <v>240</v>
      </c>
      <c r="B241" s="10">
        <v>45278</v>
      </c>
      <c r="C241">
        <v>8</v>
      </c>
      <c r="D241">
        <v>2</v>
      </c>
      <c r="E241">
        <v>59</v>
      </c>
      <c r="F241">
        <v>2</v>
      </c>
      <c r="G241">
        <v>17.41</v>
      </c>
      <c r="H241">
        <v>0.15</v>
      </c>
      <c r="I241">
        <v>29.6</v>
      </c>
    </row>
    <row r="242" spans="1:9" x14ac:dyDescent="0.3">
      <c r="A242">
        <v>241</v>
      </c>
      <c r="B242" s="10">
        <v>45668</v>
      </c>
      <c r="C242">
        <v>2</v>
      </c>
      <c r="D242">
        <v>149</v>
      </c>
      <c r="E242">
        <v>17</v>
      </c>
      <c r="F242">
        <v>1</v>
      </c>
      <c r="G242">
        <v>97.14</v>
      </c>
      <c r="H242">
        <v>0.05</v>
      </c>
      <c r="I242">
        <v>92.28</v>
      </c>
    </row>
    <row r="243" spans="1:9" x14ac:dyDescent="0.3">
      <c r="A243">
        <v>242</v>
      </c>
      <c r="B243" s="10">
        <v>45821</v>
      </c>
      <c r="C243">
        <v>2</v>
      </c>
      <c r="D243">
        <v>202</v>
      </c>
      <c r="E243">
        <v>55</v>
      </c>
      <c r="F243">
        <v>1</v>
      </c>
      <c r="G243">
        <v>193.33</v>
      </c>
      <c r="H243">
        <v>0.15</v>
      </c>
      <c r="I243">
        <v>164.33</v>
      </c>
    </row>
    <row r="244" spans="1:9" x14ac:dyDescent="0.3">
      <c r="A244">
        <v>243</v>
      </c>
      <c r="B244" s="10">
        <v>45425</v>
      </c>
      <c r="C244">
        <v>7</v>
      </c>
      <c r="D244">
        <v>168</v>
      </c>
      <c r="E244">
        <v>16</v>
      </c>
      <c r="F244">
        <v>1</v>
      </c>
      <c r="G244">
        <v>62.77</v>
      </c>
      <c r="H244">
        <v>0</v>
      </c>
      <c r="I244">
        <v>62.77</v>
      </c>
    </row>
    <row r="245" spans="1:9" x14ac:dyDescent="0.3">
      <c r="A245">
        <v>244</v>
      </c>
      <c r="B245" s="10">
        <v>45747</v>
      </c>
      <c r="C245">
        <v>2</v>
      </c>
      <c r="D245">
        <v>165</v>
      </c>
      <c r="E245">
        <v>83</v>
      </c>
      <c r="F245">
        <v>3</v>
      </c>
      <c r="G245">
        <v>109.16</v>
      </c>
      <c r="H245">
        <v>0</v>
      </c>
      <c r="I245">
        <v>327.48</v>
      </c>
    </row>
    <row r="246" spans="1:9" x14ac:dyDescent="0.3">
      <c r="A246">
        <v>245</v>
      </c>
      <c r="B246" s="10">
        <v>45737</v>
      </c>
      <c r="C246">
        <v>5</v>
      </c>
      <c r="D246">
        <v>205</v>
      </c>
      <c r="E246">
        <v>25</v>
      </c>
      <c r="F246">
        <v>1</v>
      </c>
      <c r="G246">
        <v>117.41</v>
      </c>
      <c r="H246">
        <v>0</v>
      </c>
      <c r="I246">
        <v>117.41</v>
      </c>
    </row>
    <row r="247" spans="1:9" x14ac:dyDescent="0.3">
      <c r="A247">
        <v>246</v>
      </c>
      <c r="B247" s="10">
        <v>45622</v>
      </c>
      <c r="C247">
        <v>4</v>
      </c>
      <c r="D247">
        <v>216</v>
      </c>
      <c r="E247">
        <v>40</v>
      </c>
      <c r="F247">
        <v>1</v>
      </c>
      <c r="G247">
        <v>144.41999999999999</v>
      </c>
      <c r="H247">
        <v>0</v>
      </c>
      <c r="I247">
        <v>144.41999999999999</v>
      </c>
    </row>
    <row r="248" spans="1:9" x14ac:dyDescent="0.3">
      <c r="A248">
        <v>247</v>
      </c>
      <c r="B248" s="10">
        <v>45609</v>
      </c>
      <c r="C248">
        <v>3</v>
      </c>
      <c r="D248">
        <v>5</v>
      </c>
      <c r="E248">
        <v>78</v>
      </c>
      <c r="F248">
        <v>1</v>
      </c>
      <c r="G248">
        <v>25.66</v>
      </c>
      <c r="H248">
        <v>0</v>
      </c>
      <c r="I248">
        <v>25.66</v>
      </c>
    </row>
    <row r="249" spans="1:9" x14ac:dyDescent="0.3">
      <c r="A249">
        <v>248</v>
      </c>
      <c r="B249" s="10">
        <v>45083</v>
      </c>
      <c r="C249">
        <v>2</v>
      </c>
      <c r="D249">
        <v>85</v>
      </c>
      <c r="E249">
        <v>30</v>
      </c>
      <c r="F249">
        <v>1</v>
      </c>
      <c r="G249">
        <v>19.399999999999999</v>
      </c>
      <c r="H249">
        <v>0</v>
      </c>
      <c r="I249">
        <v>19.399999999999999</v>
      </c>
    </row>
    <row r="250" spans="1:9" x14ac:dyDescent="0.3">
      <c r="A250">
        <v>249</v>
      </c>
      <c r="B250" s="10">
        <v>45971</v>
      </c>
      <c r="C250">
        <v>4</v>
      </c>
      <c r="D250">
        <v>158</v>
      </c>
      <c r="E250">
        <v>73</v>
      </c>
      <c r="F250">
        <v>1</v>
      </c>
      <c r="G250">
        <v>8.39</v>
      </c>
      <c r="H250">
        <v>0</v>
      </c>
      <c r="I250">
        <v>8.39</v>
      </c>
    </row>
    <row r="251" spans="1:9" x14ac:dyDescent="0.3">
      <c r="A251">
        <v>250</v>
      </c>
      <c r="B251" s="10">
        <v>45642</v>
      </c>
      <c r="C251">
        <v>6</v>
      </c>
      <c r="D251">
        <v>139</v>
      </c>
      <c r="E251">
        <v>7</v>
      </c>
      <c r="F251">
        <v>1</v>
      </c>
      <c r="G251">
        <v>21.72</v>
      </c>
      <c r="H251">
        <v>0</v>
      </c>
      <c r="I251">
        <v>21.72</v>
      </c>
    </row>
    <row r="252" spans="1:9" x14ac:dyDescent="0.3">
      <c r="A252">
        <v>251</v>
      </c>
      <c r="B252" s="10">
        <v>45229</v>
      </c>
      <c r="C252">
        <v>4</v>
      </c>
      <c r="D252">
        <v>67</v>
      </c>
      <c r="E252">
        <v>45</v>
      </c>
      <c r="F252">
        <v>1</v>
      </c>
      <c r="G252">
        <v>70.989999999999995</v>
      </c>
      <c r="H252">
        <v>0</v>
      </c>
      <c r="I252">
        <v>70.989999999999995</v>
      </c>
    </row>
    <row r="253" spans="1:9" x14ac:dyDescent="0.3">
      <c r="A253">
        <v>252</v>
      </c>
      <c r="B253" s="10">
        <v>45137</v>
      </c>
      <c r="C253">
        <v>3</v>
      </c>
      <c r="D253">
        <v>31</v>
      </c>
      <c r="E253">
        <v>5</v>
      </c>
      <c r="F253">
        <v>3</v>
      </c>
      <c r="G253">
        <v>55.26</v>
      </c>
      <c r="H253">
        <v>0</v>
      </c>
      <c r="I253">
        <v>165.78</v>
      </c>
    </row>
    <row r="254" spans="1:9" x14ac:dyDescent="0.3">
      <c r="A254">
        <v>253</v>
      </c>
      <c r="B254" s="10">
        <v>45451</v>
      </c>
      <c r="C254">
        <v>4</v>
      </c>
      <c r="D254">
        <v>191</v>
      </c>
      <c r="E254">
        <v>1</v>
      </c>
      <c r="F254">
        <v>1</v>
      </c>
      <c r="G254">
        <v>90.53</v>
      </c>
      <c r="H254">
        <v>0</v>
      </c>
      <c r="I254">
        <v>90.53</v>
      </c>
    </row>
    <row r="255" spans="1:9" x14ac:dyDescent="0.3">
      <c r="A255">
        <v>254</v>
      </c>
      <c r="B255" s="10">
        <v>45282</v>
      </c>
      <c r="C255">
        <v>3</v>
      </c>
      <c r="D255">
        <v>95</v>
      </c>
      <c r="E255">
        <v>36</v>
      </c>
      <c r="F255">
        <v>1</v>
      </c>
      <c r="G255">
        <v>211.43</v>
      </c>
      <c r="H255">
        <v>0.2</v>
      </c>
      <c r="I255">
        <v>169.14</v>
      </c>
    </row>
    <row r="256" spans="1:9" x14ac:dyDescent="0.3">
      <c r="A256">
        <v>255</v>
      </c>
      <c r="B256" s="10">
        <v>45081</v>
      </c>
      <c r="C256">
        <v>3</v>
      </c>
      <c r="D256">
        <v>47</v>
      </c>
      <c r="E256">
        <v>29</v>
      </c>
      <c r="F256">
        <v>1</v>
      </c>
      <c r="G256">
        <v>138.6</v>
      </c>
      <c r="H256">
        <v>0.2</v>
      </c>
      <c r="I256">
        <v>110.88</v>
      </c>
    </row>
    <row r="257" spans="1:9" x14ac:dyDescent="0.3">
      <c r="A257">
        <v>256</v>
      </c>
      <c r="B257" s="10">
        <v>45938</v>
      </c>
      <c r="C257">
        <v>8</v>
      </c>
      <c r="D257">
        <v>77</v>
      </c>
      <c r="E257">
        <v>34</v>
      </c>
      <c r="F257">
        <v>1</v>
      </c>
      <c r="G257">
        <v>247.04</v>
      </c>
      <c r="H257">
        <v>0</v>
      </c>
      <c r="I257">
        <v>247.04</v>
      </c>
    </row>
    <row r="258" spans="1:9" x14ac:dyDescent="0.3">
      <c r="A258">
        <v>257</v>
      </c>
      <c r="B258" s="10">
        <v>45846</v>
      </c>
      <c r="C258">
        <v>6</v>
      </c>
      <c r="D258">
        <v>183</v>
      </c>
      <c r="E258">
        <v>91</v>
      </c>
      <c r="F258">
        <v>1</v>
      </c>
      <c r="G258">
        <v>33.700000000000003</v>
      </c>
      <c r="H258">
        <v>0</v>
      </c>
      <c r="I258">
        <v>33.700000000000003</v>
      </c>
    </row>
    <row r="259" spans="1:9" x14ac:dyDescent="0.3">
      <c r="A259">
        <v>258</v>
      </c>
      <c r="B259" s="10">
        <v>45574</v>
      </c>
      <c r="C259">
        <v>3</v>
      </c>
      <c r="D259">
        <v>58</v>
      </c>
      <c r="E259">
        <v>74</v>
      </c>
      <c r="F259">
        <v>1</v>
      </c>
      <c r="G259">
        <v>205.01</v>
      </c>
      <c r="H259">
        <v>0</v>
      </c>
      <c r="I259">
        <v>205.01</v>
      </c>
    </row>
    <row r="260" spans="1:9" x14ac:dyDescent="0.3">
      <c r="A260">
        <v>259</v>
      </c>
      <c r="B260" s="10">
        <v>45827</v>
      </c>
      <c r="C260">
        <v>2</v>
      </c>
      <c r="D260">
        <v>216</v>
      </c>
      <c r="E260">
        <v>40</v>
      </c>
      <c r="F260">
        <v>1</v>
      </c>
      <c r="G260">
        <v>144.41999999999999</v>
      </c>
      <c r="H260">
        <v>0</v>
      </c>
      <c r="I260">
        <v>144.41999999999999</v>
      </c>
    </row>
    <row r="261" spans="1:9" x14ac:dyDescent="0.3">
      <c r="A261">
        <v>260</v>
      </c>
      <c r="B261" s="10">
        <v>45887</v>
      </c>
      <c r="C261">
        <v>8</v>
      </c>
      <c r="D261">
        <v>80</v>
      </c>
      <c r="E261">
        <v>57</v>
      </c>
      <c r="F261">
        <v>1</v>
      </c>
      <c r="G261">
        <v>32.28</v>
      </c>
      <c r="H261">
        <v>0</v>
      </c>
      <c r="I261">
        <v>32.28</v>
      </c>
    </row>
    <row r="262" spans="1:9" x14ac:dyDescent="0.3">
      <c r="A262">
        <v>261</v>
      </c>
      <c r="B262" s="10">
        <v>45547</v>
      </c>
      <c r="C262">
        <v>5</v>
      </c>
      <c r="D262">
        <v>36</v>
      </c>
      <c r="E262">
        <v>34</v>
      </c>
      <c r="F262">
        <v>1</v>
      </c>
      <c r="G262">
        <v>247.04</v>
      </c>
      <c r="H262">
        <v>0</v>
      </c>
      <c r="I262">
        <v>247.04</v>
      </c>
    </row>
    <row r="263" spans="1:9" x14ac:dyDescent="0.3">
      <c r="A263">
        <v>262</v>
      </c>
      <c r="B263" s="10">
        <v>45042</v>
      </c>
      <c r="C263">
        <v>6</v>
      </c>
      <c r="D263">
        <v>25</v>
      </c>
      <c r="E263">
        <v>80</v>
      </c>
      <c r="F263">
        <v>3</v>
      </c>
      <c r="G263">
        <v>33.380000000000003</v>
      </c>
      <c r="H263">
        <v>0</v>
      </c>
      <c r="I263">
        <v>100.14</v>
      </c>
    </row>
    <row r="264" spans="1:9" x14ac:dyDescent="0.3">
      <c r="A264">
        <v>263</v>
      </c>
      <c r="B264" s="10">
        <v>45966</v>
      </c>
      <c r="C264">
        <v>2</v>
      </c>
      <c r="D264">
        <v>211</v>
      </c>
      <c r="E264">
        <v>13</v>
      </c>
      <c r="F264">
        <v>1</v>
      </c>
      <c r="G264">
        <v>262.70999999999998</v>
      </c>
      <c r="H264">
        <v>0.05</v>
      </c>
      <c r="I264">
        <v>249.57</v>
      </c>
    </row>
    <row r="265" spans="1:9" x14ac:dyDescent="0.3">
      <c r="A265">
        <v>264</v>
      </c>
      <c r="B265" s="10">
        <v>45562</v>
      </c>
      <c r="C265">
        <v>8</v>
      </c>
      <c r="D265">
        <v>14</v>
      </c>
      <c r="E265">
        <v>31</v>
      </c>
      <c r="F265">
        <v>1</v>
      </c>
      <c r="G265">
        <v>165.45</v>
      </c>
      <c r="H265">
        <v>0</v>
      </c>
      <c r="I265">
        <v>165.45</v>
      </c>
    </row>
    <row r="266" spans="1:9" x14ac:dyDescent="0.3">
      <c r="A266">
        <v>265</v>
      </c>
      <c r="B266" s="10">
        <v>45852</v>
      </c>
      <c r="C266">
        <v>1</v>
      </c>
      <c r="D266">
        <v>183</v>
      </c>
      <c r="E266">
        <v>70</v>
      </c>
      <c r="F266">
        <v>1</v>
      </c>
      <c r="G266">
        <v>280.36</v>
      </c>
      <c r="H266">
        <v>0</v>
      </c>
      <c r="I266">
        <v>280.36</v>
      </c>
    </row>
    <row r="267" spans="1:9" x14ac:dyDescent="0.3">
      <c r="A267">
        <v>266</v>
      </c>
      <c r="B267" s="10">
        <v>45043</v>
      </c>
      <c r="C267">
        <v>6</v>
      </c>
      <c r="D267">
        <v>26</v>
      </c>
      <c r="E267">
        <v>100</v>
      </c>
      <c r="F267">
        <v>1</v>
      </c>
      <c r="G267">
        <v>39.06</v>
      </c>
      <c r="H267">
        <v>0</v>
      </c>
      <c r="I267">
        <v>39.06</v>
      </c>
    </row>
    <row r="268" spans="1:9" x14ac:dyDescent="0.3">
      <c r="A268">
        <v>267</v>
      </c>
      <c r="B268" s="10">
        <v>45514</v>
      </c>
      <c r="C268">
        <v>2</v>
      </c>
      <c r="D268">
        <v>155</v>
      </c>
      <c r="E268">
        <v>99</v>
      </c>
      <c r="F268">
        <v>1</v>
      </c>
      <c r="G268">
        <v>15.44</v>
      </c>
      <c r="H268">
        <v>0</v>
      </c>
      <c r="I268">
        <v>15.44</v>
      </c>
    </row>
    <row r="269" spans="1:9" x14ac:dyDescent="0.3">
      <c r="A269">
        <v>268</v>
      </c>
      <c r="B269" s="10">
        <v>45111</v>
      </c>
      <c r="C269">
        <v>7</v>
      </c>
      <c r="D269">
        <v>72</v>
      </c>
      <c r="E269">
        <v>38</v>
      </c>
      <c r="F269">
        <v>1</v>
      </c>
      <c r="G269">
        <v>35.35</v>
      </c>
      <c r="H269">
        <v>0.1</v>
      </c>
      <c r="I269">
        <v>31.82</v>
      </c>
    </row>
    <row r="270" spans="1:9" x14ac:dyDescent="0.3">
      <c r="A270">
        <v>269</v>
      </c>
      <c r="B270" s="10">
        <v>45874</v>
      </c>
      <c r="C270">
        <v>1</v>
      </c>
      <c r="D270">
        <v>27</v>
      </c>
      <c r="E270">
        <v>80</v>
      </c>
      <c r="F270">
        <v>1</v>
      </c>
      <c r="G270">
        <v>33.380000000000003</v>
      </c>
      <c r="H270">
        <v>0</v>
      </c>
      <c r="I270">
        <v>33.380000000000003</v>
      </c>
    </row>
    <row r="271" spans="1:9" x14ac:dyDescent="0.3">
      <c r="A271">
        <v>270</v>
      </c>
      <c r="B271" s="10">
        <v>45848</v>
      </c>
      <c r="C271">
        <v>4</v>
      </c>
      <c r="D271">
        <v>131</v>
      </c>
      <c r="E271">
        <v>100</v>
      </c>
      <c r="F271">
        <v>3</v>
      </c>
      <c r="G271">
        <v>39.06</v>
      </c>
      <c r="H271">
        <v>0</v>
      </c>
      <c r="I271">
        <v>117.18</v>
      </c>
    </row>
    <row r="272" spans="1:9" x14ac:dyDescent="0.3">
      <c r="A272">
        <v>271</v>
      </c>
      <c r="B272" s="10">
        <v>45585</v>
      </c>
      <c r="C272">
        <v>8</v>
      </c>
      <c r="D272">
        <v>12</v>
      </c>
      <c r="E272">
        <v>75</v>
      </c>
      <c r="F272">
        <v>2</v>
      </c>
      <c r="G272">
        <v>205.69</v>
      </c>
      <c r="H272">
        <v>0.05</v>
      </c>
      <c r="I272">
        <v>390.81</v>
      </c>
    </row>
    <row r="273" spans="1:9" x14ac:dyDescent="0.3">
      <c r="A273">
        <v>272</v>
      </c>
      <c r="B273" s="10">
        <v>45953</v>
      </c>
      <c r="C273">
        <v>3</v>
      </c>
      <c r="D273">
        <v>108</v>
      </c>
      <c r="E273">
        <v>7</v>
      </c>
      <c r="F273">
        <v>1</v>
      </c>
      <c r="G273">
        <v>21.72</v>
      </c>
      <c r="H273">
        <v>0</v>
      </c>
      <c r="I273">
        <v>21.72</v>
      </c>
    </row>
    <row r="274" spans="1:9" x14ac:dyDescent="0.3">
      <c r="A274">
        <v>273</v>
      </c>
      <c r="B274" s="10">
        <v>45053</v>
      </c>
      <c r="C274">
        <v>8</v>
      </c>
      <c r="D274">
        <v>119</v>
      </c>
      <c r="E274">
        <v>22</v>
      </c>
      <c r="F274">
        <v>2</v>
      </c>
      <c r="G274">
        <v>49.91</v>
      </c>
      <c r="H274">
        <v>0</v>
      </c>
      <c r="I274">
        <v>99.82</v>
      </c>
    </row>
    <row r="275" spans="1:9" x14ac:dyDescent="0.3">
      <c r="A275">
        <v>274</v>
      </c>
      <c r="B275" s="10">
        <v>45138</v>
      </c>
      <c r="C275">
        <v>6</v>
      </c>
      <c r="D275">
        <v>76</v>
      </c>
      <c r="E275">
        <v>87</v>
      </c>
      <c r="F275">
        <v>1</v>
      </c>
      <c r="G275">
        <v>223.85</v>
      </c>
      <c r="H275">
        <v>0.15</v>
      </c>
      <c r="I275">
        <v>190.27</v>
      </c>
    </row>
    <row r="276" spans="1:9" x14ac:dyDescent="0.3">
      <c r="A276">
        <v>275</v>
      </c>
      <c r="B276" s="10">
        <v>45099</v>
      </c>
      <c r="C276">
        <v>3</v>
      </c>
      <c r="D276">
        <v>26</v>
      </c>
      <c r="E276">
        <v>81</v>
      </c>
      <c r="F276">
        <v>3</v>
      </c>
      <c r="G276">
        <v>225.3</v>
      </c>
      <c r="H276">
        <v>0.2</v>
      </c>
      <c r="I276">
        <v>540.72</v>
      </c>
    </row>
    <row r="277" spans="1:9" x14ac:dyDescent="0.3">
      <c r="A277">
        <v>276</v>
      </c>
      <c r="B277" s="10">
        <v>45007</v>
      </c>
      <c r="C277">
        <v>4</v>
      </c>
      <c r="D277">
        <v>130</v>
      </c>
      <c r="E277">
        <v>43</v>
      </c>
      <c r="F277">
        <v>1</v>
      </c>
      <c r="G277">
        <v>16.04</v>
      </c>
      <c r="H277">
        <v>0</v>
      </c>
      <c r="I277">
        <v>16.04</v>
      </c>
    </row>
    <row r="278" spans="1:9" x14ac:dyDescent="0.3">
      <c r="A278">
        <v>277</v>
      </c>
      <c r="B278" s="10">
        <v>45823</v>
      </c>
      <c r="C278">
        <v>8</v>
      </c>
      <c r="D278">
        <v>119</v>
      </c>
      <c r="E278">
        <v>31</v>
      </c>
      <c r="F278">
        <v>2</v>
      </c>
      <c r="G278">
        <v>165.45</v>
      </c>
      <c r="H278">
        <v>0.05</v>
      </c>
      <c r="I278">
        <v>314.35000000000002</v>
      </c>
    </row>
    <row r="279" spans="1:9" x14ac:dyDescent="0.3">
      <c r="A279">
        <v>278</v>
      </c>
      <c r="B279" s="10">
        <v>45252</v>
      </c>
      <c r="C279">
        <v>6</v>
      </c>
      <c r="D279">
        <v>82</v>
      </c>
      <c r="E279">
        <v>52</v>
      </c>
      <c r="F279">
        <v>1</v>
      </c>
      <c r="G279">
        <v>196.75</v>
      </c>
      <c r="H279">
        <v>0.05</v>
      </c>
      <c r="I279">
        <v>186.91</v>
      </c>
    </row>
    <row r="280" spans="1:9" x14ac:dyDescent="0.3">
      <c r="A280">
        <v>279</v>
      </c>
      <c r="B280" s="10">
        <v>45690</v>
      </c>
      <c r="C280">
        <v>5</v>
      </c>
      <c r="D280">
        <v>204</v>
      </c>
      <c r="E280">
        <v>100</v>
      </c>
      <c r="F280">
        <v>1</v>
      </c>
      <c r="G280">
        <v>39.06</v>
      </c>
      <c r="H280">
        <v>0</v>
      </c>
      <c r="I280">
        <v>39.06</v>
      </c>
    </row>
    <row r="281" spans="1:9" x14ac:dyDescent="0.3">
      <c r="A281">
        <v>280</v>
      </c>
      <c r="B281" s="10">
        <v>45720</v>
      </c>
      <c r="C281">
        <v>7</v>
      </c>
      <c r="D281">
        <v>127</v>
      </c>
      <c r="E281">
        <v>68</v>
      </c>
      <c r="F281">
        <v>1</v>
      </c>
      <c r="G281">
        <v>198.56</v>
      </c>
      <c r="H281">
        <v>0</v>
      </c>
      <c r="I281">
        <v>198.56</v>
      </c>
    </row>
    <row r="282" spans="1:9" x14ac:dyDescent="0.3">
      <c r="A282">
        <v>281</v>
      </c>
      <c r="B282" s="10">
        <v>45619</v>
      </c>
      <c r="C282">
        <v>1</v>
      </c>
      <c r="D282">
        <v>173</v>
      </c>
      <c r="E282">
        <v>8</v>
      </c>
      <c r="F282">
        <v>1</v>
      </c>
      <c r="G282">
        <v>259.11</v>
      </c>
      <c r="H282">
        <v>0.1</v>
      </c>
      <c r="I282">
        <v>233.2</v>
      </c>
    </row>
    <row r="283" spans="1:9" x14ac:dyDescent="0.3">
      <c r="A283">
        <v>282</v>
      </c>
      <c r="B283" s="10">
        <v>45612</v>
      </c>
      <c r="C283">
        <v>2</v>
      </c>
      <c r="D283">
        <v>103</v>
      </c>
      <c r="E283">
        <v>47</v>
      </c>
      <c r="F283">
        <v>1</v>
      </c>
      <c r="G283">
        <v>93.41</v>
      </c>
      <c r="H283">
        <v>0</v>
      </c>
      <c r="I283">
        <v>93.41</v>
      </c>
    </row>
    <row r="284" spans="1:9" x14ac:dyDescent="0.3">
      <c r="A284">
        <v>283</v>
      </c>
      <c r="B284" s="10">
        <v>45602</v>
      </c>
      <c r="C284">
        <v>2</v>
      </c>
      <c r="D284">
        <v>88</v>
      </c>
      <c r="E284">
        <v>67</v>
      </c>
      <c r="F284">
        <v>1</v>
      </c>
      <c r="G284">
        <v>41.9</v>
      </c>
      <c r="H284">
        <v>0.15</v>
      </c>
      <c r="I284">
        <v>35.61</v>
      </c>
    </row>
    <row r="285" spans="1:9" x14ac:dyDescent="0.3">
      <c r="A285">
        <v>284</v>
      </c>
      <c r="B285" s="10">
        <v>45718</v>
      </c>
      <c r="C285">
        <v>5</v>
      </c>
      <c r="D285">
        <v>190</v>
      </c>
      <c r="E285">
        <v>93</v>
      </c>
      <c r="F285">
        <v>1</v>
      </c>
      <c r="G285">
        <v>239.23</v>
      </c>
      <c r="H285">
        <v>0.05</v>
      </c>
      <c r="I285">
        <v>227.27</v>
      </c>
    </row>
    <row r="286" spans="1:9" x14ac:dyDescent="0.3">
      <c r="A286">
        <v>285</v>
      </c>
      <c r="B286" s="10">
        <v>45443</v>
      </c>
      <c r="C286">
        <v>3</v>
      </c>
      <c r="D286">
        <v>148</v>
      </c>
      <c r="E286">
        <v>77</v>
      </c>
      <c r="F286">
        <v>1</v>
      </c>
      <c r="G286">
        <v>226.88</v>
      </c>
      <c r="H286">
        <v>0.2</v>
      </c>
      <c r="I286">
        <v>181.5</v>
      </c>
    </row>
    <row r="287" spans="1:9" x14ac:dyDescent="0.3">
      <c r="A287">
        <v>286</v>
      </c>
      <c r="B287" s="10">
        <v>45609</v>
      </c>
      <c r="C287">
        <v>2</v>
      </c>
      <c r="D287">
        <v>35</v>
      </c>
      <c r="E287">
        <v>83</v>
      </c>
      <c r="F287">
        <v>1</v>
      </c>
      <c r="G287">
        <v>109.16</v>
      </c>
      <c r="H287">
        <v>0.1</v>
      </c>
      <c r="I287">
        <v>98.24</v>
      </c>
    </row>
    <row r="288" spans="1:9" x14ac:dyDescent="0.3">
      <c r="A288">
        <v>287</v>
      </c>
      <c r="B288" s="10">
        <v>45216</v>
      </c>
      <c r="C288">
        <v>6</v>
      </c>
      <c r="D288">
        <v>80</v>
      </c>
      <c r="E288">
        <v>7</v>
      </c>
      <c r="F288">
        <v>1</v>
      </c>
      <c r="G288">
        <v>21.72</v>
      </c>
      <c r="H288">
        <v>0</v>
      </c>
      <c r="I288">
        <v>21.72</v>
      </c>
    </row>
    <row r="289" spans="1:9" x14ac:dyDescent="0.3">
      <c r="A289">
        <v>288</v>
      </c>
      <c r="B289" s="10">
        <v>45562</v>
      </c>
      <c r="C289">
        <v>7</v>
      </c>
      <c r="D289">
        <v>217</v>
      </c>
      <c r="E289">
        <v>90</v>
      </c>
      <c r="F289">
        <v>2</v>
      </c>
      <c r="G289">
        <v>122.32</v>
      </c>
      <c r="H289">
        <v>0.2</v>
      </c>
      <c r="I289">
        <v>195.71</v>
      </c>
    </row>
    <row r="290" spans="1:9" x14ac:dyDescent="0.3">
      <c r="A290">
        <v>289</v>
      </c>
      <c r="B290" s="10">
        <v>45191</v>
      </c>
      <c r="C290">
        <v>2</v>
      </c>
      <c r="D290">
        <v>167</v>
      </c>
      <c r="E290">
        <v>10</v>
      </c>
      <c r="F290">
        <v>1</v>
      </c>
      <c r="G290">
        <v>168.82</v>
      </c>
      <c r="H290">
        <v>0.05</v>
      </c>
      <c r="I290">
        <v>160.38</v>
      </c>
    </row>
    <row r="291" spans="1:9" x14ac:dyDescent="0.3">
      <c r="A291">
        <v>290</v>
      </c>
      <c r="B291" s="10">
        <v>45561</v>
      </c>
      <c r="C291">
        <v>7</v>
      </c>
      <c r="D291">
        <v>135</v>
      </c>
      <c r="E291">
        <v>72</v>
      </c>
      <c r="F291">
        <v>1</v>
      </c>
      <c r="G291">
        <v>50.75</v>
      </c>
      <c r="H291">
        <v>0</v>
      </c>
      <c r="I291">
        <v>50.75</v>
      </c>
    </row>
    <row r="292" spans="1:9" x14ac:dyDescent="0.3">
      <c r="A292">
        <v>291</v>
      </c>
      <c r="B292" s="10">
        <v>45599</v>
      </c>
      <c r="C292">
        <v>3</v>
      </c>
      <c r="D292">
        <v>216</v>
      </c>
      <c r="E292">
        <v>24</v>
      </c>
      <c r="F292">
        <v>5</v>
      </c>
      <c r="G292">
        <v>91.73</v>
      </c>
      <c r="H292">
        <v>0.1</v>
      </c>
      <c r="I292">
        <v>412.79</v>
      </c>
    </row>
    <row r="293" spans="1:9" x14ac:dyDescent="0.3">
      <c r="A293">
        <v>292</v>
      </c>
      <c r="B293" s="10">
        <v>45118</v>
      </c>
      <c r="C293">
        <v>7</v>
      </c>
      <c r="D293">
        <v>130</v>
      </c>
      <c r="E293">
        <v>74</v>
      </c>
      <c r="F293">
        <v>1</v>
      </c>
      <c r="G293">
        <v>205.01</v>
      </c>
      <c r="H293">
        <v>0</v>
      </c>
      <c r="I293">
        <v>205.01</v>
      </c>
    </row>
    <row r="294" spans="1:9" x14ac:dyDescent="0.3">
      <c r="A294">
        <v>293</v>
      </c>
      <c r="B294" s="10">
        <v>45968</v>
      </c>
      <c r="C294">
        <v>6</v>
      </c>
      <c r="D294">
        <v>42</v>
      </c>
      <c r="E294">
        <v>26</v>
      </c>
      <c r="F294">
        <v>2</v>
      </c>
      <c r="G294">
        <v>211.87</v>
      </c>
      <c r="H294">
        <v>0</v>
      </c>
      <c r="I294">
        <v>423.74</v>
      </c>
    </row>
    <row r="295" spans="1:9" x14ac:dyDescent="0.3">
      <c r="A295">
        <v>294</v>
      </c>
      <c r="B295" s="10">
        <v>44964</v>
      </c>
      <c r="C295">
        <v>6</v>
      </c>
      <c r="D295">
        <v>101</v>
      </c>
      <c r="E295">
        <v>27</v>
      </c>
      <c r="F295">
        <v>1</v>
      </c>
      <c r="G295">
        <v>66.790000000000006</v>
      </c>
      <c r="H295">
        <v>0</v>
      </c>
      <c r="I295">
        <v>66.790000000000006</v>
      </c>
    </row>
    <row r="296" spans="1:9" x14ac:dyDescent="0.3">
      <c r="A296">
        <v>295</v>
      </c>
      <c r="B296" s="10">
        <v>45559</v>
      </c>
      <c r="C296">
        <v>3</v>
      </c>
      <c r="D296">
        <v>34</v>
      </c>
      <c r="E296">
        <v>19</v>
      </c>
      <c r="F296">
        <v>1</v>
      </c>
      <c r="G296">
        <v>138.31</v>
      </c>
      <c r="H296">
        <v>0.1</v>
      </c>
      <c r="I296">
        <v>124.48</v>
      </c>
    </row>
    <row r="297" spans="1:9" x14ac:dyDescent="0.3">
      <c r="A297">
        <v>296</v>
      </c>
      <c r="B297" s="10">
        <v>45365</v>
      </c>
      <c r="C297">
        <v>6</v>
      </c>
      <c r="D297">
        <v>8</v>
      </c>
      <c r="E297">
        <v>82</v>
      </c>
      <c r="F297">
        <v>1</v>
      </c>
      <c r="G297">
        <v>151.85</v>
      </c>
      <c r="H297">
        <v>0</v>
      </c>
      <c r="I297">
        <v>151.85</v>
      </c>
    </row>
    <row r="298" spans="1:9" x14ac:dyDescent="0.3">
      <c r="A298">
        <v>297</v>
      </c>
      <c r="B298" s="10">
        <v>45922</v>
      </c>
      <c r="C298">
        <v>4</v>
      </c>
      <c r="D298">
        <v>201</v>
      </c>
      <c r="E298">
        <v>32</v>
      </c>
      <c r="F298">
        <v>1</v>
      </c>
      <c r="G298">
        <v>47.81</v>
      </c>
      <c r="H298">
        <v>0.05</v>
      </c>
      <c r="I298">
        <v>45.42</v>
      </c>
    </row>
    <row r="299" spans="1:9" x14ac:dyDescent="0.3">
      <c r="A299">
        <v>298</v>
      </c>
      <c r="B299" s="10">
        <v>45390</v>
      </c>
      <c r="C299">
        <v>3</v>
      </c>
      <c r="D299">
        <v>114</v>
      </c>
      <c r="E299">
        <v>92</v>
      </c>
      <c r="F299">
        <v>1</v>
      </c>
      <c r="G299">
        <v>223.32</v>
      </c>
      <c r="H299">
        <v>0</v>
      </c>
      <c r="I299">
        <v>223.32</v>
      </c>
    </row>
    <row r="300" spans="1:9" x14ac:dyDescent="0.3">
      <c r="A300">
        <v>299</v>
      </c>
      <c r="B300" s="10">
        <v>45244</v>
      </c>
      <c r="C300">
        <v>2</v>
      </c>
      <c r="D300">
        <v>54</v>
      </c>
      <c r="E300">
        <v>81</v>
      </c>
      <c r="F300">
        <v>1</v>
      </c>
      <c r="G300">
        <v>225.3</v>
      </c>
      <c r="H300">
        <v>0</v>
      </c>
      <c r="I300">
        <v>225.3</v>
      </c>
    </row>
    <row r="301" spans="1:9" x14ac:dyDescent="0.3">
      <c r="A301">
        <v>300</v>
      </c>
      <c r="B301" s="10">
        <v>45532</v>
      </c>
      <c r="C301">
        <v>2</v>
      </c>
      <c r="D301">
        <v>72</v>
      </c>
      <c r="E301">
        <v>22</v>
      </c>
      <c r="F301">
        <v>2</v>
      </c>
      <c r="G301">
        <v>49.91</v>
      </c>
      <c r="H301">
        <v>0</v>
      </c>
      <c r="I301">
        <v>99.82</v>
      </c>
    </row>
    <row r="302" spans="1:9" x14ac:dyDescent="0.3">
      <c r="A302">
        <v>301</v>
      </c>
      <c r="B302" s="10">
        <v>45966</v>
      </c>
      <c r="C302">
        <v>1</v>
      </c>
      <c r="D302">
        <v>136</v>
      </c>
      <c r="E302">
        <v>19</v>
      </c>
      <c r="F302">
        <v>1</v>
      </c>
      <c r="G302">
        <v>138.31</v>
      </c>
      <c r="H302">
        <v>0.05</v>
      </c>
      <c r="I302">
        <v>131.38999999999999</v>
      </c>
    </row>
    <row r="303" spans="1:9" x14ac:dyDescent="0.3">
      <c r="A303">
        <v>302</v>
      </c>
      <c r="B303" s="10">
        <v>45616</v>
      </c>
      <c r="C303">
        <v>3</v>
      </c>
      <c r="D303">
        <v>11</v>
      </c>
      <c r="E303">
        <v>21</v>
      </c>
      <c r="F303">
        <v>1</v>
      </c>
      <c r="G303">
        <v>187.71</v>
      </c>
      <c r="H303">
        <v>0</v>
      </c>
      <c r="I303">
        <v>187.71</v>
      </c>
    </row>
    <row r="304" spans="1:9" x14ac:dyDescent="0.3">
      <c r="A304">
        <v>303</v>
      </c>
      <c r="B304" s="10">
        <v>45698</v>
      </c>
      <c r="C304">
        <v>3</v>
      </c>
      <c r="D304">
        <v>136</v>
      </c>
      <c r="E304">
        <v>4</v>
      </c>
      <c r="F304">
        <v>1</v>
      </c>
      <c r="G304">
        <v>168</v>
      </c>
      <c r="H304">
        <v>0</v>
      </c>
      <c r="I304">
        <v>168</v>
      </c>
    </row>
    <row r="305" spans="1:9" x14ac:dyDescent="0.3">
      <c r="A305">
        <v>304</v>
      </c>
      <c r="B305" s="10">
        <v>45259</v>
      </c>
      <c r="C305">
        <v>3</v>
      </c>
      <c r="D305">
        <v>180</v>
      </c>
      <c r="E305">
        <v>19</v>
      </c>
      <c r="F305">
        <v>1</v>
      </c>
      <c r="G305">
        <v>138.31</v>
      </c>
      <c r="H305">
        <v>0.15</v>
      </c>
      <c r="I305">
        <v>117.56</v>
      </c>
    </row>
    <row r="306" spans="1:9" x14ac:dyDescent="0.3">
      <c r="A306">
        <v>305</v>
      </c>
      <c r="B306" s="10">
        <v>45266</v>
      </c>
      <c r="C306">
        <v>8</v>
      </c>
      <c r="D306">
        <v>141</v>
      </c>
      <c r="E306">
        <v>13</v>
      </c>
      <c r="F306">
        <v>2</v>
      </c>
      <c r="G306">
        <v>262.70999999999998</v>
      </c>
      <c r="H306">
        <v>0.05</v>
      </c>
      <c r="I306">
        <v>499.15</v>
      </c>
    </row>
    <row r="307" spans="1:9" x14ac:dyDescent="0.3">
      <c r="A307">
        <v>306</v>
      </c>
      <c r="B307" s="10">
        <v>45016</v>
      </c>
      <c r="C307">
        <v>7</v>
      </c>
      <c r="D307">
        <v>109</v>
      </c>
      <c r="E307">
        <v>97</v>
      </c>
      <c r="F307">
        <v>1</v>
      </c>
      <c r="G307">
        <v>158.26</v>
      </c>
      <c r="H307">
        <v>0</v>
      </c>
      <c r="I307">
        <v>158.26</v>
      </c>
    </row>
    <row r="308" spans="1:9" x14ac:dyDescent="0.3">
      <c r="A308">
        <v>307</v>
      </c>
      <c r="B308" s="10">
        <v>45673</v>
      </c>
      <c r="C308">
        <v>4</v>
      </c>
      <c r="D308">
        <v>145</v>
      </c>
      <c r="E308">
        <v>20</v>
      </c>
      <c r="F308">
        <v>1</v>
      </c>
      <c r="G308">
        <v>85.89</v>
      </c>
      <c r="H308">
        <v>0.1</v>
      </c>
      <c r="I308">
        <v>77.3</v>
      </c>
    </row>
    <row r="309" spans="1:9" x14ac:dyDescent="0.3">
      <c r="A309">
        <v>308</v>
      </c>
      <c r="B309" s="10">
        <v>45836</v>
      </c>
      <c r="C309">
        <v>5</v>
      </c>
      <c r="D309">
        <v>114</v>
      </c>
      <c r="E309">
        <v>17</v>
      </c>
      <c r="F309">
        <v>2</v>
      </c>
      <c r="G309">
        <v>97.14</v>
      </c>
      <c r="H309">
        <v>0</v>
      </c>
      <c r="I309">
        <v>194.28</v>
      </c>
    </row>
    <row r="310" spans="1:9" x14ac:dyDescent="0.3">
      <c r="A310">
        <v>309</v>
      </c>
      <c r="B310" s="10">
        <v>45846</v>
      </c>
      <c r="C310">
        <v>4</v>
      </c>
      <c r="D310">
        <v>50</v>
      </c>
      <c r="E310">
        <v>62</v>
      </c>
      <c r="F310">
        <v>1</v>
      </c>
      <c r="G310">
        <v>82.81</v>
      </c>
      <c r="H310">
        <v>0.2</v>
      </c>
      <c r="I310">
        <v>66.25</v>
      </c>
    </row>
    <row r="311" spans="1:9" x14ac:dyDescent="0.3">
      <c r="A311">
        <v>310</v>
      </c>
      <c r="B311" s="10">
        <v>45416</v>
      </c>
      <c r="C311">
        <v>5</v>
      </c>
      <c r="D311">
        <v>215</v>
      </c>
      <c r="E311">
        <v>40</v>
      </c>
      <c r="F311">
        <v>2</v>
      </c>
      <c r="G311">
        <v>144.41999999999999</v>
      </c>
      <c r="H311">
        <v>0</v>
      </c>
      <c r="I311">
        <v>288.83999999999997</v>
      </c>
    </row>
    <row r="312" spans="1:9" x14ac:dyDescent="0.3">
      <c r="A312">
        <v>311</v>
      </c>
      <c r="B312" s="10">
        <v>45887</v>
      </c>
      <c r="C312">
        <v>4</v>
      </c>
      <c r="D312">
        <v>19</v>
      </c>
      <c r="E312">
        <v>32</v>
      </c>
      <c r="F312">
        <v>1</v>
      </c>
      <c r="G312">
        <v>47.81</v>
      </c>
      <c r="H312">
        <v>0.1</v>
      </c>
      <c r="I312">
        <v>43.03</v>
      </c>
    </row>
    <row r="313" spans="1:9" x14ac:dyDescent="0.3">
      <c r="A313">
        <v>312</v>
      </c>
      <c r="B313" s="10">
        <v>45680</v>
      </c>
      <c r="C313">
        <v>8</v>
      </c>
      <c r="D313">
        <v>48</v>
      </c>
      <c r="E313">
        <v>72</v>
      </c>
      <c r="F313">
        <v>1</v>
      </c>
      <c r="G313">
        <v>50.75</v>
      </c>
      <c r="H313">
        <v>0</v>
      </c>
      <c r="I313">
        <v>50.75</v>
      </c>
    </row>
    <row r="314" spans="1:9" x14ac:dyDescent="0.3">
      <c r="A314">
        <v>313</v>
      </c>
      <c r="B314" s="10">
        <v>45872</v>
      </c>
      <c r="C314">
        <v>5</v>
      </c>
      <c r="D314">
        <v>137</v>
      </c>
      <c r="E314">
        <v>97</v>
      </c>
      <c r="F314">
        <v>1</v>
      </c>
      <c r="G314">
        <v>158.26</v>
      </c>
      <c r="H314">
        <v>0</v>
      </c>
      <c r="I314">
        <v>158.26</v>
      </c>
    </row>
    <row r="315" spans="1:9" x14ac:dyDescent="0.3">
      <c r="A315">
        <v>314</v>
      </c>
      <c r="B315" s="10">
        <v>45709</v>
      </c>
      <c r="C315">
        <v>7</v>
      </c>
      <c r="D315">
        <v>47</v>
      </c>
      <c r="E315">
        <v>36</v>
      </c>
      <c r="F315">
        <v>1</v>
      </c>
      <c r="G315">
        <v>211.43</v>
      </c>
      <c r="H315">
        <v>0</v>
      </c>
      <c r="I315">
        <v>211.43</v>
      </c>
    </row>
    <row r="316" spans="1:9" x14ac:dyDescent="0.3">
      <c r="A316">
        <v>315</v>
      </c>
      <c r="B316" s="10">
        <v>45258</v>
      </c>
      <c r="C316">
        <v>4</v>
      </c>
      <c r="D316">
        <v>45</v>
      </c>
      <c r="E316">
        <v>9</v>
      </c>
      <c r="F316">
        <v>4</v>
      </c>
      <c r="G316">
        <v>152.78</v>
      </c>
      <c r="H316">
        <v>0.15</v>
      </c>
      <c r="I316">
        <v>519.45000000000005</v>
      </c>
    </row>
    <row r="317" spans="1:9" x14ac:dyDescent="0.3">
      <c r="A317">
        <v>316</v>
      </c>
      <c r="B317" s="10">
        <v>45210</v>
      </c>
      <c r="C317">
        <v>5</v>
      </c>
      <c r="D317">
        <v>146</v>
      </c>
      <c r="E317">
        <v>100</v>
      </c>
      <c r="F317">
        <v>1</v>
      </c>
      <c r="G317">
        <v>39.06</v>
      </c>
      <c r="H317">
        <v>0.1</v>
      </c>
      <c r="I317">
        <v>35.15</v>
      </c>
    </row>
    <row r="318" spans="1:9" x14ac:dyDescent="0.3">
      <c r="A318">
        <v>317</v>
      </c>
      <c r="B318" s="10">
        <v>45033</v>
      </c>
      <c r="C318">
        <v>8</v>
      </c>
      <c r="D318">
        <v>163</v>
      </c>
      <c r="E318">
        <v>71</v>
      </c>
      <c r="F318">
        <v>1</v>
      </c>
      <c r="G318">
        <v>225.61</v>
      </c>
      <c r="H318">
        <v>0</v>
      </c>
      <c r="I318">
        <v>225.61</v>
      </c>
    </row>
    <row r="319" spans="1:9" x14ac:dyDescent="0.3">
      <c r="A319">
        <v>318</v>
      </c>
      <c r="B319" s="10">
        <v>45687</v>
      </c>
      <c r="C319">
        <v>2</v>
      </c>
      <c r="D319">
        <v>180</v>
      </c>
      <c r="E319">
        <v>80</v>
      </c>
      <c r="F319">
        <v>1</v>
      </c>
      <c r="G319">
        <v>33.380000000000003</v>
      </c>
      <c r="H319">
        <v>0</v>
      </c>
      <c r="I319">
        <v>33.380000000000003</v>
      </c>
    </row>
    <row r="320" spans="1:9" x14ac:dyDescent="0.3">
      <c r="A320">
        <v>319</v>
      </c>
      <c r="B320" s="10">
        <v>45182</v>
      </c>
      <c r="C320">
        <v>5</v>
      </c>
      <c r="D320">
        <v>198</v>
      </c>
      <c r="E320">
        <v>97</v>
      </c>
      <c r="F320">
        <v>1</v>
      </c>
      <c r="G320">
        <v>158.26</v>
      </c>
      <c r="H320">
        <v>0</v>
      </c>
      <c r="I320">
        <v>158.26</v>
      </c>
    </row>
    <row r="321" spans="1:9" x14ac:dyDescent="0.3">
      <c r="A321">
        <v>320</v>
      </c>
      <c r="B321" s="10">
        <v>45098</v>
      </c>
      <c r="C321">
        <v>3</v>
      </c>
      <c r="D321">
        <v>6</v>
      </c>
      <c r="E321">
        <v>48</v>
      </c>
      <c r="F321">
        <v>1</v>
      </c>
      <c r="G321">
        <v>146.85</v>
      </c>
      <c r="H321">
        <v>0</v>
      </c>
      <c r="I321">
        <v>146.85</v>
      </c>
    </row>
    <row r="322" spans="1:9" x14ac:dyDescent="0.3">
      <c r="A322">
        <v>321</v>
      </c>
      <c r="B322" s="10">
        <v>45485</v>
      </c>
      <c r="C322">
        <v>8</v>
      </c>
      <c r="D322">
        <v>217</v>
      </c>
      <c r="E322">
        <v>69</v>
      </c>
      <c r="F322">
        <v>1</v>
      </c>
      <c r="G322">
        <v>22.86</v>
      </c>
      <c r="H322">
        <v>0</v>
      </c>
      <c r="I322">
        <v>22.86</v>
      </c>
    </row>
    <row r="323" spans="1:9" x14ac:dyDescent="0.3">
      <c r="A323">
        <v>322</v>
      </c>
      <c r="B323" s="10">
        <v>45228</v>
      </c>
      <c r="C323">
        <v>7</v>
      </c>
      <c r="D323">
        <v>8</v>
      </c>
      <c r="E323">
        <v>73</v>
      </c>
      <c r="F323">
        <v>1</v>
      </c>
      <c r="G323">
        <v>8.39</v>
      </c>
      <c r="H323">
        <v>0</v>
      </c>
      <c r="I323">
        <v>8.39</v>
      </c>
    </row>
    <row r="324" spans="1:9" x14ac:dyDescent="0.3">
      <c r="A324">
        <v>323</v>
      </c>
      <c r="B324" s="10">
        <v>45114</v>
      </c>
      <c r="C324">
        <v>4</v>
      </c>
      <c r="D324">
        <v>84</v>
      </c>
      <c r="E324">
        <v>16</v>
      </c>
      <c r="F324">
        <v>1</v>
      </c>
      <c r="G324">
        <v>62.77</v>
      </c>
      <c r="H324">
        <v>0.05</v>
      </c>
      <c r="I324">
        <v>59.63</v>
      </c>
    </row>
    <row r="325" spans="1:9" x14ac:dyDescent="0.3">
      <c r="A325">
        <v>324</v>
      </c>
      <c r="B325" s="10">
        <v>45850</v>
      </c>
      <c r="C325">
        <v>6</v>
      </c>
      <c r="D325">
        <v>59</v>
      </c>
      <c r="E325">
        <v>66</v>
      </c>
      <c r="F325">
        <v>1</v>
      </c>
      <c r="G325">
        <v>169.57</v>
      </c>
      <c r="H325">
        <v>0</v>
      </c>
      <c r="I325">
        <v>169.57</v>
      </c>
    </row>
    <row r="326" spans="1:9" x14ac:dyDescent="0.3">
      <c r="A326">
        <v>325</v>
      </c>
      <c r="B326" s="10">
        <v>44981</v>
      </c>
      <c r="C326">
        <v>7</v>
      </c>
      <c r="D326">
        <v>28</v>
      </c>
      <c r="E326">
        <v>44</v>
      </c>
      <c r="F326">
        <v>1</v>
      </c>
      <c r="G326">
        <v>235.19</v>
      </c>
      <c r="H326">
        <v>0</v>
      </c>
      <c r="I326">
        <v>235.19</v>
      </c>
    </row>
    <row r="327" spans="1:9" x14ac:dyDescent="0.3">
      <c r="A327">
        <v>326</v>
      </c>
      <c r="B327" s="10">
        <v>45036</v>
      </c>
      <c r="C327">
        <v>7</v>
      </c>
      <c r="D327">
        <v>155</v>
      </c>
      <c r="E327">
        <v>91</v>
      </c>
      <c r="F327">
        <v>2</v>
      </c>
      <c r="G327">
        <v>33.700000000000003</v>
      </c>
      <c r="H327">
        <v>0</v>
      </c>
      <c r="I327">
        <v>67.400000000000006</v>
      </c>
    </row>
    <row r="328" spans="1:9" x14ac:dyDescent="0.3">
      <c r="A328">
        <v>327</v>
      </c>
      <c r="B328" s="10">
        <v>45955</v>
      </c>
      <c r="C328">
        <v>6</v>
      </c>
      <c r="D328">
        <v>2</v>
      </c>
      <c r="E328">
        <v>42</v>
      </c>
      <c r="F328">
        <v>2</v>
      </c>
      <c r="G328">
        <v>127.97</v>
      </c>
      <c r="H328">
        <v>0.05</v>
      </c>
      <c r="I328">
        <v>243.14</v>
      </c>
    </row>
    <row r="329" spans="1:9" x14ac:dyDescent="0.3">
      <c r="A329">
        <v>328</v>
      </c>
      <c r="B329" s="10">
        <v>45409</v>
      </c>
      <c r="C329">
        <v>7</v>
      </c>
      <c r="D329">
        <v>131</v>
      </c>
      <c r="E329">
        <v>35</v>
      </c>
      <c r="F329">
        <v>1</v>
      </c>
      <c r="G329">
        <v>303.48</v>
      </c>
      <c r="H329">
        <v>0</v>
      </c>
      <c r="I329">
        <v>303.48</v>
      </c>
    </row>
    <row r="330" spans="1:9" x14ac:dyDescent="0.3">
      <c r="A330">
        <v>329</v>
      </c>
      <c r="B330" s="10">
        <v>45094</v>
      </c>
      <c r="C330">
        <v>6</v>
      </c>
      <c r="D330">
        <v>16</v>
      </c>
      <c r="E330">
        <v>92</v>
      </c>
      <c r="F330">
        <v>2</v>
      </c>
      <c r="G330">
        <v>223.32</v>
      </c>
      <c r="H330">
        <v>0.05</v>
      </c>
      <c r="I330">
        <v>424.31</v>
      </c>
    </row>
    <row r="331" spans="1:9" x14ac:dyDescent="0.3">
      <c r="A331">
        <v>330</v>
      </c>
      <c r="B331" s="10">
        <v>45386</v>
      </c>
      <c r="C331">
        <v>1</v>
      </c>
      <c r="D331">
        <v>197</v>
      </c>
      <c r="E331">
        <v>65</v>
      </c>
      <c r="F331">
        <v>1</v>
      </c>
      <c r="G331">
        <v>71.14</v>
      </c>
      <c r="H331">
        <v>0</v>
      </c>
      <c r="I331">
        <v>71.14</v>
      </c>
    </row>
    <row r="332" spans="1:9" x14ac:dyDescent="0.3">
      <c r="A332">
        <v>331</v>
      </c>
      <c r="B332" s="10">
        <v>45579</v>
      </c>
      <c r="C332">
        <v>2</v>
      </c>
      <c r="D332">
        <v>184</v>
      </c>
      <c r="E332">
        <v>86</v>
      </c>
      <c r="F332">
        <v>1</v>
      </c>
      <c r="G332">
        <v>99.19</v>
      </c>
      <c r="H332">
        <v>0</v>
      </c>
      <c r="I332">
        <v>99.19</v>
      </c>
    </row>
    <row r="333" spans="1:9" x14ac:dyDescent="0.3">
      <c r="A333">
        <v>332</v>
      </c>
      <c r="B333" s="10">
        <v>45613</v>
      </c>
      <c r="C333">
        <v>3</v>
      </c>
      <c r="D333">
        <v>146</v>
      </c>
      <c r="E333">
        <v>21</v>
      </c>
      <c r="F333">
        <v>1</v>
      </c>
      <c r="G333">
        <v>187.71</v>
      </c>
      <c r="H333">
        <v>0</v>
      </c>
      <c r="I333">
        <v>187.71</v>
      </c>
    </row>
    <row r="334" spans="1:9" x14ac:dyDescent="0.3">
      <c r="A334">
        <v>333</v>
      </c>
      <c r="B334" s="10">
        <v>45208</v>
      </c>
      <c r="C334">
        <v>1</v>
      </c>
      <c r="D334">
        <v>140</v>
      </c>
      <c r="E334">
        <v>21</v>
      </c>
      <c r="F334">
        <v>1</v>
      </c>
      <c r="G334">
        <v>187.71</v>
      </c>
      <c r="H334">
        <v>0</v>
      </c>
      <c r="I334">
        <v>187.71</v>
      </c>
    </row>
    <row r="335" spans="1:9" x14ac:dyDescent="0.3">
      <c r="A335">
        <v>334</v>
      </c>
      <c r="B335" s="10">
        <v>45514</v>
      </c>
      <c r="C335">
        <v>8</v>
      </c>
      <c r="D335">
        <v>105</v>
      </c>
      <c r="E335">
        <v>83</v>
      </c>
      <c r="F335">
        <v>1</v>
      </c>
      <c r="G335">
        <v>109.16</v>
      </c>
      <c r="H335">
        <v>0.05</v>
      </c>
      <c r="I335">
        <v>103.7</v>
      </c>
    </row>
    <row r="336" spans="1:9" x14ac:dyDescent="0.3">
      <c r="A336">
        <v>335</v>
      </c>
      <c r="B336" s="10">
        <v>45211</v>
      </c>
      <c r="C336">
        <v>8</v>
      </c>
      <c r="D336">
        <v>119</v>
      </c>
      <c r="E336">
        <v>62</v>
      </c>
      <c r="F336">
        <v>5</v>
      </c>
      <c r="G336">
        <v>82.81</v>
      </c>
      <c r="H336">
        <v>0</v>
      </c>
      <c r="I336">
        <v>414.05</v>
      </c>
    </row>
    <row r="337" spans="1:9" x14ac:dyDescent="0.3">
      <c r="A337">
        <v>336</v>
      </c>
      <c r="B337" s="10">
        <v>45845</v>
      </c>
      <c r="C337">
        <v>1</v>
      </c>
      <c r="D337">
        <v>148</v>
      </c>
      <c r="E337">
        <v>29</v>
      </c>
      <c r="F337">
        <v>1</v>
      </c>
      <c r="G337">
        <v>138.6</v>
      </c>
      <c r="H337">
        <v>0</v>
      </c>
      <c r="I337">
        <v>138.6</v>
      </c>
    </row>
    <row r="338" spans="1:9" x14ac:dyDescent="0.3">
      <c r="A338">
        <v>337</v>
      </c>
      <c r="B338" s="10">
        <v>45089</v>
      </c>
      <c r="C338">
        <v>1</v>
      </c>
      <c r="D338">
        <v>178</v>
      </c>
      <c r="E338">
        <v>74</v>
      </c>
      <c r="F338">
        <v>1</v>
      </c>
      <c r="G338">
        <v>205.01</v>
      </c>
      <c r="H338">
        <v>0</v>
      </c>
      <c r="I338">
        <v>205.01</v>
      </c>
    </row>
    <row r="339" spans="1:9" x14ac:dyDescent="0.3">
      <c r="A339">
        <v>338</v>
      </c>
      <c r="B339" s="10">
        <v>45451</v>
      </c>
      <c r="C339">
        <v>4</v>
      </c>
      <c r="D339">
        <v>56</v>
      </c>
      <c r="E339">
        <v>89</v>
      </c>
      <c r="F339">
        <v>2</v>
      </c>
      <c r="G339">
        <v>247.43</v>
      </c>
      <c r="H339">
        <v>0.15</v>
      </c>
      <c r="I339">
        <v>420.63</v>
      </c>
    </row>
    <row r="340" spans="1:9" x14ac:dyDescent="0.3">
      <c r="A340">
        <v>339</v>
      </c>
      <c r="B340" s="10">
        <v>45233</v>
      </c>
      <c r="C340">
        <v>7</v>
      </c>
      <c r="D340">
        <v>79</v>
      </c>
      <c r="E340">
        <v>52</v>
      </c>
      <c r="F340">
        <v>1</v>
      </c>
      <c r="G340">
        <v>196.75</v>
      </c>
      <c r="H340">
        <v>0.05</v>
      </c>
      <c r="I340">
        <v>186.91</v>
      </c>
    </row>
    <row r="341" spans="1:9" x14ac:dyDescent="0.3">
      <c r="A341">
        <v>340</v>
      </c>
      <c r="B341" s="10">
        <v>45154</v>
      </c>
      <c r="C341">
        <v>5</v>
      </c>
      <c r="D341">
        <v>146</v>
      </c>
      <c r="E341">
        <v>46</v>
      </c>
      <c r="F341">
        <v>1</v>
      </c>
      <c r="G341">
        <v>157</v>
      </c>
      <c r="H341">
        <v>0</v>
      </c>
      <c r="I341">
        <v>157</v>
      </c>
    </row>
    <row r="342" spans="1:9" x14ac:dyDescent="0.3">
      <c r="A342">
        <v>341</v>
      </c>
      <c r="B342" s="10">
        <v>45413</v>
      </c>
      <c r="C342">
        <v>5</v>
      </c>
      <c r="D342">
        <v>62</v>
      </c>
      <c r="E342">
        <v>31</v>
      </c>
      <c r="F342">
        <v>1</v>
      </c>
      <c r="G342">
        <v>165.45</v>
      </c>
      <c r="H342">
        <v>0</v>
      </c>
      <c r="I342">
        <v>165.45</v>
      </c>
    </row>
    <row r="343" spans="1:9" x14ac:dyDescent="0.3">
      <c r="A343">
        <v>342</v>
      </c>
      <c r="B343" s="10">
        <v>45176</v>
      </c>
      <c r="C343">
        <v>1</v>
      </c>
      <c r="D343">
        <v>153</v>
      </c>
      <c r="E343">
        <v>30</v>
      </c>
      <c r="F343">
        <v>1</v>
      </c>
      <c r="G343">
        <v>19.399999999999999</v>
      </c>
      <c r="H343">
        <v>0</v>
      </c>
      <c r="I343">
        <v>19.399999999999999</v>
      </c>
    </row>
    <row r="344" spans="1:9" x14ac:dyDescent="0.3">
      <c r="A344">
        <v>343</v>
      </c>
      <c r="B344" s="10">
        <v>45415</v>
      </c>
      <c r="C344">
        <v>7</v>
      </c>
      <c r="D344">
        <v>89</v>
      </c>
      <c r="E344">
        <v>77</v>
      </c>
      <c r="F344">
        <v>1</v>
      </c>
      <c r="G344">
        <v>226.88</v>
      </c>
      <c r="H344">
        <v>0.05</v>
      </c>
      <c r="I344">
        <v>215.54</v>
      </c>
    </row>
    <row r="345" spans="1:9" x14ac:dyDescent="0.3">
      <c r="A345">
        <v>344</v>
      </c>
      <c r="B345" s="10">
        <v>45863</v>
      </c>
      <c r="C345">
        <v>2</v>
      </c>
      <c r="D345">
        <v>111</v>
      </c>
      <c r="E345">
        <v>79</v>
      </c>
      <c r="F345">
        <v>1</v>
      </c>
      <c r="G345">
        <v>117.59</v>
      </c>
      <c r="H345">
        <v>0</v>
      </c>
      <c r="I345">
        <v>117.59</v>
      </c>
    </row>
    <row r="346" spans="1:9" x14ac:dyDescent="0.3">
      <c r="A346">
        <v>345</v>
      </c>
      <c r="B346" s="10">
        <v>45154</v>
      </c>
      <c r="C346">
        <v>8</v>
      </c>
      <c r="D346">
        <v>191</v>
      </c>
      <c r="E346">
        <v>75</v>
      </c>
      <c r="F346">
        <v>1</v>
      </c>
      <c r="G346">
        <v>205.69</v>
      </c>
      <c r="H346">
        <v>0</v>
      </c>
      <c r="I346">
        <v>205.69</v>
      </c>
    </row>
    <row r="347" spans="1:9" x14ac:dyDescent="0.3">
      <c r="A347">
        <v>346</v>
      </c>
      <c r="B347" s="10">
        <v>44960</v>
      </c>
      <c r="C347">
        <v>4</v>
      </c>
      <c r="D347">
        <v>82</v>
      </c>
      <c r="E347">
        <v>48</v>
      </c>
      <c r="F347">
        <v>2</v>
      </c>
      <c r="G347">
        <v>146.85</v>
      </c>
      <c r="H347">
        <v>0</v>
      </c>
      <c r="I347">
        <v>293.7</v>
      </c>
    </row>
    <row r="348" spans="1:9" x14ac:dyDescent="0.3">
      <c r="A348">
        <v>347</v>
      </c>
      <c r="B348" s="10">
        <v>45221</v>
      </c>
      <c r="C348">
        <v>5</v>
      </c>
      <c r="D348">
        <v>169</v>
      </c>
      <c r="E348">
        <v>87</v>
      </c>
      <c r="F348">
        <v>1</v>
      </c>
      <c r="G348">
        <v>223.85</v>
      </c>
      <c r="H348">
        <v>0.15</v>
      </c>
      <c r="I348">
        <v>190.27</v>
      </c>
    </row>
    <row r="349" spans="1:9" x14ac:dyDescent="0.3">
      <c r="A349">
        <v>348</v>
      </c>
      <c r="B349" s="10">
        <v>45806</v>
      </c>
      <c r="C349">
        <v>1</v>
      </c>
      <c r="D349">
        <v>25</v>
      </c>
      <c r="E349">
        <v>3</v>
      </c>
      <c r="F349">
        <v>1</v>
      </c>
      <c r="G349">
        <v>190.58</v>
      </c>
      <c r="H349">
        <v>0</v>
      </c>
      <c r="I349">
        <v>190.58</v>
      </c>
    </row>
    <row r="350" spans="1:9" x14ac:dyDescent="0.3">
      <c r="A350">
        <v>349</v>
      </c>
      <c r="B350" s="10">
        <v>45649</v>
      </c>
      <c r="C350">
        <v>4</v>
      </c>
      <c r="D350">
        <v>178</v>
      </c>
      <c r="E350">
        <v>21</v>
      </c>
      <c r="F350">
        <v>1</v>
      </c>
      <c r="G350">
        <v>187.71</v>
      </c>
      <c r="H350">
        <v>0</v>
      </c>
      <c r="I350">
        <v>187.71</v>
      </c>
    </row>
    <row r="351" spans="1:9" x14ac:dyDescent="0.3">
      <c r="A351">
        <v>350</v>
      </c>
      <c r="B351" s="10">
        <v>45780</v>
      </c>
      <c r="C351">
        <v>3</v>
      </c>
      <c r="D351">
        <v>191</v>
      </c>
      <c r="E351">
        <v>85</v>
      </c>
      <c r="F351">
        <v>1</v>
      </c>
      <c r="G351">
        <v>83.36</v>
      </c>
      <c r="H351">
        <v>0.1</v>
      </c>
      <c r="I351">
        <v>75.02</v>
      </c>
    </row>
    <row r="352" spans="1:9" x14ac:dyDescent="0.3">
      <c r="A352">
        <v>351</v>
      </c>
      <c r="B352" s="10">
        <v>45102</v>
      </c>
      <c r="C352">
        <v>6</v>
      </c>
      <c r="D352">
        <v>59</v>
      </c>
      <c r="E352">
        <v>33</v>
      </c>
      <c r="F352">
        <v>1</v>
      </c>
      <c r="G352">
        <v>21.23</v>
      </c>
      <c r="H352">
        <v>0.05</v>
      </c>
      <c r="I352">
        <v>20.170000000000002</v>
      </c>
    </row>
    <row r="353" spans="1:9" x14ac:dyDescent="0.3">
      <c r="A353">
        <v>352</v>
      </c>
      <c r="B353" s="10">
        <v>45065</v>
      </c>
      <c r="C353">
        <v>1</v>
      </c>
      <c r="D353">
        <v>165</v>
      </c>
      <c r="E353">
        <v>50</v>
      </c>
      <c r="F353">
        <v>1</v>
      </c>
      <c r="G353">
        <v>52.54</v>
      </c>
      <c r="H353">
        <v>0</v>
      </c>
      <c r="I353">
        <v>52.54</v>
      </c>
    </row>
    <row r="354" spans="1:9" x14ac:dyDescent="0.3">
      <c r="A354">
        <v>353</v>
      </c>
      <c r="B354" s="10">
        <v>45726</v>
      </c>
      <c r="C354">
        <v>8</v>
      </c>
      <c r="D354">
        <v>137</v>
      </c>
      <c r="E354">
        <v>39</v>
      </c>
      <c r="F354">
        <v>1</v>
      </c>
      <c r="G354">
        <v>181.34</v>
      </c>
      <c r="H354">
        <v>0</v>
      </c>
      <c r="I354">
        <v>181.34</v>
      </c>
    </row>
    <row r="355" spans="1:9" x14ac:dyDescent="0.3">
      <c r="A355">
        <v>354</v>
      </c>
      <c r="B355" s="10">
        <v>45016</v>
      </c>
      <c r="C355">
        <v>7</v>
      </c>
      <c r="D355">
        <v>117</v>
      </c>
      <c r="E355">
        <v>51</v>
      </c>
      <c r="F355">
        <v>1</v>
      </c>
      <c r="G355">
        <v>302.75</v>
      </c>
      <c r="H355">
        <v>0</v>
      </c>
      <c r="I355">
        <v>302.75</v>
      </c>
    </row>
    <row r="356" spans="1:9" x14ac:dyDescent="0.3">
      <c r="A356">
        <v>355</v>
      </c>
      <c r="B356" s="10">
        <v>45691</v>
      </c>
      <c r="C356">
        <v>5</v>
      </c>
      <c r="D356">
        <v>131</v>
      </c>
      <c r="E356">
        <v>25</v>
      </c>
      <c r="F356">
        <v>1</v>
      </c>
      <c r="G356">
        <v>117.41</v>
      </c>
      <c r="H356">
        <v>0.1</v>
      </c>
      <c r="I356">
        <v>105.67</v>
      </c>
    </row>
    <row r="357" spans="1:9" x14ac:dyDescent="0.3">
      <c r="A357">
        <v>356</v>
      </c>
      <c r="B357" s="10">
        <v>44960</v>
      </c>
      <c r="C357">
        <v>6</v>
      </c>
      <c r="D357">
        <v>57</v>
      </c>
      <c r="E357">
        <v>6</v>
      </c>
      <c r="F357">
        <v>1</v>
      </c>
      <c r="G357">
        <v>44.63</v>
      </c>
      <c r="H357">
        <v>0.1</v>
      </c>
      <c r="I357">
        <v>40.17</v>
      </c>
    </row>
    <row r="358" spans="1:9" x14ac:dyDescent="0.3">
      <c r="A358">
        <v>357</v>
      </c>
      <c r="B358" s="10">
        <v>45065</v>
      </c>
      <c r="C358">
        <v>6</v>
      </c>
      <c r="D358">
        <v>161</v>
      </c>
      <c r="E358">
        <v>35</v>
      </c>
      <c r="F358">
        <v>2</v>
      </c>
      <c r="G358">
        <v>303.48</v>
      </c>
      <c r="H358">
        <v>0.05</v>
      </c>
      <c r="I358">
        <v>576.61</v>
      </c>
    </row>
    <row r="359" spans="1:9" x14ac:dyDescent="0.3">
      <c r="A359">
        <v>358</v>
      </c>
      <c r="B359" s="10">
        <v>45420</v>
      </c>
      <c r="C359">
        <v>2</v>
      </c>
      <c r="D359">
        <v>192</v>
      </c>
      <c r="E359">
        <v>58</v>
      </c>
      <c r="F359">
        <v>2</v>
      </c>
      <c r="G359">
        <v>64.400000000000006</v>
      </c>
      <c r="H359">
        <v>0</v>
      </c>
      <c r="I359">
        <v>128.80000000000001</v>
      </c>
    </row>
    <row r="360" spans="1:9" x14ac:dyDescent="0.3">
      <c r="A360">
        <v>359</v>
      </c>
      <c r="B360" s="10">
        <v>45607</v>
      </c>
      <c r="C360">
        <v>3</v>
      </c>
      <c r="D360">
        <v>66</v>
      </c>
      <c r="E360">
        <v>17</v>
      </c>
      <c r="F360">
        <v>1</v>
      </c>
      <c r="G360">
        <v>97.14</v>
      </c>
      <c r="H360">
        <v>0</v>
      </c>
      <c r="I360">
        <v>97.14</v>
      </c>
    </row>
    <row r="361" spans="1:9" x14ac:dyDescent="0.3">
      <c r="A361">
        <v>360</v>
      </c>
      <c r="B361" s="10">
        <v>45017</v>
      </c>
      <c r="C361">
        <v>6</v>
      </c>
      <c r="D361">
        <v>67</v>
      </c>
      <c r="E361">
        <v>68</v>
      </c>
      <c r="F361">
        <v>3</v>
      </c>
      <c r="G361">
        <v>198.56</v>
      </c>
      <c r="H361">
        <v>0</v>
      </c>
      <c r="I361">
        <v>595.67999999999995</v>
      </c>
    </row>
    <row r="362" spans="1:9" x14ac:dyDescent="0.3">
      <c r="A362">
        <v>361</v>
      </c>
      <c r="B362" s="10">
        <v>45620</v>
      </c>
      <c r="C362">
        <v>3</v>
      </c>
      <c r="D362">
        <v>172</v>
      </c>
      <c r="E362">
        <v>39</v>
      </c>
      <c r="F362">
        <v>1</v>
      </c>
      <c r="G362">
        <v>181.34</v>
      </c>
      <c r="H362">
        <v>0.05</v>
      </c>
      <c r="I362">
        <v>172.27</v>
      </c>
    </row>
    <row r="363" spans="1:9" x14ac:dyDescent="0.3">
      <c r="A363">
        <v>362</v>
      </c>
      <c r="B363" s="10">
        <v>45878</v>
      </c>
      <c r="C363">
        <v>8</v>
      </c>
      <c r="D363">
        <v>163</v>
      </c>
      <c r="E363">
        <v>57</v>
      </c>
      <c r="F363">
        <v>1</v>
      </c>
      <c r="G363">
        <v>32.28</v>
      </c>
      <c r="H363">
        <v>0</v>
      </c>
      <c r="I363">
        <v>32.28</v>
      </c>
    </row>
    <row r="364" spans="1:9" x14ac:dyDescent="0.3">
      <c r="A364">
        <v>363</v>
      </c>
      <c r="B364" s="10">
        <v>45300</v>
      </c>
      <c r="C364">
        <v>3</v>
      </c>
      <c r="D364">
        <v>112</v>
      </c>
      <c r="E364">
        <v>16</v>
      </c>
      <c r="F364">
        <v>1</v>
      </c>
      <c r="G364">
        <v>62.77</v>
      </c>
      <c r="H364">
        <v>0</v>
      </c>
      <c r="I364">
        <v>62.77</v>
      </c>
    </row>
    <row r="365" spans="1:9" x14ac:dyDescent="0.3">
      <c r="A365">
        <v>364</v>
      </c>
      <c r="B365" s="10">
        <v>45056</v>
      </c>
      <c r="C365">
        <v>8</v>
      </c>
      <c r="D365">
        <v>134</v>
      </c>
      <c r="E365">
        <v>19</v>
      </c>
      <c r="F365">
        <v>1</v>
      </c>
      <c r="G365">
        <v>138.31</v>
      </c>
      <c r="H365">
        <v>0.1</v>
      </c>
      <c r="I365">
        <v>124.48</v>
      </c>
    </row>
    <row r="366" spans="1:9" x14ac:dyDescent="0.3">
      <c r="A366">
        <v>365</v>
      </c>
      <c r="B366" s="10">
        <v>45002</v>
      </c>
      <c r="C366">
        <v>5</v>
      </c>
      <c r="D366">
        <v>6</v>
      </c>
      <c r="E366">
        <v>95</v>
      </c>
      <c r="F366">
        <v>2</v>
      </c>
      <c r="G366">
        <v>201.94</v>
      </c>
      <c r="H366">
        <v>0.15</v>
      </c>
      <c r="I366">
        <v>343.3</v>
      </c>
    </row>
    <row r="367" spans="1:9" x14ac:dyDescent="0.3">
      <c r="A367">
        <v>366</v>
      </c>
      <c r="B367" s="10">
        <v>45339</v>
      </c>
      <c r="C367">
        <v>1</v>
      </c>
      <c r="D367">
        <v>99</v>
      </c>
      <c r="E367">
        <v>67</v>
      </c>
      <c r="F367">
        <v>2</v>
      </c>
      <c r="G367">
        <v>41.9</v>
      </c>
      <c r="H367">
        <v>0.05</v>
      </c>
      <c r="I367">
        <v>79.61</v>
      </c>
    </row>
    <row r="368" spans="1:9" x14ac:dyDescent="0.3">
      <c r="A368">
        <v>367</v>
      </c>
      <c r="B368" s="10">
        <v>45335</v>
      </c>
      <c r="C368">
        <v>1</v>
      </c>
      <c r="D368">
        <v>68</v>
      </c>
      <c r="E368">
        <v>26</v>
      </c>
      <c r="F368">
        <v>1</v>
      </c>
      <c r="G368">
        <v>211.87</v>
      </c>
      <c r="H368">
        <v>0.1</v>
      </c>
      <c r="I368">
        <v>190.68</v>
      </c>
    </row>
    <row r="369" spans="1:9" x14ac:dyDescent="0.3">
      <c r="A369">
        <v>368</v>
      </c>
      <c r="B369" s="10">
        <v>45573</v>
      </c>
      <c r="C369">
        <v>5</v>
      </c>
      <c r="D369">
        <v>206</v>
      </c>
      <c r="E369">
        <v>59</v>
      </c>
      <c r="F369">
        <v>1</v>
      </c>
      <c r="G369">
        <v>17.41</v>
      </c>
      <c r="H369">
        <v>0.05</v>
      </c>
      <c r="I369">
        <v>16.54</v>
      </c>
    </row>
    <row r="370" spans="1:9" x14ac:dyDescent="0.3">
      <c r="A370">
        <v>369</v>
      </c>
      <c r="B370" s="10">
        <v>45742</v>
      </c>
      <c r="C370">
        <v>8</v>
      </c>
      <c r="D370">
        <v>11</v>
      </c>
      <c r="E370">
        <v>40</v>
      </c>
      <c r="F370">
        <v>1</v>
      </c>
      <c r="G370">
        <v>144.41999999999999</v>
      </c>
      <c r="H370">
        <v>0.05</v>
      </c>
      <c r="I370">
        <v>137.19999999999999</v>
      </c>
    </row>
    <row r="371" spans="1:9" x14ac:dyDescent="0.3">
      <c r="A371">
        <v>370</v>
      </c>
      <c r="B371" s="10">
        <v>45445</v>
      </c>
      <c r="C371">
        <v>1</v>
      </c>
      <c r="D371">
        <v>189</v>
      </c>
      <c r="E371">
        <v>66</v>
      </c>
      <c r="F371">
        <v>1</v>
      </c>
      <c r="G371">
        <v>169.57</v>
      </c>
      <c r="H371">
        <v>0</v>
      </c>
      <c r="I371">
        <v>169.57</v>
      </c>
    </row>
    <row r="372" spans="1:9" x14ac:dyDescent="0.3">
      <c r="A372">
        <v>371</v>
      </c>
      <c r="B372" s="10">
        <v>45318</v>
      </c>
      <c r="C372">
        <v>5</v>
      </c>
      <c r="D372">
        <v>112</v>
      </c>
      <c r="E372">
        <v>11</v>
      </c>
      <c r="F372">
        <v>1</v>
      </c>
      <c r="G372">
        <v>11.53</v>
      </c>
      <c r="H372">
        <v>0.05</v>
      </c>
      <c r="I372">
        <v>10.95</v>
      </c>
    </row>
    <row r="373" spans="1:9" x14ac:dyDescent="0.3">
      <c r="A373">
        <v>372</v>
      </c>
      <c r="B373" s="10">
        <v>45658</v>
      </c>
      <c r="C373">
        <v>1</v>
      </c>
      <c r="D373">
        <v>135</v>
      </c>
      <c r="E373">
        <v>14</v>
      </c>
      <c r="F373">
        <v>2</v>
      </c>
      <c r="G373">
        <v>70.08</v>
      </c>
      <c r="H373">
        <v>0</v>
      </c>
      <c r="I373">
        <v>140.16</v>
      </c>
    </row>
    <row r="374" spans="1:9" x14ac:dyDescent="0.3">
      <c r="A374">
        <v>373</v>
      </c>
      <c r="B374" s="10">
        <v>45606</v>
      </c>
      <c r="C374">
        <v>5</v>
      </c>
      <c r="D374">
        <v>188</v>
      </c>
      <c r="E374">
        <v>45</v>
      </c>
      <c r="F374">
        <v>1</v>
      </c>
      <c r="G374">
        <v>70.989999999999995</v>
      </c>
      <c r="H374">
        <v>0.15</v>
      </c>
      <c r="I374">
        <v>60.34</v>
      </c>
    </row>
    <row r="375" spans="1:9" x14ac:dyDescent="0.3">
      <c r="A375">
        <v>374</v>
      </c>
      <c r="B375" s="10">
        <v>45181</v>
      </c>
      <c r="C375">
        <v>6</v>
      </c>
      <c r="D375">
        <v>13</v>
      </c>
      <c r="E375">
        <v>5</v>
      </c>
      <c r="F375">
        <v>2</v>
      </c>
      <c r="G375">
        <v>55.26</v>
      </c>
      <c r="H375">
        <v>0</v>
      </c>
      <c r="I375">
        <v>110.52</v>
      </c>
    </row>
    <row r="376" spans="1:9" x14ac:dyDescent="0.3">
      <c r="A376">
        <v>375</v>
      </c>
      <c r="B376" s="10">
        <v>45821</v>
      </c>
      <c r="C376">
        <v>7</v>
      </c>
      <c r="D376">
        <v>3</v>
      </c>
      <c r="E376">
        <v>71</v>
      </c>
      <c r="F376">
        <v>1</v>
      </c>
      <c r="G376">
        <v>225.61</v>
      </c>
      <c r="H376">
        <v>0</v>
      </c>
      <c r="I376">
        <v>225.61</v>
      </c>
    </row>
    <row r="377" spans="1:9" x14ac:dyDescent="0.3">
      <c r="A377">
        <v>376</v>
      </c>
      <c r="B377" s="10">
        <v>45827</v>
      </c>
      <c r="C377">
        <v>7</v>
      </c>
      <c r="D377">
        <v>188</v>
      </c>
      <c r="E377">
        <v>68</v>
      </c>
      <c r="F377">
        <v>1</v>
      </c>
      <c r="G377">
        <v>198.56</v>
      </c>
      <c r="H377">
        <v>0</v>
      </c>
      <c r="I377">
        <v>198.56</v>
      </c>
    </row>
    <row r="378" spans="1:9" x14ac:dyDescent="0.3">
      <c r="A378">
        <v>377</v>
      </c>
      <c r="B378" s="10">
        <v>45621</v>
      </c>
      <c r="C378">
        <v>3</v>
      </c>
      <c r="D378">
        <v>218</v>
      </c>
      <c r="E378">
        <v>21</v>
      </c>
      <c r="F378">
        <v>1</v>
      </c>
      <c r="G378">
        <v>187.71</v>
      </c>
      <c r="H378">
        <v>0.2</v>
      </c>
      <c r="I378">
        <v>150.16999999999999</v>
      </c>
    </row>
    <row r="379" spans="1:9" x14ac:dyDescent="0.3">
      <c r="A379">
        <v>378</v>
      </c>
      <c r="B379" s="10">
        <v>45943</v>
      </c>
      <c r="C379">
        <v>8</v>
      </c>
      <c r="D379">
        <v>63</v>
      </c>
      <c r="E379">
        <v>42</v>
      </c>
      <c r="F379">
        <v>2</v>
      </c>
      <c r="G379">
        <v>127.97</v>
      </c>
      <c r="H379">
        <v>0</v>
      </c>
      <c r="I379">
        <v>255.94</v>
      </c>
    </row>
    <row r="380" spans="1:9" x14ac:dyDescent="0.3">
      <c r="A380">
        <v>379</v>
      </c>
      <c r="B380" s="10">
        <v>45679</v>
      </c>
      <c r="C380">
        <v>5</v>
      </c>
      <c r="D380">
        <v>133</v>
      </c>
      <c r="E380">
        <v>87</v>
      </c>
      <c r="F380">
        <v>1</v>
      </c>
      <c r="G380">
        <v>223.85</v>
      </c>
      <c r="H380">
        <v>0.2</v>
      </c>
      <c r="I380">
        <v>179.08</v>
      </c>
    </row>
    <row r="381" spans="1:9" x14ac:dyDescent="0.3">
      <c r="A381">
        <v>380</v>
      </c>
      <c r="B381" s="10">
        <v>45096</v>
      </c>
      <c r="C381">
        <v>7</v>
      </c>
      <c r="D381">
        <v>94</v>
      </c>
      <c r="E381">
        <v>59</v>
      </c>
      <c r="F381">
        <v>1</v>
      </c>
      <c r="G381">
        <v>17.41</v>
      </c>
      <c r="H381">
        <v>0.1</v>
      </c>
      <c r="I381">
        <v>15.67</v>
      </c>
    </row>
    <row r="382" spans="1:9" x14ac:dyDescent="0.3">
      <c r="A382">
        <v>381</v>
      </c>
      <c r="B382" s="10">
        <v>45088</v>
      </c>
      <c r="C382">
        <v>7</v>
      </c>
      <c r="D382">
        <v>4</v>
      </c>
      <c r="E382">
        <v>99</v>
      </c>
      <c r="F382">
        <v>2</v>
      </c>
      <c r="G382">
        <v>15.44</v>
      </c>
      <c r="H382">
        <v>0</v>
      </c>
      <c r="I382">
        <v>30.88</v>
      </c>
    </row>
    <row r="383" spans="1:9" x14ac:dyDescent="0.3">
      <c r="A383">
        <v>382</v>
      </c>
      <c r="B383" s="10">
        <v>45296</v>
      </c>
      <c r="C383">
        <v>5</v>
      </c>
      <c r="D383">
        <v>89</v>
      </c>
      <c r="E383">
        <v>37</v>
      </c>
      <c r="F383">
        <v>2</v>
      </c>
      <c r="G383">
        <v>88.87</v>
      </c>
      <c r="H383">
        <v>0</v>
      </c>
      <c r="I383">
        <v>177.74</v>
      </c>
    </row>
    <row r="384" spans="1:9" x14ac:dyDescent="0.3">
      <c r="A384">
        <v>383</v>
      </c>
      <c r="B384" s="10">
        <v>45584</v>
      </c>
      <c r="C384">
        <v>2</v>
      </c>
      <c r="D384">
        <v>17</v>
      </c>
      <c r="E384">
        <v>5</v>
      </c>
      <c r="F384">
        <v>1</v>
      </c>
      <c r="G384">
        <v>55.26</v>
      </c>
      <c r="H384">
        <v>0</v>
      </c>
      <c r="I384">
        <v>55.26</v>
      </c>
    </row>
    <row r="385" spans="1:9" x14ac:dyDescent="0.3">
      <c r="A385">
        <v>384</v>
      </c>
      <c r="B385" s="10">
        <v>45090</v>
      </c>
      <c r="C385">
        <v>6</v>
      </c>
      <c r="D385">
        <v>97</v>
      </c>
      <c r="E385">
        <v>34</v>
      </c>
      <c r="F385">
        <v>2</v>
      </c>
      <c r="G385">
        <v>247.04</v>
      </c>
      <c r="H385">
        <v>0.05</v>
      </c>
      <c r="I385">
        <v>469.38</v>
      </c>
    </row>
    <row r="386" spans="1:9" x14ac:dyDescent="0.3">
      <c r="A386">
        <v>385</v>
      </c>
      <c r="B386" s="10">
        <v>45532</v>
      </c>
      <c r="C386">
        <v>5</v>
      </c>
      <c r="D386">
        <v>68</v>
      </c>
      <c r="E386">
        <v>1</v>
      </c>
      <c r="F386">
        <v>2</v>
      </c>
      <c r="G386">
        <v>90.53</v>
      </c>
      <c r="H386">
        <v>0.05</v>
      </c>
      <c r="I386">
        <v>172.01</v>
      </c>
    </row>
    <row r="387" spans="1:9" x14ac:dyDescent="0.3">
      <c r="A387">
        <v>386</v>
      </c>
      <c r="B387" s="10">
        <v>45840</v>
      </c>
      <c r="C387">
        <v>7</v>
      </c>
      <c r="D387">
        <v>148</v>
      </c>
      <c r="E387">
        <v>18</v>
      </c>
      <c r="F387">
        <v>1</v>
      </c>
      <c r="G387">
        <v>132.02000000000001</v>
      </c>
      <c r="H387">
        <v>0.05</v>
      </c>
      <c r="I387">
        <v>125.42</v>
      </c>
    </row>
    <row r="388" spans="1:9" x14ac:dyDescent="0.3">
      <c r="A388">
        <v>387</v>
      </c>
      <c r="B388" s="10">
        <v>45268</v>
      </c>
      <c r="C388">
        <v>8</v>
      </c>
      <c r="D388">
        <v>134</v>
      </c>
      <c r="E388">
        <v>1</v>
      </c>
      <c r="F388">
        <v>1</v>
      </c>
      <c r="G388">
        <v>90.53</v>
      </c>
      <c r="H388">
        <v>0.1</v>
      </c>
      <c r="I388">
        <v>81.48</v>
      </c>
    </row>
    <row r="389" spans="1:9" x14ac:dyDescent="0.3">
      <c r="A389">
        <v>388</v>
      </c>
      <c r="B389" s="10">
        <v>45646</v>
      </c>
      <c r="C389">
        <v>8</v>
      </c>
      <c r="D389">
        <v>196</v>
      </c>
      <c r="E389">
        <v>22</v>
      </c>
      <c r="F389">
        <v>1</v>
      </c>
      <c r="G389">
        <v>49.91</v>
      </c>
      <c r="H389">
        <v>0</v>
      </c>
      <c r="I389">
        <v>49.91</v>
      </c>
    </row>
    <row r="390" spans="1:9" x14ac:dyDescent="0.3">
      <c r="A390">
        <v>389</v>
      </c>
      <c r="B390" s="10">
        <v>45013</v>
      </c>
      <c r="C390">
        <v>6</v>
      </c>
      <c r="D390">
        <v>120</v>
      </c>
      <c r="E390">
        <v>46</v>
      </c>
      <c r="F390">
        <v>1</v>
      </c>
      <c r="G390">
        <v>157</v>
      </c>
      <c r="H390">
        <v>0</v>
      </c>
      <c r="I390">
        <v>157</v>
      </c>
    </row>
    <row r="391" spans="1:9" x14ac:dyDescent="0.3">
      <c r="A391">
        <v>390</v>
      </c>
      <c r="B391" s="10">
        <v>45817</v>
      </c>
      <c r="C391">
        <v>5</v>
      </c>
      <c r="D391">
        <v>184</v>
      </c>
      <c r="E391">
        <v>85</v>
      </c>
      <c r="F391">
        <v>1</v>
      </c>
      <c r="G391">
        <v>83.36</v>
      </c>
      <c r="H391">
        <v>0.05</v>
      </c>
      <c r="I391">
        <v>79.19</v>
      </c>
    </row>
    <row r="392" spans="1:9" x14ac:dyDescent="0.3">
      <c r="A392">
        <v>391</v>
      </c>
      <c r="B392" s="10">
        <v>45044</v>
      </c>
      <c r="C392">
        <v>2</v>
      </c>
      <c r="D392">
        <v>12</v>
      </c>
      <c r="E392">
        <v>18</v>
      </c>
      <c r="F392">
        <v>1</v>
      </c>
      <c r="G392">
        <v>132.02000000000001</v>
      </c>
      <c r="H392">
        <v>0.2</v>
      </c>
      <c r="I392">
        <v>105.62</v>
      </c>
    </row>
    <row r="393" spans="1:9" x14ac:dyDescent="0.3">
      <c r="A393">
        <v>392</v>
      </c>
      <c r="B393" s="10">
        <v>45758</v>
      </c>
      <c r="C393">
        <v>6</v>
      </c>
      <c r="D393">
        <v>129</v>
      </c>
      <c r="E393">
        <v>82</v>
      </c>
      <c r="F393">
        <v>1</v>
      </c>
      <c r="G393">
        <v>151.85</v>
      </c>
      <c r="H393">
        <v>0.05</v>
      </c>
      <c r="I393">
        <v>144.26</v>
      </c>
    </row>
    <row r="394" spans="1:9" x14ac:dyDescent="0.3">
      <c r="A394">
        <v>393</v>
      </c>
      <c r="B394" s="10">
        <v>45254</v>
      </c>
      <c r="C394">
        <v>1</v>
      </c>
      <c r="D394">
        <v>18</v>
      </c>
      <c r="E394">
        <v>63</v>
      </c>
      <c r="F394">
        <v>1</v>
      </c>
      <c r="G394">
        <v>239.9</v>
      </c>
      <c r="H394">
        <v>0.1</v>
      </c>
      <c r="I394">
        <v>215.91</v>
      </c>
    </row>
    <row r="395" spans="1:9" x14ac:dyDescent="0.3">
      <c r="A395">
        <v>394</v>
      </c>
      <c r="B395" s="10">
        <v>45219</v>
      </c>
      <c r="C395">
        <v>8</v>
      </c>
      <c r="D395">
        <v>135</v>
      </c>
      <c r="E395">
        <v>43</v>
      </c>
      <c r="F395">
        <v>2</v>
      </c>
      <c r="G395">
        <v>16.04</v>
      </c>
      <c r="H395">
        <v>0.1</v>
      </c>
      <c r="I395">
        <v>28.87</v>
      </c>
    </row>
    <row r="396" spans="1:9" x14ac:dyDescent="0.3">
      <c r="A396">
        <v>395</v>
      </c>
      <c r="B396" s="10">
        <v>44998</v>
      </c>
      <c r="C396">
        <v>3</v>
      </c>
      <c r="D396">
        <v>169</v>
      </c>
      <c r="E396">
        <v>81</v>
      </c>
      <c r="F396">
        <v>1</v>
      </c>
      <c r="G396">
        <v>225.3</v>
      </c>
      <c r="H396">
        <v>0.05</v>
      </c>
      <c r="I396">
        <v>214.03</v>
      </c>
    </row>
    <row r="397" spans="1:9" x14ac:dyDescent="0.3">
      <c r="A397">
        <v>396</v>
      </c>
      <c r="B397" s="10">
        <v>45064</v>
      </c>
      <c r="C397">
        <v>4</v>
      </c>
      <c r="D397">
        <v>216</v>
      </c>
      <c r="E397">
        <v>8</v>
      </c>
      <c r="F397">
        <v>1</v>
      </c>
      <c r="G397">
        <v>259.11</v>
      </c>
      <c r="H397">
        <v>0</v>
      </c>
      <c r="I397">
        <v>259.11</v>
      </c>
    </row>
    <row r="398" spans="1:9" x14ac:dyDescent="0.3">
      <c r="A398">
        <v>397</v>
      </c>
      <c r="B398" s="10">
        <v>45677</v>
      </c>
      <c r="C398">
        <v>6</v>
      </c>
      <c r="D398">
        <v>127</v>
      </c>
      <c r="E398">
        <v>4</v>
      </c>
      <c r="F398">
        <v>1</v>
      </c>
      <c r="G398">
        <v>168</v>
      </c>
      <c r="H398">
        <v>0.1</v>
      </c>
      <c r="I398">
        <v>151.19999999999999</v>
      </c>
    </row>
    <row r="399" spans="1:9" x14ac:dyDescent="0.3">
      <c r="A399">
        <v>398</v>
      </c>
      <c r="B399" s="10">
        <v>45711</v>
      </c>
      <c r="C399">
        <v>1</v>
      </c>
      <c r="D399">
        <v>19</v>
      </c>
      <c r="E399">
        <v>15</v>
      </c>
      <c r="F399">
        <v>1</v>
      </c>
      <c r="G399">
        <v>58.26</v>
      </c>
      <c r="H399">
        <v>0</v>
      </c>
      <c r="I399">
        <v>58.26</v>
      </c>
    </row>
    <row r="400" spans="1:9" x14ac:dyDescent="0.3">
      <c r="A400">
        <v>399</v>
      </c>
      <c r="B400" s="10">
        <v>45241</v>
      </c>
      <c r="C400">
        <v>8</v>
      </c>
      <c r="D400">
        <v>29</v>
      </c>
      <c r="E400">
        <v>10</v>
      </c>
      <c r="F400">
        <v>1</v>
      </c>
      <c r="G400">
        <v>168.82</v>
      </c>
      <c r="H400">
        <v>0.1</v>
      </c>
      <c r="I400">
        <v>151.94</v>
      </c>
    </row>
    <row r="401" spans="1:9" x14ac:dyDescent="0.3">
      <c r="A401">
        <v>400</v>
      </c>
      <c r="B401" s="10">
        <v>45686</v>
      </c>
      <c r="C401">
        <v>6</v>
      </c>
      <c r="D401">
        <v>107</v>
      </c>
      <c r="E401">
        <v>29</v>
      </c>
      <c r="F401">
        <v>3</v>
      </c>
      <c r="G401">
        <v>138.6</v>
      </c>
      <c r="H401">
        <v>0.1</v>
      </c>
      <c r="I401">
        <v>374.22</v>
      </c>
    </row>
    <row r="402" spans="1:9" x14ac:dyDescent="0.3">
      <c r="A402">
        <v>401</v>
      </c>
      <c r="B402" s="10">
        <v>45836</v>
      </c>
      <c r="C402">
        <v>2</v>
      </c>
      <c r="D402">
        <v>73</v>
      </c>
      <c r="E402">
        <v>21</v>
      </c>
      <c r="F402">
        <v>1</v>
      </c>
      <c r="G402">
        <v>187.71</v>
      </c>
      <c r="H402">
        <v>0</v>
      </c>
      <c r="I402">
        <v>187.71</v>
      </c>
    </row>
    <row r="403" spans="1:9" x14ac:dyDescent="0.3">
      <c r="A403">
        <v>402</v>
      </c>
      <c r="B403" s="10">
        <v>45208</v>
      </c>
      <c r="C403">
        <v>6</v>
      </c>
      <c r="D403">
        <v>127</v>
      </c>
      <c r="E403">
        <v>9</v>
      </c>
      <c r="F403">
        <v>1</v>
      </c>
      <c r="G403">
        <v>152.78</v>
      </c>
      <c r="H403">
        <v>0</v>
      </c>
      <c r="I403">
        <v>152.78</v>
      </c>
    </row>
    <row r="404" spans="1:9" x14ac:dyDescent="0.3">
      <c r="A404">
        <v>403</v>
      </c>
      <c r="B404" s="10">
        <v>45742</v>
      </c>
      <c r="C404">
        <v>6</v>
      </c>
      <c r="D404">
        <v>161</v>
      </c>
      <c r="E404">
        <v>5</v>
      </c>
      <c r="F404">
        <v>1</v>
      </c>
      <c r="G404">
        <v>55.26</v>
      </c>
      <c r="H404">
        <v>0.05</v>
      </c>
      <c r="I404">
        <v>52.5</v>
      </c>
    </row>
    <row r="405" spans="1:9" x14ac:dyDescent="0.3">
      <c r="A405">
        <v>404</v>
      </c>
      <c r="B405" s="10">
        <v>45497</v>
      </c>
      <c r="C405">
        <v>4</v>
      </c>
      <c r="D405">
        <v>46</v>
      </c>
      <c r="E405">
        <v>15</v>
      </c>
      <c r="F405">
        <v>2</v>
      </c>
      <c r="G405">
        <v>58.26</v>
      </c>
      <c r="H405">
        <v>0</v>
      </c>
      <c r="I405">
        <v>116.52</v>
      </c>
    </row>
    <row r="406" spans="1:9" x14ac:dyDescent="0.3">
      <c r="A406">
        <v>405</v>
      </c>
      <c r="B406" s="10">
        <v>45159</v>
      </c>
      <c r="C406">
        <v>1</v>
      </c>
      <c r="D406">
        <v>35</v>
      </c>
      <c r="E406">
        <v>14</v>
      </c>
      <c r="F406">
        <v>4</v>
      </c>
      <c r="G406">
        <v>70.08</v>
      </c>
      <c r="H406">
        <v>0.1</v>
      </c>
      <c r="I406">
        <v>252.29</v>
      </c>
    </row>
    <row r="407" spans="1:9" x14ac:dyDescent="0.3">
      <c r="A407">
        <v>406</v>
      </c>
      <c r="B407" s="10">
        <v>45308</v>
      </c>
      <c r="C407">
        <v>8</v>
      </c>
      <c r="D407">
        <v>199</v>
      </c>
      <c r="E407">
        <v>51</v>
      </c>
      <c r="F407">
        <v>1</v>
      </c>
      <c r="G407">
        <v>302.75</v>
      </c>
      <c r="H407">
        <v>0</v>
      </c>
      <c r="I407">
        <v>302.75</v>
      </c>
    </row>
    <row r="408" spans="1:9" x14ac:dyDescent="0.3">
      <c r="A408">
        <v>407</v>
      </c>
      <c r="B408" s="10">
        <v>45719</v>
      </c>
      <c r="C408">
        <v>2</v>
      </c>
      <c r="D408">
        <v>199</v>
      </c>
      <c r="E408">
        <v>8</v>
      </c>
      <c r="F408">
        <v>1</v>
      </c>
      <c r="G408">
        <v>259.11</v>
      </c>
      <c r="H408">
        <v>0.15</v>
      </c>
      <c r="I408">
        <v>220.24</v>
      </c>
    </row>
    <row r="409" spans="1:9" x14ac:dyDescent="0.3">
      <c r="A409">
        <v>408</v>
      </c>
      <c r="B409" s="10">
        <v>45463</v>
      </c>
      <c r="C409">
        <v>5</v>
      </c>
      <c r="D409">
        <v>44</v>
      </c>
      <c r="E409">
        <v>73</v>
      </c>
      <c r="F409">
        <v>2</v>
      </c>
      <c r="G409">
        <v>8.39</v>
      </c>
      <c r="H409">
        <v>0.1</v>
      </c>
      <c r="I409">
        <v>15.1</v>
      </c>
    </row>
    <row r="410" spans="1:9" x14ac:dyDescent="0.3">
      <c r="A410">
        <v>409</v>
      </c>
      <c r="B410" s="10">
        <v>45840</v>
      </c>
      <c r="C410">
        <v>4</v>
      </c>
      <c r="D410">
        <v>206</v>
      </c>
      <c r="E410">
        <v>40</v>
      </c>
      <c r="F410">
        <v>1</v>
      </c>
      <c r="G410">
        <v>144.41999999999999</v>
      </c>
      <c r="H410">
        <v>0</v>
      </c>
      <c r="I410">
        <v>144.41999999999999</v>
      </c>
    </row>
    <row r="411" spans="1:9" x14ac:dyDescent="0.3">
      <c r="A411">
        <v>410</v>
      </c>
      <c r="B411" s="10">
        <v>45511</v>
      </c>
      <c r="C411">
        <v>8</v>
      </c>
      <c r="D411">
        <v>11</v>
      </c>
      <c r="E411">
        <v>9</v>
      </c>
      <c r="F411">
        <v>1</v>
      </c>
      <c r="G411">
        <v>152.78</v>
      </c>
      <c r="H411">
        <v>0</v>
      </c>
      <c r="I411">
        <v>152.78</v>
      </c>
    </row>
    <row r="412" spans="1:9" x14ac:dyDescent="0.3">
      <c r="A412">
        <v>411</v>
      </c>
      <c r="B412" s="10">
        <v>45336</v>
      </c>
      <c r="C412">
        <v>2</v>
      </c>
      <c r="D412">
        <v>10</v>
      </c>
      <c r="E412">
        <v>82</v>
      </c>
      <c r="F412">
        <v>1</v>
      </c>
      <c r="G412">
        <v>151.85</v>
      </c>
      <c r="H412">
        <v>0</v>
      </c>
      <c r="I412">
        <v>151.85</v>
      </c>
    </row>
    <row r="413" spans="1:9" x14ac:dyDescent="0.3">
      <c r="A413">
        <v>412</v>
      </c>
      <c r="B413" s="10">
        <v>45204</v>
      </c>
      <c r="C413">
        <v>2</v>
      </c>
      <c r="D413">
        <v>137</v>
      </c>
      <c r="E413">
        <v>85</v>
      </c>
      <c r="F413">
        <v>1</v>
      </c>
      <c r="G413">
        <v>83.36</v>
      </c>
      <c r="H413">
        <v>0</v>
      </c>
      <c r="I413">
        <v>83.36</v>
      </c>
    </row>
    <row r="414" spans="1:9" x14ac:dyDescent="0.3">
      <c r="A414">
        <v>413</v>
      </c>
      <c r="B414" s="10">
        <v>45852</v>
      </c>
      <c r="C414">
        <v>3</v>
      </c>
      <c r="D414">
        <v>5</v>
      </c>
      <c r="E414">
        <v>14</v>
      </c>
      <c r="F414">
        <v>1</v>
      </c>
      <c r="G414">
        <v>70.08</v>
      </c>
      <c r="H414">
        <v>0.1</v>
      </c>
      <c r="I414">
        <v>63.07</v>
      </c>
    </row>
    <row r="415" spans="1:9" x14ac:dyDescent="0.3">
      <c r="A415">
        <v>414</v>
      </c>
      <c r="B415" s="10">
        <v>45838</v>
      </c>
      <c r="C415">
        <v>2</v>
      </c>
      <c r="D415">
        <v>208</v>
      </c>
      <c r="E415">
        <v>31</v>
      </c>
      <c r="F415">
        <v>3</v>
      </c>
      <c r="G415">
        <v>165.45</v>
      </c>
      <c r="H415">
        <v>0.05</v>
      </c>
      <c r="I415">
        <v>471.53</v>
      </c>
    </row>
    <row r="416" spans="1:9" x14ac:dyDescent="0.3">
      <c r="A416">
        <v>415</v>
      </c>
      <c r="B416" s="10">
        <v>45581</v>
      </c>
      <c r="C416">
        <v>6</v>
      </c>
      <c r="D416">
        <v>82</v>
      </c>
      <c r="E416">
        <v>43</v>
      </c>
      <c r="F416">
        <v>1</v>
      </c>
      <c r="G416">
        <v>16.04</v>
      </c>
      <c r="H416">
        <v>0.05</v>
      </c>
      <c r="I416">
        <v>15.24</v>
      </c>
    </row>
    <row r="417" spans="1:9" x14ac:dyDescent="0.3">
      <c r="A417">
        <v>416</v>
      </c>
      <c r="B417" s="10">
        <v>45059</v>
      </c>
      <c r="C417">
        <v>5</v>
      </c>
      <c r="D417">
        <v>154</v>
      </c>
      <c r="E417">
        <v>39</v>
      </c>
      <c r="F417">
        <v>3</v>
      </c>
      <c r="G417">
        <v>181.34</v>
      </c>
      <c r="H417">
        <v>0</v>
      </c>
      <c r="I417">
        <v>544.02</v>
      </c>
    </row>
    <row r="418" spans="1:9" x14ac:dyDescent="0.3">
      <c r="A418">
        <v>417</v>
      </c>
      <c r="B418" s="10">
        <v>45541</v>
      </c>
      <c r="C418">
        <v>3</v>
      </c>
      <c r="D418">
        <v>97</v>
      </c>
      <c r="E418">
        <v>54</v>
      </c>
      <c r="F418">
        <v>1</v>
      </c>
      <c r="G418">
        <v>245.9</v>
      </c>
      <c r="H418">
        <v>0</v>
      </c>
      <c r="I418">
        <v>245.9</v>
      </c>
    </row>
    <row r="419" spans="1:9" x14ac:dyDescent="0.3">
      <c r="A419">
        <v>418</v>
      </c>
      <c r="B419" s="10">
        <v>45283</v>
      </c>
      <c r="C419">
        <v>6</v>
      </c>
      <c r="D419">
        <v>39</v>
      </c>
      <c r="E419">
        <v>78</v>
      </c>
      <c r="F419">
        <v>2</v>
      </c>
      <c r="G419">
        <v>25.66</v>
      </c>
      <c r="H419">
        <v>0</v>
      </c>
      <c r="I419">
        <v>51.32</v>
      </c>
    </row>
    <row r="420" spans="1:9" x14ac:dyDescent="0.3">
      <c r="A420">
        <v>419</v>
      </c>
      <c r="B420" s="10">
        <v>45968</v>
      </c>
      <c r="C420">
        <v>4</v>
      </c>
      <c r="D420">
        <v>57</v>
      </c>
      <c r="E420">
        <v>65</v>
      </c>
      <c r="F420">
        <v>4</v>
      </c>
      <c r="G420">
        <v>71.14</v>
      </c>
      <c r="H420">
        <v>0</v>
      </c>
      <c r="I420">
        <v>284.56</v>
      </c>
    </row>
    <row r="421" spans="1:9" x14ac:dyDescent="0.3">
      <c r="A421">
        <v>420</v>
      </c>
      <c r="B421" s="10">
        <v>45175</v>
      </c>
      <c r="C421">
        <v>4</v>
      </c>
      <c r="D421">
        <v>205</v>
      </c>
      <c r="E421">
        <v>62</v>
      </c>
      <c r="F421">
        <v>1</v>
      </c>
      <c r="G421">
        <v>82.81</v>
      </c>
      <c r="H421">
        <v>0</v>
      </c>
      <c r="I421">
        <v>82.81</v>
      </c>
    </row>
    <row r="422" spans="1:9" x14ac:dyDescent="0.3">
      <c r="A422">
        <v>421</v>
      </c>
      <c r="B422" s="10">
        <v>45211</v>
      </c>
      <c r="C422">
        <v>4</v>
      </c>
      <c r="D422">
        <v>55</v>
      </c>
      <c r="E422">
        <v>29</v>
      </c>
      <c r="F422">
        <v>1</v>
      </c>
      <c r="G422">
        <v>138.6</v>
      </c>
      <c r="H422">
        <v>0.1</v>
      </c>
      <c r="I422">
        <v>124.74</v>
      </c>
    </row>
    <row r="423" spans="1:9" x14ac:dyDescent="0.3">
      <c r="A423">
        <v>422</v>
      </c>
      <c r="B423" s="10">
        <v>45938</v>
      </c>
      <c r="C423">
        <v>1</v>
      </c>
      <c r="D423">
        <v>76</v>
      </c>
      <c r="E423">
        <v>93</v>
      </c>
      <c r="F423">
        <v>1</v>
      </c>
      <c r="G423">
        <v>239.23</v>
      </c>
      <c r="H423">
        <v>0.2</v>
      </c>
      <c r="I423">
        <v>191.38</v>
      </c>
    </row>
    <row r="424" spans="1:9" x14ac:dyDescent="0.3">
      <c r="A424">
        <v>423</v>
      </c>
      <c r="B424" s="10">
        <v>45666</v>
      </c>
      <c r="C424">
        <v>6</v>
      </c>
      <c r="D424">
        <v>21</v>
      </c>
      <c r="E424">
        <v>38</v>
      </c>
      <c r="F424">
        <v>2</v>
      </c>
      <c r="G424">
        <v>35.35</v>
      </c>
      <c r="H424">
        <v>0.05</v>
      </c>
      <c r="I424">
        <v>67.17</v>
      </c>
    </row>
    <row r="425" spans="1:9" x14ac:dyDescent="0.3">
      <c r="A425">
        <v>424</v>
      </c>
      <c r="B425" s="10">
        <v>45884</v>
      </c>
      <c r="C425">
        <v>3</v>
      </c>
      <c r="D425">
        <v>93</v>
      </c>
      <c r="E425">
        <v>8</v>
      </c>
      <c r="F425">
        <v>1</v>
      </c>
      <c r="G425">
        <v>259.11</v>
      </c>
      <c r="H425">
        <v>0</v>
      </c>
      <c r="I425">
        <v>259.11</v>
      </c>
    </row>
    <row r="426" spans="1:9" x14ac:dyDescent="0.3">
      <c r="A426">
        <v>425</v>
      </c>
      <c r="B426" s="10">
        <v>45103</v>
      </c>
      <c r="C426">
        <v>2</v>
      </c>
      <c r="D426">
        <v>168</v>
      </c>
      <c r="E426">
        <v>48</v>
      </c>
      <c r="F426">
        <v>2</v>
      </c>
      <c r="G426">
        <v>146.85</v>
      </c>
      <c r="H426">
        <v>0.05</v>
      </c>
      <c r="I426">
        <v>279.01</v>
      </c>
    </row>
    <row r="427" spans="1:9" x14ac:dyDescent="0.3">
      <c r="A427">
        <v>426</v>
      </c>
      <c r="B427" s="10">
        <v>45560</v>
      </c>
      <c r="C427">
        <v>7</v>
      </c>
      <c r="D427">
        <v>90</v>
      </c>
      <c r="E427">
        <v>55</v>
      </c>
      <c r="F427">
        <v>2</v>
      </c>
      <c r="G427">
        <v>193.33</v>
      </c>
      <c r="H427">
        <v>0</v>
      </c>
      <c r="I427">
        <v>386.66</v>
      </c>
    </row>
    <row r="428" spans="1:9" x14ac:dyDescent="0.3">
      <c r="A428">
        <v>427</v>
      </c>
      <c r="B428" s="10">
        <v>45907</v>
      </c>
      <c r="C428">
        <v>7</v>
      </c>
      <c r="D428">
        <v>131</v>
      </c>
      <c r="E428">
        <v>95</v>
      </c>
      <c r="F428">
        <v>3</v>
      </c>
      <c r="G428">
        <v>201.94</v>
      </c>
      <c r="H428">
        <v>0</v>
      </c>
      <c r="I428">
        <v>605.82000000000005</v>
      </c>
    </row>
    <row r="429" spans="1:9" x14ac:dyDescent="0.3">
      <c r="A429">
        <v>428</v>
      </c>
      <c r="B429" s="10">
        <v>45765</v>
      </c>
      <c r="C429">
        <v>2</v>
      </c>
      <c r="D429">
        <v>90</v>
      </c>
      <c r="E429">
        <v>35</v>
      </c>
      <c r="F429">
        <v>2</v>
      </c>
      <c r="G429">
        <v>303.48</v>
      </c>
      <c r="H429">
        <v>0</v>
      </c>
      <c r="I429">
        <v>606.96</v>
      </c>
    </row>
    <row r="430" spans="1:9" x14ac:dyDescent="0.3">
      <c r="A430">
        <v>429</v>
      </c>
      <c r="B430" s="10">
        <v>45183</v>
      </c>
      <c r="C430">
        <v>6</v>
      </c>
      <c r="D430">
        <v>212</v>
      </c>
      <c r="E430">
        <v>71</v>
      </c>
      <c r="F430">
        <v>1</v>
      </c>
      <c r="G430">
        <v>225.61</v>
      </c>
      <c r="H430">
        <v>0</v>
      </c>
      <c r="I430">
        <v>225.61</v>
      </c>
    </row>
    <row r="431" spans="1:9" x14ac:dyDescent="0.3">
      <c r="A431">
        <v>430</v>
      </c>
      <c r="B431" s="10">
        <v>45078</v>
      </c>
      <c r="C431">
        <v>8</v>
      </c>
      <c r="D431">
        <v>196</v>
      </c>
      <c r="E431">
        <v>29</v>
      </c>
      <c r="F431">
        <v>1</v>
      </c>
      <c r="G431">
        <v>138.6</v>
      </c>
      <c r="H431">
        <v>0.15</v>
      </c>
      <c r="I431">
        <v>117.81</v>
      </c>
    </row>
    <row r="432" spans="1:9" x14ac:dyDescent="0.3">
      <c r="A432">
        <v>431</v>
      </c>
      <c r="B432" s="10">
        <v>45881</v>
      </c>
      <c r="C432">
        <v>6</v>
      </c>
      <c r="D432">
        <v>180</v>
      </c>
      <c r="E432">
        <v>86</v>
      </c>
      <c r="F432">
        <v>1</v>
      </c>
      <c r="G432">
        <v>99.19</v>
      </c>
      <c r="H432">
        <v>0</v>
      </c>
      <c r="I432">
        <v>99.19</v>
      </c>
    </row>
    <row r="433" spans="1:9" x14ac:dyDescent="0.3">
      <c r="A433">
        <v>432</v>
      </c>
      <c r="B433" s="10">
        <v>45189</v>
      </c>
      <c r="C433">
        <v>3</v>
      </c>
      <c r="D433">
        <v>165</v>
      </c>
      <c r="E433">
        <v>26</v>
      </c>
      <c r="F433">
        <v>1</v>
      </c>
      <c r="G433">
        <v>211.87</v>
      </c>
      <c r="H433">
        <v>0</v>
      </c>
      <c r="I433">
        <v>211.87</v>
      </c>
    </row>
    <row r="434" spans="1:9" x14ac:dyDescent="0.3">
      <c r="A434">
        <v>433</v>
      </c>
      <c r="B434" s="10">
        <v>45191</v>
      </c>
      <c r="C434">
        <v>7</v>
      </c>
      <c r="D434">
        <v>201</v>
      </c>
      <c r="E434">
        <v>49</v>
      </c>
      <c r="F434">
        <v>1</v>
      </c>
      <c r="G434">
        <v>130.58000000000001</v>
      </c>
      <c r="H434">
        <v>0.05</v>
      </c>
      <c r="I434">
        <v>124.05</v>
      </c>
    </row>
    <row r="435" spans="1:9" x14ac:dyDescent="0.3">
      <c r="A435">
        <v>434</v>
      </c>
      <c r="B435" s="10">
        <v>45956</v>
      </c>
      <c r="C435">
        <v>1</v>
      </c>
      <c r="D435">
        <v>32</v>
      </c>
      <c r="E435">
        <v>60</v>
      </c>
      <c r="F435">
        <v>1</v>
      </c>
      <c r="G435">
        <v>101.29</v>
      </c>
      <c r="H435">
        <v>0.05</v>
      </c>
      <c r="I435">
        <v>96.23</v>
      </c>
    </row>
    <row r="436" spans="1:9" x14ac:dyDescent="0.3">
      <c r="A436">
        <v>435</v>
      </c>
      <c r="B436" s="10">
        <v>45181</v>
      </c>
      <c r="C436">
        <v>3</v>
      </c>
      <c r="D436">
        <v>138</v>
      </c>
      <c r="E436">
        <v>66</v>
      </c>
      <c r="F436">
        <v>2</v>
      </c>
      <c r="G436">
        <v>169.57</v>
      </c>
      <c r="H436">
        <v>0</v>
      </c>
      <c r="I436">
        <v>339.14</v>
      </c>
    </row>
    <row r="437" spans="1:9" x14ac:dyDescent="0.3">
      <c r="A437">
        <v>436</v>
      </c>
      <c r="B437" s="10">
        <v>45549</v>
      </c>
      <c r="C437">
        <v>3</v>
      </c>
      <c r="D437">
        <v>150</v>
      </c>
      <c r="E437">
        <v>96</v>
      </c>
      <c r="F437">
        <v>1</v>
      </c>
      <c r="G437">
        <v>132.69</v>
      </c>
      <c r="H437">
        <v>0.15</v>
      </c>
      <c r="I437">
        <v>112.79</v>
      </c>
    </row>
    <row r="438" spans="1:9" x14ac:dyDescent="0.3">
      <c r="A438">
        <v>437</v>
      </c>
      <c r="B438" s="10">
        <v>45258</v>
      </c>
      <c r="C438">
        <v>6</v>
      </c>
      <c r="D438">
        <v>193</v>
      </c>
      <c r="E438">
        <v>81</v>
      </c>
      <c r="F438">
        <v>1</v>
      </c>
      <c r="G438">
        <v>225.3</v>
      </c>
      <c r="H438">
        <v>0</v>
      </c>
      <c r="I438">
        <v>225.3</v>
      </c>
    </row>
    <row r="439" spans="1:9" x14ac:dyDescent="0.3">
      <c r="A439">
        <v>438</v>
      </c>
      <c r="B439" s="10">
        <v>45388</v>
      </c>
      <c r="C439">
        <v>6</v>
      </c>
      <c r="D439">
        <v>91</v>
      </c>
      <c r="E439">
        <v>80</v>
      </c>
      <c r="F439">
        <v>1</v>
      </c>
      <c r="G439">
        <v>33.380000000000003</v>
      </c>
      <c r="H439">
        <v>0</v>
      </c>
      <c r="I439">
        <v>33.380000000000003</v>
      </c>
    </row>
    <row r="440" spans="1:9" x14ac:dyDescent="0.3">
      <c r="A440">
        <v>439</v>
      </c>
      <c r="B440" s="10">
        <v>45508</v>
      </c>
      <c r="C440">
        <v>2</v>
      </c>
      <c r="D440">
        <v>214</v>
      </c>
      <c r="E440">
        <v>92</v>
      </c>
      <c r="F440">
        <v>1</v>
      </c>
      <c r="G440">
        <v>223.32</v>
      </c>
      <c r="H440">
        <v>0</v>
      </c>
      <c r="I440">
        <v>223.32</v>
      </c>
    </row>
    <row r="441" spans="1:9" x14ac:dyDescent="0.3">
      <c r="A441">
        <v>440</v>
      </c>
      <c r="B441" s="10">
        <v>45440</v>
      </c>
      <c r="C441">
        <v>4</v>
      </c>
      <c r="D441">
        <v>203</v>
      </c>
      <c r="E441">
        <v>79</v>
      </c>
      <c r="F441">
        <v>1</v>
      </c>
      <c r="G441">
        <v>117.59</v>
      </c>
      <c r="H441">
        <v>0.2</v>
      </c>
      <c r="I441">
        <v>94.07</v>
      </c>
    </row>
    <row r="442" spans="1:9" x14ac:dyDescent="0.3">
      <c r="A442">
        <v>441</v>
      </c>
      <c r="B442" s="10">
        <v>45489</v>
      </c>
      <c r="C442">
        <v>3</v>
      </c>
      <c r="D442">
        <v>12</v>
      </c>
      <c r="E442">
        <v>82</v>
      </c>
      <c r="F442">
        <v>3</v>
      </c>
      <c r="G442">
        <v>151.85</v>
      </c>
      <c r="H442">
        <v>0.1</v>
      </c>
      <c r="I442">
        <v>409.99</v>
      </c>
    </row>
    <row r="443" spans="1:9" x14ac:dyDescent="0.3">
      <c r="A443">
        <v>442</v>
      </c>
      <c r="B443" s="10">
        <v>45547</v>
      </c>
      <c r="C443">
        <v>2</v>
      </c>
      <c r="D443">
        <v>133</v>
      </c>
      <c r="E443">
        <v>55</v>
      </c>
      <c r="F443">
        <v>2</v>
      </c>
      <c r="G443">
        <v>193.33</v>
      </c>
      <c r="H443">
        <v>0</v>
      </c>
      <c r="I443">
        <v>386.66</v>
      </c>
    </row>
    <row r="444" spans="1:9" x14ac:dyDescent="0.3">
      <c r="A444">
        <v>443</v>
      </c>
      <c r="B444" s="10">
        <v>45956</v>
      </c>
      <c r="C444">
        <v>3</v>
      </c>
      <c r="D444">
        <v>49</v>
      </c>
      <c r="E444">
        <v>59</v>
      </c>
      <c r="F444">
        <v>1</v>
      </c>
      <c r="G444">
        <v>17.41</v>
      </c>
      <c r="H444">
        <v>0</v>
      </c>
      <c r="I444">
        <v>17.41</v>
      </c>
    </row>
    <row r="445" spans="1:9" x14ac:dyDescent="0.3">
      <c r="A445">
        <v>444</v>
      </c>
      <c r="B445" s="10">
        <v>45242</v>
      </c>
      <c r="C445">
        <v>3</v>
      </c>
      <c r="D445">
        <v>85</v>
      </c>
      <c r="E445">
        <v>54</v>
      </c>
      <c r="F445">
        <v>1</v>
      </c>
      <c r="G445">
        <v>245.9</v>
      </c>
      <c r="H445">
        <v>0.15</v>
      </c>
      <c r="I445">
        <v>209.01</v>
      </c>
    </row>
    <row r="446" spans="1:9" x14ac:dyDescent="0.3">
      <c r="A446">
        <v>445</v>
      </c>
      <c r="B446" s="10">
        <v>45618</v>
      </c>
      <c r="C446">
        <v>1</v>
      </c>
      <c r="D446">
        <v>148</v>
      </c>
      <c r="E446">
        <v>51</v>
      </c>
      <c r="F446">
        <v>4</v>
      </c>
      <c r="G446">
        <v>302.75</v>
      </c>
      <c r="H446">
        <v>0</v>
      </c>
      <c r="I446">
        <v>1211</v>
      </c>
    </row>
    <row r="447" spans="1:9" x14ac:dyDescent="0.3">
      <c r="A447">
        <v>446</v>
      </c>
      <c r="B447" s="10">
        <v>44985</v>
      </c>
      <c r="C447">
        <v>2</v>
      </c>
      <c r="D447">
        <v>51</v>
      </c>
      <c r="E447">
        <v>89</v>
      </c>
      <c r="F447">
        <v>1</v>
      </c>
      <c r="G447">
        <v>247.43</v>
      </c>
      <c r="H447">
        <v>0</v>
      </c>
      <c r="I447">
        <v>247.43</v>
      </c>
    </row>
    <row r="448" spans="1:9" x14ac:dyDescent="0.3">
      <c r="A448">
        <v>447</v>
      </c>
      <c r="B448" s="10">
        <v>45020</v>
      </c>
      <c r="C448">
        <v>5</v>
      </c>
      <c r="D448">
        <v>203</v>
      </c>
      <c r="E448">
        <v>71</v>
      </c>
      <c r="F448">
        <v>1</v>
      </c>
      <c r="G448">
        <v>225.61</v>
      </c>
      <c r="H448">
        <v>0.2</v>
      </c>
      <c r="I448">
        <v>180.49</v>
      </c>
    </row>
    <row r="449" spans="1:9" x14ac:dyDescent="0.3">
      <c r="A449">
        <v>448</v>
      </c>
      <c r="B449" s="10">
        <v>45358</v>
      </c>
      <c r="C449">
        <v>7</v>
      </c>
      <c r="D449">
        <v>144</v>
      </c>
      <c r="E449">
        <v>97</v>
      </c>
      <c r="F449">
        <v>1</v>
      </c>
      <c r="G449">
        <v>158.26</v>
      </c>
      <c r="H449">
        <v>0.1</v>
      </c>
      <c r="I449">
        <v>142.43</v>
      </c>
    </row>
    <row r="450" spans="1:9" x14ac:dyDescent="0.3">
      <c r="A450">
        <v>449</v>
      </c>
      <c r="B450" s="10">
        <v>44989</v>
      </c>
      <c r="C450">
        <v>8</v>
      </c>
      <c r="D450">
        <v>135</v>
      </c>
      <c r="E450">
        <v>75</v>
      </c>
      <c r="F450">
        <v>1</v>
      </c>
      <c r="G450">
        <v>205.69</v>
      </c>
      <c r="H450">
        <v>0</v>
      </c>
      <c r="I450">
        <v>205.69</v>
      </c>
    </row>
    <row r="451" spans="1:9" x14ac:dyDescent="0.3">
      <c r="A451">
        <v>450</v>
      </c>
      <c r="B451" s="10">
        <v>45520</v>
      </c>
      <c r="C451">
        <v>5</v>
      </c>
      <c r="D451">
        <v>129</v>
      </c>
      <c r="E451">
        <v>9</v>
      </c>
      <c r="F451">
        <v>1</v>
      </c>
      <c r="G451">
        <v>152.78</v>
      </c>
      <c r="H451">
        <v>0.1</v>
      </c>
      <c r="I451">
        <v>137.5</v>
      </c>
    </row>
    <row r="452" spans="1:9" x14ac:dyDescent="0.3">
      <c r="A452">
        <v>451</v>
      </c>
      <c r="B452" s="10">
        <v>45916</v>
      </c>
      <c r="C452">
        <v>4</v>
      </c>
      <c r="D452">
        <v>199</v>
      </c>
      <c r="E452">
        <v>3</v>
      </c>
      <c r="F452">
        <v>1</v>
      </c>
      <c r="G452">
        <v>190.58</v>
      </c>
      <c r="H452">
        <v>0</v>
      </c>
      <c r="I452">
        <v>190.58</v>
      </c>
    </row>
    <row r="453" spans="1:9" x14ac:dyDescent="0.3">
      <c r="A453">
        <v>452</v>
      </c>
      <c r="B453" s="10">
        <v>45758</v>
      </c>
      <c r="C453">
        <v>5</v>
      </c>
      <c r="D453">
        <v>180</v>
      </c>
      <c r="E453">
        <v>62</v>
      </c>
      <c r="F453">
        <v>1</v>
      </c>
      <c r="G453">
        <v>82.81</v>
      </c>
      <c r="H453">
        <v>0.05</v>
      </c>
      <c r="I453">
        <v>78.67</v>
      </c>
    </row>
    <row r="454" spans="1:9" x14ac:dyDescent="0.3">
      <c r="A454">
        <v>453</v>
      </c>
      <c r="B454" s="10">
        <v>45855</v>
      </c>
      <c r="C454">
        <v>2</v>
      </c>
      <c r="D454">
        <v>81</v>
      </c>
      <c r="E454">
        <v>90</v>
      </c>
      <c r="F454">
        <v>5</v>
      </c>
      <c r="G454">
        <v>122.32</v>
      </c>
      <c r="H454">
        <v>0</v>
      </c>
      <c r="I454">
        <v>611.6</v>
      </c>
    </row>
    <row r="455" spans="1:9" x14ac:dyDescent="0.3">
      <c r="A455">
        <v>454</v>
      </c>
      <c r="B455" s="10">
        <v>45049</v>
      </c>
      <c r="C455">
        <v>3</v>
      </c>
      <c r="D455">
        <v>139</v>
      </c>
      <c r="E455">
        <v>11</v>
      </c>
      <c r="F455">
        <v>1</v>
      </c>
      <c r="G455">
        <v>11.53</v>
      </c>
      <c r="H455">
        <v>0.05</v>
      </c>
      <c r="I455">
        <v>10.95</v>
      </c>
    </row>
    <row r="456" spans="1:9" x14ac:dyDescent="0.3">
      <c r="A456">
        <v>455</v>
      </c>
      <c r="B456" s="10">
        <v>45827</v>
      </c>
      <c r="C456">
        <v>7</v>
      </c>
      <c r="D456">
        <v>195</v>
      </c>
      <c r="E456">
        <v>40</v>
      </c>
      <c r="F456">
        <v>1</v>
      </c>
      <c r="G456">
        <v>144.41999999999999</v>
      </c>
      <c r="H456">
        <v>0</v>
      </c>
      <c r="I456">
        <v>144.41999999999999</v>
      </c>
    </row>
    <row r="457" spans="1:9" x14ac:dyDescent="0.3">
      <c r="A457">
        <v>456</v>
      </c>
      <c r="B457" s="10">
        <v>45918</v>
      </c>
      <c r="C457">
        <v>8</v>
      </c>
      <c r="D457">
        <v>14</v>
      </c>
      <c r="E457">
        <v>43</v>
      </c>
      <c r="F457">
        <v>2</v>
      </c>
      <c r="G457">
        <v>16.04</v>
      </c>
      <c r="H457">
        <v>0</v>
      </c>
      <c r="I457">
        <v>32.08</v>
      </c>
    </row>
    <row r="458" spans="1:9" x14ac:dyDescent="0.3">
      <c r="A458">
        <v>457</v>
      </c>
      <c r="B458" s="10">
        <v>45344</v>
      </c>
      <c r="C458">
        <v>6</v>
      </c>
      <c r="D458">
        <v>220</v>
      </c>
      <c r="E458">
        <v>36</v>
      </c>
      <c r="F458">
        <v>1</v>
      </c>
      <c r="G458">
        <v>211.43</v>
      </c>
      <c r="H458">
        <v>0</v>
      </c>
      <c r="I458">
        <v>211.43</v>
      </c>
    </row>
    <row r="459" spans="1:9" x14ac:dyDescent="0.3">
      <c r="A459">
        <v>458</v>
      </c>
      <c r="B459" s="10">
        <v>45221</v>
      </c>
      <c r="C459">
        <v>6</v>
      </c>
      <c r="D459">
        <v>83</v>
      </c>
      <c r="E459">
        <v>46</v>
      </c>
      <c r="F459">
        <v>1</v>
      </c>
      <c r="G459">
        <v>157</v>
      </c>
      <c r="H459">
        <v>0</v>
      </c>
      <c r="I459">
        <v>157</v>
      </c>
    </row>
    <row r="460" spans="1:9" x14ac:dyDescent="0.3">
      <c r="A460">
        <v>459</v>
      </c>
      <c r="B460" s="10">
        <v>45580</v>
      </c>
      <c r="C460">
        <v>6</v>
      </c>
      <c r="D460">
        <v>21</v>
      </c>
      <c r="E460">
        <v>46</v>
      </c>
      <c r="F460">
        <v>1</v>
      </c>
      <c r="G460">
        <v>157</v>
      </c>
      <c r="H460">
        <v>0</v>
      </c>
      <c r="I460">
        <v>157</v>
      </c>
    </row>
    <row r="461" spans="1:9" x14ac:dyDescent="0.3">
      <c r="A461">
        <v>460</v>
      </c>
      <c r="B461" s="10">
        <v>45743</v>
      </c>
      <c r="C461">
        <v>3</v>
      </c>
      <c r="D461">
        <v>97</v>
      </c>
      <c r="E461">
        <v>45</v>
      </c>
      <c r="F461">
        <v>1</v>
      </c>
      <c r="G461">
        <v>70.989999999999995</v>
      </c>
      <c r="H461">
        <v>0</v>
      </c>
      <c r="I461">
        <v>70.989999999999995</v>
      </c>
    </row>
    <row r="462" spans="1:9" x14ac:dyDescent="0.3">
      <c r="A462">
        <v>461</v>
      </c>
      <c r="B462" s="10">
        <v>45685</v>
      </c>
      <c r="C462">
        <v>2</v>
      </c>
      <c r="D462">
        <v>129</v>
      </c>
      <c r="E462">
        <v>98</v>
      </c>
      <c r="F462">
        <v>2</v>
      </c>
      <c r="G462">
        <v>136.97</v>
      </c>
      <c r="H462">
        <v>0.1</v>
      </c>
      <c r="I462">
        <v>246.55</v>
      </c>
    </row>
    <row r="463" spans="1:9" x14ac:dyDescent="0.3">
      <c r="A463">
        <v>462</v>
      </c>
      <c r="B463" s="10">
        <v>45580</v>
      </c>
      <c r="C463">
        <v>4</v>
      </c>
      <c r="D463">
        <v>182</v>
      </c>
      <c r="E463">
        <v>23</v>
      </c>
      <c r="F463">
        <v>1</v>
      </c>
      <c r="G463">
        <v>79.94</v>
      </c>
      <c r="H463">
        <v>0</v>
      </c>
      <c r="I463">
        <v>79.94</v>
      </c>
    </row>
    <row r="464" spans="1:9" x14ac:dyDescent="0.3">
      <c r="A464">
        <v>463</v>
      </c>
      <c r="B464" s="10">
        <v>45882</v>
      </c>
      <c r="C464">
        <v>2</v>
      </c>
      <c r="D464">
        <v>65</v>
      </c>
      <c r="E464">
        <v>83</v>
      </c>
      <c r="F464">
        <v>1</v>
      </c>
      <c r="G464">
        <v>109.16</v>
      </c>
      <c r="H464">
        <v>0</v>
      </c>
      <c r="I464">
        <v>109.16</v>
      </c>
    </row>
    <row r="465" spans="1:9" x14ac:dyDescent="0.3">
      <c r="A465">
        <v>464</v>
      </c>
      <c r="B465" s="10">
        <v>45474</v>
      </c>
      <c r="C465">
        <v>8</v>
      </c>
      <c r="D465">
        <v>103</v>
      </c>
      <c r="E465">
        <v>48</v>
      </c>
      <c r="F465">
        <v>1</v>
      </c>
      <c r="G465">
        <v>146.85</v>
      </c>
      <c r="H465">
        <v>0.1</v>
      </c>
      <c r="I465">
        <v>132.16</v>
      </c>
    </row>
    <row r="466" spans="1:9" x14ac:dyDescent="0.3">
      <c r="A466">
        <v>465</v>
      </c>
      <c r="B466" s="10">
        <v>45434</v>
      </c>
      <c r="C466">
        <v>3</v>
      </c>
      <c r="D466">
        <v>11</v>
      </c>
      <c r="E466">
        <v>99</v>
      </c>
      <c r="F466">
        <v>1</v>
      </c>
      <c r="G466">
        <v>15.44</v>
      </c>
      <c r="H466">
        <v>0</v>
      </c>
      <c r="I466">
        <v>15.44</v>
      </c>
    </row>
    <row r="467" spans="1:9" x14ac:dyDescent="0.3">
      <c r="A467">
        <v>466</v>
      </c>
      <c r="B467" s="10">
        <v>45125</v>
      </c>
      <c r="C467">
        <v>1</v>
      </c>
      <c r="D467">
        <v>155</v>
      </c>
      <c r="E467">
        <v>79</v>
      </c>
      <c r="F467">
        <v>1</v>
      </c>
      <c r="G467">
        <v>117.59</v>
      </c>
      <c r="H467">
        <v>0.05</v>
      </c>
      <c r="I467">
        <v>111.71</v>
      </c>
    </row>
    <row r="468" spans="1:9" x14ac:dyDescent="0.3">
      <c r="A468">
        <v>467</v>
      </c>
      <c r="B468" s="10">
        <v>45521</v>
      </c>
      <c r="C468">
        <v>7</v>
      </c>
      <c r="D468">
        <v>1</v>
      </c>
      <c r="E468">
        <v>85</v>
      </c>
      <c r="F468">
        <v>1</v>
      </c>
      <c r="G468">
        <v>83.36</v>
      </c>
      <c r="H468">
        <v>0</v>
      </c>
      <c r="I468">
        <v>83.36</v>
      </c>
    </row>
    <row r="469" spans="1:9" x14ac:dyDescent="0.3">
      <c r="A469">
        <v>468</v>
      </c>
      <c r="B469" s="10">
        <v>45783</v>
      </c>
      <c r="C469">
        <v>4</v>
      </c>
      <c r="D469">
        <v>182</v>
      </c>
      <c r="E469">
        <v>46</v>
      </c>
      <c r="F469">
        <v>1</v>
      </c>
      <c r="G469">
        <v>157</v>
      </c>
      <c r="H469">
        <v>0</v>
      </c>
      <c r="I469">
        <v>157</v>
      </c>
    </row>
    <row r="470" spans="1:9" x14ac:dyDescent="0.3">
      <c r="A470">
        <v>469</v>
      </c>
      <c r="B470" s="10">
        <v>45254</v>
      </c>
      <c r="C470">
        <v>6</v>
      </c>
      <c r="D470">
        <v>134</v>
      </c>
      <c r="E470">
        <v>63</v>
      </c>
      <c r="F470">
        <v>1</v>
      </c>
      <c r="G470">
        <v>239.9</v>
      </c>
      <c r="H470">
        <v>0</v>
      </c>
      <c r="I470">
        <v>239.9</v>
      </c>
    </row>
    <row r="471" spans="1:9" x14ac:dyDescent="0.3">
      <c r="A471">
        <v>470</v>
      </c>
      <c r="B471" s="10">
        <v>45567</v>
      </c>
      <c r="C471">
        <v>4</v>
      </c>
      <c r="D471">
        <v>20</v>
      </c>
      <c r="E471">
        <v>21</v>
      </c>
      <c r="F471">
        <v>2</v>
      </c>
      <c r="G471">
        <v>187.71</v>
      </c>
      <c r="H471">
        <v>0</v>
      </c>
      <c r="I471">
        <v>375.42</v>
      </c>
    </row>
    <row r="472" spans="1:9" x14ac:dyDescent="0.3">
      <c r="A472">
        <v>471</v>
      </c>
      <c r="B472" s="10">
        <v>45253</v>
      </c>
      <c r="C472">
        <v>8</v>
      </c>
      <c r="D472">
        <v>92</v>
      </c>
      <c r="E472">
        <v>48</v>
      </c>
      <c r="F472">
        <v>1</v>
      </c>
      <c r="G472">
        <v>146.85</v>
      </c>
      <c r="H472">
        <v>0.05</v>
      </c>
      <c r="I472">
        <v>139.51</v>
      </c>
    </row>
    <row r="473" spans="1:9" x14ac:dyDescent="0.3">
      <c r="A473">
        <v>472</v>
      </c>
      <c r="B473" s="10">
        <v>45883</v>
      </c>
      <c r="C473">
        <v>8</v>
      </c>
      <c r="D473">
        <v>25</v>
      </c>
      <c r="E473">
        <v>16</v>
      </c>
      <c r="F473">
        <v>2</v>
      </c>
      <c r="G473">
        <v>62.77</v>
      </c>
      <c r="H473">
        <v>0.05</v>
      </c>
      <c r="I473">
        <v>119.26</v>
      </c>
    </row>
    <row r="474" spans="1:9" x14ac:dyDescent="0.3">
      <c r="A474">
        <v>473</v>
      </c>
      <c r="B474" s="10">
        <v>45558</v>
      </c>
      <c r="C474">
        <v>8</v>
      </c>
      <c r="D474">
        <v>96</v>
      </c>
      <c r="E474">
        <v>65</v>
      </c>
      <c r="F474">
        <v>1</v>
      </c>
      <c r="G474">
        <v>71.14</v>
      </c>
      <c r="H474">
        <v>0</v>
      </c>
      <c r="I474">
        <v>71.14</v>
      </c>
    </row>
    <row r="475" spans="1:9" x14ac:dyDescent="0.3">
      <c r="A475">
        <v>474</v>
      </c>
      <c r="B475" s="10">
        <v>44974</v>
      </c>
      <c r="C475">
        <v>2</v>
      </c>
      <c r="D475">
        <v>157</v>
      </c>
      <c r="E475">
        <v>23</v>
      </c>
      <c r="F475">
        <v>1</v>
      </c>
      <c r="G475">
        <v>79.94</v>
      </c>
      <c r="H475">
        <v>0.15</v>
      </c>
      <c r="I475">
        <v>67.95</v>
      </c>
    </row>
    <row r="476" spans="1:9" x14ac:dyDescent="0.3">
      <c r="A476">
        <v>475</v>
      </c>
      <c r="B476" s="10">
        <v>45732</v>
      </c>
      <c r="C476">
        <v>8</v>
      </c>
      <c r="D476">
        <v>195</v>
      </c>
      <c r="E476">
        <v>45</v>
      </c>
      <c r="F476">
        <v>1</v>
      </c>
      <c r="G476">
        <v>70.989999999999995</v>
      </c>
      <c r="H476">
        <v>0.1</v>
      </c>
      <c r="I476">
        <v>63.89</v>
      </c>
    </row>
    <row r="477" spans="1:9" x14ac:dyDescent="0.3">
      <c r="A477">
        <v>476</v>
      </c>
      <c r="B477" s="10">
        <v>45420</v>
      </c>
      <c r="C477">
        <v>4</v>
      </c>
      <c r="D477">
        <v>208</v>
      </c>
      <c r="E477">
        <v>46</v>
      </c>
      <c r="F477">
        <v>1</v>
      </c>
      <c r="G477">
        <v>157</v>
      </c>
      <c r="H477">
        <v>0</v>
      </c>
      <c r="I477">
        <v>157</v>
      </c>
    </row>
    <row r="478" spans="1:9" x14ac:dyDescent="0.3">
      <c r="A478">
        <v>477</v>
      </c>
      <c r="B478" s="10">
        <v>45649</v>
      </c>
      <c r="C478">
        <v>1</v>
      </c>
      <c r="D478">
        <v>78</v>
      </c>
      <c r="E478">
        <v>30</v>
      </c>
      <c r="F478">
        <v>1</v>
      </c>
      <c r="G478">
        <v>19.399999999999999</v>
      </c>
      <c r="H478">
        <v>0</v>
      </c>
      <c r="I478">
        <v>19.399999999999999</v>
      </c>
    </row>
    <row r="479" spans="1:9" x14ac:dyDescent="0.3">
      <c r="A479">
        <v>478</v>
      </c>
      <c r="B479" s="10">
        <v>45030</v>
      </c>
      <c r="C479">
        <v>5</v>
      </c>
      <c r="D479">
        <v>175</v>
      </c>
      <c r="E479">
        <v>39</v>
      </c>
      <c r="F479">
        <v>1</v>
      </c>
      <c r="G479">
        <v>181.34</v>
      </c>
      <c r="H479">
        <v>0</v>
      </c>
      <c r="I479">
        <v>181.34</v>
      </c>
    </row>
    <row r="480" spans="1:9" x14ac:dyDescent="0.3">
      <c r="A480">
        <v>479</v>
      </c>
      <c r="B480" s="10">
        <v>45940</v>
      </c>
      <c r="C480">
        <v>8</v>
      </c>
      <c r="D480">
        <v>76</v>
      </c>
      <c r="E480">
        <v>60</v>
      </c>
      <c r="F480">
        <v>3</v>
      </c>
      <c r="G480">
        <v>101.29</v>
      </c>
      <c r="H480">
        <v>0.2</v>
      </c>
      <c r="I480">
        <v>243.1</v>
      </c>
    </row>
    <row r="481" spans="1:9" x14ac:dyDescent="0.3">
      <c r="A481">
        <v>480</v>
      </c>
      <c r="B481" s="10">
        <v>45512</v>
      </c>
      <c r="C481">
        <v>1</v>
      </c>
      <c r="D481">
        <v>138</v>
      </c>
      <c r="E481">
        <v>88</v>
      </c>
      <c r="F481">
        <v>1</v>
      </c>
      <c r="G481">
        <v>181.05</v>
      </c>
      <c r="H481">
        <v>0</v>
      </c>
      <c r="I481">
        <v>181.05</v>
      </c>
    </row>
    <row r="482" spans="1:9" x14ac:dyDescent="0.3">
      <c r="A482">
        <v>481</v>
      </c>
      <c r="B482" s="10">
        <v>45147</v>
      </c>
      <c r="C482">
        <v>7</v>
      </c>
      <c r="D482">
        <v>152</v>
      </c>
      <c r="E482">
        <v>27</v>
      </c>
      <c r="F482">
        <v>2</v>
      </c>
      <c r="G482">
        <v>66.790000000000006</v>
      </c>
      <c r="H482">
        <v>0.05</v>
      </c>
      <c r="I482">
        <v>126.9</v>
      </c>
    </row>
    <row r="483" spans="1:9" x14ac:dyDescent="0.3">
      <c r="A483">
        <v>482</v>
      </c>
      <c r="B483" s="10">
        <v>45201</v>
      </c>
      <c r="C483">
        <v>5</v>
      </c>
      <c r="D483">
        <v>97</v>
      </c>
      <c r="E483">
        <v>42</v>
      </c>
      <c r="F483">
        <v>1</v>
      </c>
      <c r="G483">
        <v>127.97</v>
      </c>
      <c r="H483">
        <v>0</v>
      </c>
      <c r="I483">
        <v>127.97</v>
      </c>
    </row>
    <row r="484" spans="1:9" x14ac:dyDescent="0.3">
      <c r="A484">
        <v>483</v>
      </c>
      <c r="B484" s="10">
        <v>45676</v>
      </c>
      <c r="C484">
        <v>7</v>
      </c>
      <c r="D484">
        <v>186</v>
      </c>
      <c r="E484">
        <v>19</v>
      </c>
      <c r="F484">
        <v>1</v>
      </c>
      <c r="G484">
        <v>138.31</v>
      </c>
      <c r="H484">
        <v>0</v>
      </c>
      <c r="I484">
        <v>138.31</v>
      </c>
    </row>
    <row r="485" spans="1:9" x14ac:dyDescent="0.3">
      <c r="A485">
        <v>484</v>
      </c>
      <c r="B485" s="10">
        <v>45676</v>
      </c>
      <c r="C485">
        <v>1</v>
      </c>
      <c r="D485">
        <v>175</v>
      </c>
      <c r="E485">
        <v>80</v>
      </c>
      <c r="F485">
        <v>1</v>
      </c>
      <c r="G485">
        <v>33.380000000000003</v>
      </c>
      <c r="H485">
        <v>0.05</v>
      </c>
      <c r="I485">
        <v>31.71</v>
      </c>
    </row>
    <row r="486" spans="1:9" x14ac:dyDescent="0.3">
      <c r="A486">
        <v>485</v>
      </c>
      <c r="B486" s="10">
        <v>45747</v>
      </c>
      <c r="C486">
        <v>1</v>
      </c>
      <c r="D486">
        <v>172</v>
      </c>
      <c r="E486">
        <v>21</v>
      </c>
      <c r="F486">
        <v>1</v>
      </c>
      <c r="G486">
        <v>187.71</v>
      </c>
      <c r="H486">
        <v>0</v>
      </c>
      <c r="I486">
        <v>187.71</v>
      </c>
    </row>
    <row r="487" spans="1:9" x14ac:dyDescent="0.3">
      <c r="A487">
        <v>486</v>
      </c>
      <c r="B487" s="10">
        <v>45325</v>
      </c>
      <c r="C487">
        <v>6</v>
      </c>
      <c r="D487">
        <v>83</v>
      </c>
      <c r="E487">
        <v>39</v>
      </c>
      <c r="F487">
        <v>1</v>
      </c>
      <c r="G487">
        <v>181.34</v>
      </c>
      <c r="H487">
        <v>0.15</v>
      </c>
      <c r="I487">
        <v>154.13999999999999</v>
      </c>
    </row>
    <row r="488" spans="1:9" x14ac:dyDescent="0.3">
      <c r="A488">
        <v>487</v>
      </c>
      <c r="B488" s="10">
        <v>45518</v>
      </c>
      <c r="C488">
        <v>2</v>
      </c>
      <c r="D488">
        <v>35</v>
      </c>
      <c r="E488">
        <v>57</v>
      </c>
      <c r="F488">
        <v>1</v>
      </c>
      <c r="G488">
        <v>32.28</v>
      </c>
      <c r="H488">
        <v>0</v>
      </c>
      <c r="I488">
        <v>32.28</v>
      </c>
    </row>
    <row r="489" spans="1:9" x14ac:dyDescent="0.3">
      <c r="A489">
        <v>488</v>
      </c>
      <c r="B489" s="10">
        <v>45718</v>
      </c>
      <c r="C489">
        <v>8</v>
      </c>
      <c r="D489">
        <v>188</v>
      </c>
      <c r="E489">
        <v>35</v>
      </c>
      <c r="F489">
        <v>1</v>
      </c>
      <c r="G489">
        <v>303.48</v>
      </c>
      <c r="H489">
        <v>0</v>
      </c>
      <c r="I489">
        <v>303.48</v>
      </c>
    </row>
    <row r="490" spans="1:9" x14ac:dyDescent="0.3">
      <c r="A490">
        <v>489</v>
      </c>
      <c r="B490" s="10">
        <v>45499</v>
      </c>
      <c r="C490">
        <v>2</v>
      </c>
      <c r="D490">
        <v>133</v>
      </c>
      <c r="E490">
        <v>17</v>
      </c>
      <c r="F490">
        <v>1</v>
      </c>
      <c r="G490">
        <v>97.14</v>
      </c>
      <c r="H490">
        <v>0</v>
      </c>
      <c r="I490">
        <v>97.14</v>
      </c>
    </row>
    <row r="491" spans="1:9" x14ac:dyDescent="0.3">
      <c r="A491">
        <v>490</v>
      </c>
      <c r="B491" s="10">
        <v>45190</v>
      </c>
      <c r="C491">
        <v>2</v>
      </c>
      <c r="D491">
        <v>26</v>
      </c>
      <c r="E491">
        <v>61</v>
      </c>
      <c r="F491">
        <v>1</v>
      </c>
      <c r="G491">
        <v>106.64</v>
      </c>
      <c r="H491">
        <v>0</v>
      </c>
      <c r="I491">
        <v>106.64</v>
      </c>
    </row>
    <row r="492" spans="1:9" x14ac:dyDescent="0.3">
      <c r="A492">
        <v>491</v>
      </c>
      <c r="B492" s="10">
        <v>45733</v>
      </c>
      <c r="C492">
        <v>6</v>
      </c>
      <c r="D492">
        <v>5</v>
      </c>
      <c r="E492">
        <v>42</v>
      </c>
      <c r="F492">
        <v>2</v>
      </c>
      <c r="G492">
        <v>127.97</v>
      </c>
      <c r="H492">
        <v>0</v>
      </c>
      <c r="I492">
        <v>255.94</v>
      </c>
    </row>
    <row r="493" spans="1:9" x14ac:dyDescent="0.3">
      <c r="A493">
        <v>492</v>
      </c>
      <c r="B493" s="10">
        <v>45621</v>
      </c>
      <c r="C493">
        <v>6</v>
      </c>
      <c r="D493">
        <v>104</v>
      </c>
      <c r="E493">
        <v>4</v>
      </c>
      <c r="F493">
        <v>2</v>
      </c>
      <c r="G493">
        <v>168</v>
      </c>
      <c r="H493">
        <v>0</v>
      </c>
      <c r="I493">
        <v>336</v>
      </c>
    </row>
    <row r="494" spans="1:9" x14ac:dyDescent="0.3">
      <c r="A494">
        <v>493</v>
      </c>
      <c r="B494" s="10">
        <v>45222</v>
      </c>
      <c r="C494">
        <v>4</v>
      </c>
      <c r="D494">
        <v>167</v>
      </c>
      <c r="E494">
        <v>94</v>
      </c>
      <c r="F494">
        <v>1</v>
      </c>
      <c r="G494">
        <v>163.66</v>
      </c>
      <c r="H494">
        <v>0</v>
      </c>
      <c r="I494">
        <v>163.66</v>
      </c>
    </row>
    <row r="495" spans="1:9" x14ac:dyDescent="0.3">
      <c r="A495">
        <v>494</v>
      </c>
      <c r="B495" s="10">
        <v>45969</v>
      </c>
      <c r="C495">
        <v>7</v>
      </c>
      <c r="D495">
        <v>134</v>
      </c>
      <c r="E495">
        <v>55</v>
      </c>
      <c r="F495">
        <v>1</v>
      </c>
      <c r="G495">
        <v>193.33</v>
      </c>
      <c r="H495">
        <v>0</v>
      </c>
      <c r="I495">
        <v>193.33</v>
      </c>
    </row>
    <row r="496" spans="1:9" x14ac:dyDescent="0.3">
      <c r="A496">
        <v>495</v>
      </c>
      <c r="B496" s="10">
        <v>45951</v>
      </c>
      <c r="C496">
        <v>1</v>
      </c>
      <c r="D496">
        <v>188</v>
      </c>
      <c r="E496">
        <v>83</v>
      </c>
      <c r="F496">
        <v>1</v>
      </c>
      <c r="G496">
        <v>109.16</v>
      </c>
      <c r="H496">
        <v>0.05</v>
      </c>
      <c r="I496">
        <v>103.7</v>
      </c>
    </row>
    <row r="497" spans="1:9" x14ac:dyDescent="0.3">
      <c r="A497">
        <v>496</v>
      </c>
      <c r="B497" s="10">
        <v>45019</v>
      </c>
      <c r="C497">
        <v>1</v>
      </c>
      <c r="D497">
        <v>23</v>
      </c>
      <c r="E497">
        <v>34</v>
      </c>
      <c r="F497">
        <v>3</v>
      </c>
      <c r="G497">
        <v>247.04</v>
      </c>
      <c r="H497">
        <v>0</v>
      </c>
      <c r="I497">
        <v>741.12</v>
      </c>
    </row>
    <row r="498" spans="1:9" x14ac:dyDescent="0.3">
      <c r="A498">
        <v>497</v>
      </c>
      <c r="B498" s="10">
        <v>45207</v>
      </c>
      <c r="C498">
        <v>6</v>
      </c>
      <c r="D498">
        <v>135</v>
      </c>
      <c r="E498">
        <v>68</v>
      </c>
      <c r="F498">
        <v>1</v>
      </c>
      <c r="G498">
        <v>198.56</v>
      </c>
      <c r="H498">
        <v>0.05</v>
      </c>
      <c r="I498">
        <v>188.63</v>
      </c>
    </row>
    <row r="499" spans="1:9" x14ac:dyDescent="0.3">
      <c r="A499">
        <v>498</v>
      </c>
      <c r="B499" s="10">
        <v>45897</v>
      </c>
      <c r="C499">
        <v>8</v>
      </c>
      <c r="D499">
        <v>68</v>
      </c>
      <c r="E499">
        <v>26</v>
      </c>
      <c r="F499">
        <v>1</v>
      </c>
      <c r="G499">
        <v>211.87</v>
      </c>
      <c r="H499">
        <v>0.1</v>
      </c>
      <c r="I499">
        <v>190.68</v>
      </c>
    </row>
    <row r="500" spans="1:9" x14ac:dyDescent="0.3">
      <c r="A500">
        <v>499</v>
      </c>
      <c r="B500" s="10">
        <v>45232</v>
      </c>
      <c r="C500">
        <v>3</v>
      </c>
      <c r="D500">
        <v>10</v>
      </c>
      <c r="E500">
        <v>4</v>
      </c>
      <c r="F500">
        <v>1</v>
      </c>
      <c r="G500">
        <v>168</v>
      </c>
      <c r="H500">
        <v>0</v>
      </c>
      <c r="I500">
        <v>168</v>
      </c>
    </row>
    <row r="501" spans="1:9" x14ac:dyDescent="0.3">
      <c r="A501">
        <v>500</v>
      </c>
      <c r="B501" s="10">
        <v>45598</v>
      </c>
      <c r="C501">
        <v>6</v>
      </c>
      <c r="D501">
        <v>128</v>
      </c>
      <c r="E501">
        <v>68</v>
      </c>
      <c r="F501">
        <v>1</v>
      </c>
      <c r="G501">
        <v>198.56</v>
      </c>
      <c r="H501">
        <v>0.05</v>
      </c>
      <c r="I501">
        <v>188.63</v>
      </c>
    </row>
    <row r="502" spans="1:9" x14ac:dyDescent="0.3">
      <c r="A502">
        <v>501</v>
      </c>
      <c r="B502" s="10">
        <v>45259</v>
      </c>
      <c r="C502">
        <v>7</v>
      </c>
      <c r="D502">
        <v>78</v>
      </c>
      <c r="E502">
        <v>15</v>
      </c>
      <c r="F502">
        <v>1</v>
      </c>
      <c r="G502">
        <v>58.26</v>
      </c>
      <c r="H502">
        <v>0</v>
      </c>
      <c r="I502">
        <v>58.26</v>
      </c>
    </row>
    <row r="503" spans="1:9" x14ac:dyDescent="0.3">
      <c r="A503">
        <v>502</v>
      </c>
      <c r="B503" s="10">
        <v>45539</v>
      </c>
      <c r="C503">
        <v>6</v>
      </c>
      <c r="D503">
        <v>15</v>
      </c>
      <c r="E503">
        <v>26</v>
      </c>
      <c r="F503">
        <v>1</v>
      </c>
      <c r="G503">
        <v>211.87</v>
      </c>
      <c r="H503">
        <v>0.2</v>
      </c>
      <c r="I503">
        <v>169.5</v>
      </c>
    </row>
    <row r="504" spans="1:9" x14ac:dyDescent="0.3">
      <c r="A504">
        <v>503</v>
      </c>
      <c r="B504" s="10">
        <v>45965</v>
      </c>
      <c r="C504">
        <v>8</v>
      </c>
      <c r="D504">
        <v>71</v>
      </c>
      <c r="E504">
        <v>89</v>
      </c>
      <c r="F504">
        <v>1</v>
      </c>
      <c r="G504">
        <v>247.43</v>
      </c>
      <c r="H504">
        <v>0</v>
      </c>
      <c r="I504">
        <v>247.43</v>
      </c>
    </row>
    <row r="505" spans="1:9" x14ac:dyDescent="0.3">
      <c r="A505">
        <v>504</v>
      </c>
      <c r="B505" s="10">
        <v>45540</v>
      </c>
      <c r="C505">
        <v>8</v>
      </c>
      <c r="D505">
        <v>195</v>
      </c>
      <c r="E505">
        <v>6</v>
      </c>
      <c r="F505">
        <v>1</v>
      </c>
      <c r="G505">
        <v>44.63</v>
      </c>
      <c r="H505">
        <v>0</v>
      </c>
      <c r="I505">
        <v>44.63</v>
      </c>
    </row>
    <row r="506" spans="1:9" x14ac:dyDescent="0.3">
      <c r="A506">
        <v>505</v>
      </c>
      <c r="B506" s="10">
        <v>44961</v>
      </c>
      <c r="C506">
        <v>6</v>
      </c>
      <c r="D506">
        <v>112</v>
      </c>
      <c r="E506">
        <v>15</v>
      </c>
      <c r="F506">
        <v>1</v>
      </c>
      <c r="G506">
        <v>58.26</v>
      </c>
      <c r="H506">
        <v>0</v>
      </c>
      <c r="I506">
        <v>58.26</v>
      </c>
    </row>
    <row r="507" spans="1:9" x14ac:dyDescent="0.3">
      <c r="A507">
        <v>506</v>
      </c>
      <c r="B507" s="10">
        <v>45605</v>
      </c>
      <c r="C507">
        <v>2</v>
      </c>
      <c r="D507">
        <v>23</v>
      </c>
      <c r="E507">
        <v>22</v>
      </c>
      <c r="F507">
        <v>2</v>
      </c>
      <c r="G507">
        <v>49.91</v>
      </c>
      <c r="H507">
        <v>0</v>
      </c>
      <c r="I507">
        <v>99.82</v>
      </c>
    </row>
    <row r="508" spans="1:9" x14ac:dyDescent="0.3">
      <c r="A508">
        <v>507</v>
      </c>
      <c r="B508" s="10">
        <v>45780</v>
      </c>
      <c r="C508">
        <v>5</v>
      </c>
      <c r="D508">
        <v>12</v>
      </c>
      <c r="E508">
        <v>20</v>
      </c>
      <c r="F508">
        <v>1</v>
      </c>
      <c r="G508">
        <v>85.89</v>
      </c>
      <c r="H508">
        <v>0.05</v>
      </c>
      <c r="I508">
        <v>81.599999999999994</v>
      </c>
    </row>
    <row r="509" spans="1:9" x14ac:dyDescent="0.3">
      <c r="A509">
        <v>508</v>
      </c>
      <c r="B509" s="10">
        <v>44981</v>
      </c>
      <c r="C509">
        <v>8</v>
      </c>
      <c r="D509">
        <v>105</v>
      </c>
      <c r="E509">
        <v>16</v>
      </c>
      <c r="F509">
        <v>1</v>
      </c>
      <c r="G509">
        <v>62.77</v>
      </c>
      <c r="H509">
        <v>0.1</v>
      </c>
      <c r="I509">
        <v>56.49</v>
      </c>
    </row>
    <row r="510" spans="1:9" x14ac:dyDescent="0.3">
      <c r="A510">
        <v>509</v>
      </c>
      <c r="B510" s="10">
        <v>45470</v>
      </c>
      <c r="C510">
        <v>4</v>
      </c>
      <c r="D510">
        <v>79</v>
      </c>
      <c r="E510">
        <v>72</v>
      </c>
      <c r="F510">
        <v>1</v>
      </c>
      <c r="G510">
        <v>50.75</v>
      </c>
      <c r="H510">
        <v>0.15</v>
      </c>
      <c r="I510">
        <v>43.14</v>
      </c>
    </row>
    <row r="511" spans="1:9" x14ac:dyDescent="0.3">
      <c r="A511">
        <v>510</v>
      </c>
      <c r="B511" s="10">
        <v>45032</v>
      </c>
      <c r="C511">
        <v>8</v>
      </c>
      <c r="D511">
        <v>61</v>
      </c>
      <c r="E511">
        <v>4</v>
      </c>
      <c r="F511">
        <v>1</v>
      </c>
      <c r="G511">
        <v>168</v>
      </c>
      <c r="H511">
        <v>0.05</v>
      </c>
      <c r="I511">
        <v>159.6</v>
      </c>
    </row>
    <row r="512" spans="1:9" x14ac:dyDescent="0.3">
      <c r="A512">
        <v>511</v>
      </c>
      <c r="B512" s="10">
        <v>45276</v>
      </c>
      <c r="C512">
        <v>7</v>
      </c>
      <c r="D512">
        <v>9</v>
      </c>
      <c r="E512">
        <v>84</v>
      </c>
      <c r="F512">
        <v>2</v>
      </c>
      <c r="G512">
        <v>26.78</v>
      </c>
      <c r="H512">
        <v>0.15</v>
      </c>
      <c r="I512">
        <v>45.53</v>
      </c>
    </row>
    <row r="513" spans="1:9" x14ac:dyDescent="0.3">
      <c r="A513">
        <v>512</v>
      </c>
      <c r="B513" s="10">
        <v>45229</v>
      </c>
      <c r="C513">
        <v>4</v>
      </c>
      <c r="D513">
        <v>187</v>
      </c>
      <c r="E513">
        <v>75</v>
      </c>
      <c r="F513">
        <v>1</v>
      </c>
      <c r="G513">
        <v>205.69</v>
      </c>
      <c r="H513">
        <v>0</v>
      </c>
      <c r="I513">
        <v>205.69</v>
      </c>
    </row>
    <row r="514" spans="1:9" x14ac:dyDescent="0.3">
      <c r="A514">
        <v>513</v>
      </c>
      <c r="B514" s="10">
        <v>44991</v>
      </c>
      <c r="C514">
        <v>2</v>
      </c>
      <c r="D514">
        <v>144</v>
      </c>
      <c r="E514">
        <v>89</v>
      </c>
      <c r="F514">
        <v>2</v>
      </c>
      <c r="G514">
        <v>247.43</v>
      </c>
      <c r="H514">
        <v>0</v>
      </c>
      <c r="I514">
        <v>494.86</v>
      </c>
    </row>
    <row r="515" spans="1:9" x14ac:dyDescent="0.3">
      <c r="A515">
        <v>514</v>
      </c>
      <c r="B515" s="10">
        <v>45317</v>
      </c>
      <c r="C515">
        <v>1</v>
      </c>
      <c r="D515">
        <v>100</v>
      </c>
      <c r="E515">
        <v>51</v>
      </c>
      <c r="F515">
        <v>1</v>
      </c>
      <c r="G515">
        <v>302.75</v>
      </c>
      <c r="H515">
        <v>0</v>
      </c>
      <c r="I515">
        <v>302.75</v>
      </c>
    </row>
    <row r="516" spans="1:9" x14ac:dyDescent="0.3">
      <c r="A516">
        <v>515</v>
      </c>
      <c r="B516" s="10">
        <v>45830</v>
      </c>
      <c r="C516">
        <v>6</v>
      </c>
      <c r="D516">
        <v>71</v>
      </c>
      <c r="E516">
        <v>48</v>
      </c>
      <c r="F516">
        <v>1</v>
      </c>
      <c r="G516">
        <v>146.85</v>
      </c>
      <c r="H516">
        <v>0</v>
      </c>
      <c r="I516">
        <v>146.85</v>
      </c>
    </row>
    <row r="517" spans="1:9" x14ac:dyDescent="0.3">
      <c r="A517">
        <v>516</v>
      </c>
      <c r="B517" s="10">
        <v>45784</v>
      </c>
      <c r="C517">
        <v>3</v>
      </c>
      <c r="D517">
        <v>23</v>
      </c>
      <c r="E517">
        <v>10</v>
      </c>
      <c r="F517">
        <v>1</v>
      </c>
      <c r="G517">
        <v>168.82</v>
      </c>
      <c r="H517">
        <v>0</v>
      </c>
      <c r="I517">
        <v>168.82</v>
      </c>
    </row>
    <row r="518" spans="1:9" x14ac:dyDescent="0.3">
      <c r="A518">
        <v>517</v>
      </c>
      <c r="B518" s="10">
        <v>45772</v>
      </c>
      <c r="C518">
        <v>4</v>
      </c>
      <c r="D518">
        <v>100</v>
      </c>
      <c r="E518">
        <v>18</v>
      </c>
      <c r="F518">
        <v>1</v>
      </c>
      <c r="G518">
        <v>132.02000000000001</v>
      </c>
      <c r="H518">
        <v>0</v>
      </c>
      <c r="I518">
        <v>132.02000000000001</v>
      </c>
    </row>
    <row r="519" spans="1:9" x14ac:dyDescent="0.3">
      <c r="A519">
        <v>518</v>
      </c>
      <c r="B519" s="10">
        <v>45767</v>
      </c>
      <c r="C519">
        <v>8</v>
      </c>
      <c r="D519">
        <v>178</v>
      </c>
      <c r="E519">
        <v>60</v>
      </c>
      <c r="F519">
        <v>1</v>
      </c>
      <c r="G519">
        <v>101.29</v>
      </c>
      <c r="H519">
        <v>0</v>
      </c>
      <c r="I519">
        <v>101.29</v>
      </c>
    </row>
    <row r="520" spans="1:9" x14ac:dyDescent="0.3">
      <c r="A520">
        <v>519</v>
      </c>
      <c r="B520" s="10">
        <v>45054</v>
      </c>
      <c r="C520">
        <v>3</v>
      </c>
      <c r="D520">
        <v>164</v>
      </c>
      <c r="E520">
        <v>96</v>
      </c>
      <c r="F520">
        <v>3</v>
      </c>
      <c r="G520">
        <v>132.69</v>
      </c>
      <c r="H520">
        <v>0.05</v>
      </c>
      <c r="I520">
        <v>378.17</v>
      </c>
    </row>
    <row r="521" spans="1:9" x14ac:dyDescent="0.3">
      <c r="A521">
        <v>520</v>
      </c>
      <c r="B521" s="10">
        <v>45351</v>
      </c>
      <c r="C521">
        <v>6</v>
      </c>
      <c r="D521">
        <v>42</v>
      </c>
      <c r="E521">
        <v>87</v>
      </c>
      <c r="F521">
        <v>2</v>
      </c>
      <c r="G521">
        <v>223.85</v>
      </c>
      <c r="H521">
        <v>0.05</v>
      </c>
      <c r="I521">
        <v>425.31</v>
      </c>
    </row>
    <row r="522" spans="1:9" x14ac:dyDescent="0.3">
      <c r="A522">
        <v>521</v>
      </c>
      <c r="B522" s="10">
        <v>45906</v>
      </c>
      <c r="C522">
        <v>7</v>
      </c>
      <c r="D522">
        <v>160</v>
      </c>
      <c r="E522">
        <v>39</v>
      </c>
      <c r="F522">
        <v>2</v>
      </c>
      <c r="G522">
        <v>181.34</v>
      </c>
      <c r="H522">
        <v>0.05</v>
      </c>
      <c r="I522">
        <v>344.55</v>
      </c>
    </row>
    <row r="523" spans="1:9" x14ac:dyDescent="0.3">
      <c r="A523">
        <v>522</v>
      </c>
      <c r="B523" s="10">
        <v>45569</v>
      </c>
      <c r="C523">
        <v>3</v>
      </c>
      <c r="D523">
        <v>157</v>
      </c>
      <c r="E523">
        <v>9</v>
      </c>
      <c r="F523">
        <v>1</v>
      </c>
      <c r="G523">
        <v>152.78</v>
      </c>
      <c r="H523">
        <v>0.2</v>
      </c>
      <c r="I523">
        <v>122.22</v>
      </c>
    </row>
    <row r="524" spans="1:9" x14ac:dyDescent="0.3">
      <c r="A524">
        <v>523</v>
      </c>
      <c r="B524" s="10">
        <v>45868</v>
      </c>
      <c r="C524">
        <v>6</v>
      </c>
      <c r="D524">
        <v>8</v>
      </c>
      <c r="E524">
        <v>51</v>
      </c>
      <c r="F524">
        <v>1</v>
      </c>
      <c r="G524">
        <v>302.75</v>
      </c>
      <c r="H524">
        <v>0</v>
      </c>
      <c r="I524">
        <v>302.75</v>
      </c>
    </row>
    <row r="525" spans="1:9" x14ac:dyDescent="0.3">
      <c r="A525">
        <v>524</v>
      </c>
      <c r="B525" s="10">
        <v>45652</v>
      </c>
      <c r="C525">
        <v>5</v>
      </c>
      <c r="D525">
        <v>36</v>
      </c>
      <c r="E525">
        <v>63</v>
      </c>
      <c r="F525">
        <v>1</v>
      </c>
      <c r="G525">
        <v>239.9</v>
      </c>
      <c r="H525">
        <v>0.1</v>
      </c>
      <c r="I525">
        <v>215.91</v>
      </c>
    </row>
    <row r="526" spans="1:9" x14ac:dyDescent="0.3">
      <c r="A526">
        <v>525</v>
      </c>
      <c r="B526" s="10">
        <v>45918</v>
      </c>
      <c r="C526">
        <v>4</v>
      </c>
      <c r="D526">
        <v>210</v>
      </c>
      <c r="E526">
        <v>82</v>
      </c>
      <c r="F526">
        <v>1</v>
      </c>
      <c r="G526">
        <v>151.85</v>
      </c>
      <c r="H526">
        <v>0.1</v>
      </c>
      <c r="I526">
        <v>136.66</v>
      </c>
    </row>
    <row r="527" spans="1:9" x14ac:dyDescent="0.3">
      <c r="A527">
        <v>526</v>
      </c>
      <c r="B527" s="10">
        <v>45431</v>
      </c>
      <c r="C527">
        <v>5</v>
      </c>
      <c r="D527">
        <v>80</v>
      </c>
      <c r="E527">
        <v>12</v>
      </c>
      <c r="F527">
        <v>1</v>
      </c>
      <c r="G527">
        <v>236.84</v>
      </c>
      <c r="H527">
        <v>0.05</v>
      </c>
      <c r="I527">
        <v>225</v>
      </c>
    </row>
    <row r="528" spans="1:9" x14ac:dyDescent="0.3">
      <c r="A528">
        <v>527</v>
      </c>
      <c r="B528" s="10">
        <v>45538</v>
      </c>
      <c r="C528">
        <v>4</v>
      </c>
      <c r="D528">
        <v>102</v>
      </c>
      <c r="E528">
        <v>65</v>
      </c>
      <c r="F528">
        <v>1</v>
      </c>
      <c r="G528">
        <v>71.14</v>
      </c>
      <c r="H528">
        <v>0.05</v>
      </c>
      <c r="I528">
        <v>67.58</v>
      </c>
    </row>
    <row r="529" spans="1:9" x14ac:dyDescent="0.3">
      <c r="A529">
        <v>528</v>
      </c>
      <c r="B529" s="10">
        <v>45536</v>
      </c>
      <c r="C529">
        <v>5</v>
      </c>
      <c r="D529">
        <v>70</v>
      </c>
      <c r="E529">
        <v>72</v>
      </c>
      <c r="F529">
        <v>1</v>
      </c>
      <c r="G529">
        <v>50.75</v>
      </c>
      <c r="H529">
        <v>0</v>
      </c>
      <c r="I529">
        <v>50.75</v>
      </c>
    </row>
    <row r="530" spans="1:9" x14ac:dyDescent="0.3">
      <c r="A530">
        <v>529</v>
      </c>
      <c r="B530" s="10">
        <v>45351</v>
      </c>
      <c r="C530">
        <v>8</v>
      </c>
      <c r="D530">
        <v>197</v>
      </c>
      <c r="E530">
        <v>69</v>
      </c>
      <c r="F530">
        <v>2</v>
      </c>
      <c r="G530">
        <v>22.86</v>
      </c>
      <c r="H530">
        <v>0</v>
      </c>
      <c r="I530">
        <v>45.72</v>
      </c>
    </row>
    <row r="531" spans="1:9" x14ac:dyDescent="0.3">
      <c r="A531">
        <v>530</v>
      </c>
      <c r="B531" s="10">
        <v>45576</v>
      </c>
      <c r="C531">
        <v>8</v>
      </c>
      <c r="D531">
        <v>56</v>
      </c>
      <c r="E531">
        <v>42</v>
      </c>
      <c r="F531">
        <v>1</v>
      </c>
      <c r="G531">
        <v>127.97</v>
      </c>
      <c r="H531">
        <v>0.05</v>
      </c>
      <c r="I531">
        <v>121.57</v>
      </c>
    </row>
    <row r="532" spans="1:9" x14ac:dyDescent="0.3">
      <c r="A532">
        <v>531</v>
      </c>
      <c r="B532" s="10">
        <v>45641</v>
      </c>
      <c r="C532">
        <v>5</v>
      </c>
      <c r="D532">
        <v>60</v>
      </c>
      <c r="E532">
        <v>97</v>
      </c>
      <c r="F532">
        <v>1</v>
      </c>
      <c r="G532">
        <v>158.26</v>
      </c>
      <c r="H532">
        <v>0.1</v>
      </c>
      <c r="I532">
        <v>142.43</v>
      </c>
    </row>
    <row r="533" spans="1:9" x14ac:dyDescent="0.3">
      <c r="A533">
        <v>532</v>
      </c>
      <c r="B533" s="10">
        <v>45516</v>
      </c>
      <c r="C533">
        <v>2</v>
      </c>
      <c r="D533">
        <v>163</v>
      </c>
      <c r="E533">
        <v>63</v>
      </c>
      <c r="F533">
        <v>2</v>
      </c>
      <c r="G533">
        <v>239.9</v>
      </c>
      <c r="H533">
        <v>0</v>
      </c>
      <c r="I533">
        <v>479.8</v>
      </c>
    </row>
    <row r="534" spans="1:9" x14ac:dyDescent="0.3">
      <c r="A534">
        <v>533</v>
      </c>
      <c r="B534" s="10">
        <v>45704</v>
      </c>
      <c r="C534">
        <v>7</v>
      </c>
      <c r="D534">
        <v>147</v>
      </c>
      <c r="E534">
        <v>50</v>
      </c>
      <c r="F534">
        <v>1</v>
      </c>
      <c r="G534">
        <v>52.54</v>
      </c>
      <c r="H534">
        <v>0</v>
      </c>
      <c r="I534">
        <v>52.54</v>
      </c>
    </row>
    <row r="535" spans="1:9" x14ac:dyDescent="0.3">
      <c r="A535">
        <v>534</v>
      </c>
      <c r="B535" s="10">
        <v>45633</v>
      </c>
      <c r="C535">
        <v>3</v>
      </c>
      <c r="D535">
        <v>95</v>
      </c>
      <c r="E535">
        <v>68</v>
      </c>
      <c r="F535">
        <v>1</v>
      </c>
      <c r="G535">
        <v>198.56</v>
      </c>
      <c r="H535">
        <v>0</v>
      </c>
      <c r="I535">
        <v>198.56</v>
      </c>
    </row>
    <row r="536" spans="1:9" x14ac:dyDescent="0.3">
      <c r="A536">
        <v>535</v>
      </c>
      <c r="B536" s="10">
        <v>45521</v>
      </c>
      <c r="C536">
        <v>1</v>
      </c>
      <c r="D536">
        <v>89</v>
      </c>
      <c r="E536">
        <v>61</v>
      </c>
      <c r="F536">
        <v>1</v>
      </c>
      <c r="G536">
        <v>106.64</v>
      </c>
      <c r="H536">
        <v>0</v>
      </c>
      <c r="I536">
        <v>106.64</v>
      </c>
    </row>
    <row r="537" spans="1:9" x14ac:dyDescent="0.3">
      <c r="A537">
        <v>536</v>
      </c>
      <c r="B537" s="10">
        <v>45516</v>
      </c>
      <c r="C537">
        <v>2</v>
      </c>
      <c r="D537">
        <v>114</v>
      </c>
      <c r="E537">
        <v>35</v>
      </c>
      <c r="F537">
        <v>1</v>
      </c>
      <c r="G537">
        <v>303.48</v>
      </c>
      <c r="H537">
        <v>0.1</v>
      </c>
      <c r="I537">
        <v>273.13</v>
      </c>
    </row>
    <row r="538" spans="1:9" x14ac:dyDescent="0.3">
      <c r="A538">
        <v>537</v>
      </c>
      <c r="B538" s="10">
        <v>45636</v>
      </c>
      <c r="C538">
        <v>8</v>
      </c>
      <c r="D538">
        <v>27</v>
      </c>
      <c r="E538">
        <v>19</v>
      </c>
      <c r="F538">
        <v>1</v>
      </c>
      <c r="G538">
        <v>138.31</v>
      </c>
      <c r="H538">
        <v>0.05</v>
      </c>
      <c r="I538">
        <v>131.38999999999999</v>
      </c>
    </row>
    <row r="539" spans="1:9" x14ac:dyDescent="0.3">
      <c r="A539">
        <v>538</v>
      </c>
      <c r="B539" s="10">
        <v>45452</v>
      </c>
      <c r="C539">
        <v>8</v>
      </c>
      <c r="D539">
        <v>31</v>
      </c>
      <c r="E539">
        <v>19</v>
      </c>
      <c r="F539">
        <v>1</v>
      </c>
      <c r="G539">
        <v>138.31</v>
      </c>
      <c r="H539">
        <v>0.1</v>
      </c>
      <c r="I539">
        <v>124.48</v>
      </c>
    </row>
    <row r="540" spans="1:9" x14ac:dyDescent="0.3">
      <c r="A540">
        <v>539</v>
      </c>
      <c r="B540" s="10">
        <v>45365</v>
      </c>
      <c r="C540">
        <v>4</v>
      </c>
      <c r="D540">
        <v>61</v>
      </c>
      <c r="E540">
        <v>29</v>
      </c>
      <c r="F540">
        <v>2</v>
      </c>
      <c r="G540">
        <v>138.6</v>
      </c>
      <c r="H540">
        <v>0</v>
      </c>
      <c r="I540">
        <v>277.2</v>
      </c>
    </row>
    <row r="541" spans="1:9" x14ac:dyDescent="0.3">
      <c r="A541">
        <v>540</v>
      </c>
      <c r="B541" s="10">
        <v>45482</v>
      </c>
      <c r="C541">
        <v>5</v>
      </c>
      <c r="D541">
        <v>181</v>
      </c>
      <c r="E541">
        <v>58</v>
      </c>
      <c r="F541">
        <v>1</v>
      </c>
      <c r="G541">
        <v>64.400000000000006</v>
      </c>
      <c r="H541">
        <v>0</v>
      </c>
      <c r="I541">
        <v>64.400000000000006</v>
      </c>
    </row>
    <row r="542" spans="1:9" x14ac:dyDescent="0.3">
      <c r="A542">
        <v>541</v>
      </c>
      <c r="B542" s="10">
        <v>45208</v>
      </c>
      <c r="C542">
        <v>2</v>
      </c>
      <c r="D542">
        <v>49</v>
      </c>
      <c r="E542">
        <v>29</v>
      </c>
      <c r="F542">
        <v>2</v>
      </c>
      <c r="G542">
        <v>138.6</v>
      </c>
      <c r="H542">
        <v>0</v>
      </c>
      <c r="I542">
        <v>277.2</v>
      </c>
    </row>
    <row r="543" spans="1:9" x14ac:dyDescent="0.3">
      <c r="A543">
        <v>542</v>
      </c>
      <c r="B543" s="10">
        <v>45417</v>
      </c>
      <c r="C543">
        <v>4</v>
      </c>
      <c r="D543">
        <v>146</v>
      </c>
      <c r="E543">
        <v>65</v>
      </c>
      <c r="F543">
        <v>2</v>
      </c>
      <c r="G543">
        <v>71.14</v>
      </c>
      <c r="H543">
        <v>0</v>
      </c>
      <c r="I543">
        <v>142.28</v>
      </c>
    </row>
    <row r="544" spans="1:9" x14ac:dyDescent="0.3">
      <c r="A544">
        <v>543</v>
      </c>
      <c r="B544" s="10">
        <v>45030</v>
      </c>
      <c r="C544">
        <v>4</v>
      </c>
      <c r="D544">
        <v>63</v>
      </c>
      <c r="E544">
        <v>91</v>
      </c>
      <c r="F544">
        <v>1</v>
      </c>
      <c r="G544">
        <v>33.700000000000003</v>
      </c>
      <c r="H544">
        <v>0.15</v>
      </c>
      <c r="I544">
        <v>28.65</v>
      </c>
    </row>
    <row r="545" spans="1:9" x14ac:dyDescent="0.3">
      <c r="A545">
        <v>544</v>
      </c>
      <c r="B545" s="10">
        <v>45403</v>
      </c>
      <c r="C545">
        <v>1</v>
      </c>
      <c r="D545">
        <v>200</v>
      </c>
      <c r="E545">
        <v>73</v>
      </c>
      <c r="F545">
        <v>1</v>
      </c>
      <c r="G545">
        <v>8.39</v>
      </c>
      <c r="H545">
        <v>0</v>
      </c>
      <c r="I545">
        <v>8.39</v>
      </c>
    </row>
    <row r="546" spans="1:9" x14ac:dyDescent="0.3">
      <c r="A546">
        <v>545</v>
      </c>
      <c r="B546" s="10">
        <v>45132</v>
      </c>
      <c r="C546">
        <v>7</v>
      </c>
      <c r="D546">
        <v>21</v>
      </c>
      <c r="E546">
        <v>92</v>
      </c>
      <c r="F546">
        <v>1</v>
      </c>
      <c r="G546">
        <v>223.32</v>
      </c>
      <c r="H546">
        <v>0</v>
      </c>
      <c r="I546">
        <v>223.32</v>
      </c>
    </row>
    <row r="547" spans="1:9" x14ac:dyDescent="0.3">
      <c r="A547">
        <v>546</v>
      </c>
      <c r="B547" s="10">
        <v>45603</v>
      </c>
      <c r="C547">
        <v>8</v>
      </c>
      <c r="D547">
        <v>175</v>
      </c>
      <c r="E547">
        <v>48</v>
      </c>
      <c r="F547">
        <v>1</v>
      </c>
      <c r="G547">
        <v>146.85</v>
      </c>
      <c r="H547">
        <v>0</v>
      </c>
      <c r="I547">
        <v>146.85</v>
      </c>
    </row>
    <row r="548" spans="1:9" x14ac:dyDescent="0.3">
      <c r="A548">
        <v>547</v>
      </c>
      <c r="B548" s="10">
        <v>45132</v>
      </c>
      <c r="C548">
        <v>3</v>
      </c>
      <c r="D548">
        <v>52</v>
      </c>
      <c r="E548">
        <v>97</v>
      </c>
      <c r="F548">
        <v>1</v>
      </c>
      <c r="G548">
        <v>158.26</v>
      </c>
      <c r="H548">
        <v>0</v>
      </c>
      <c r="I548">
        <v>158.26</v>
      </c>
    </row>
    <row r="549" spans="1:9" x14ac:dyDescent="0.3">
      <c r="A549">
        <v>548</v>
      </c>
      <c r="B549" s="10">
        <v>44937</v>
      </c>
      <c r="C549">
        <v>3</v>
      </c>
      <c r="D549">
        <v>9</v>
      </c>
      <c r="E549">
        <v>27</v>
      </c>
      <c r="F549">
        <v>1</v>
      </c>
      <c r="G549">
        <v>66.790000000000006</v>
      </c>
      <c r="H549">
        <v>0</v>
      </c>
      <c r="I549">
        <v>66.790000000000006</v>
      </c>
    </row>
    <row r="550" spans="1:9" x14ac:dyDescent="0.3">
      <c r="A550">
        <v>549</v>
      </c>
      <c r="B550" s="10">
        <v>45760</v>
      </c>
      <c r="C550">
        <v>8</v>
      </c>
      <c r="D550">
        <v>220</v>
      </c>
      <c r="E550">
        <v>47</v>
      </c>
      <c r="F550">
        <v>1</v>
      </c>
      <c r="G550">
        <v>93.41</v>
      </c>
      <c r="H550">
        <v>0</v>
      </c>
      <c r="I550">
        <v>93.41</v>
      </c>
    </row>
    <row r="551" spans="1:9" x14ac:dyDescent="0.3">
      <c r="A551">
        <v>550</v>
      </c>
      <c r="B551" s="10">
        <v>45904</v>
      </c>
      <c r="C551">
        <v>4</v>
      </c>
      <c r="D551">
        <v>3</v>
      </c>
      <c r="E551">
        <v>62</v>
      </c>
      <c r="F551">
        <v>1</v>
      </c>
      <c r="G551">
        <v>82.81</v>
      </c>
      <c r="H551">
        <v>0</v>
      </c>
      <c r="I551">
        <v>82.81</v>
      </c>
    </row>
    <row r="552" spans="1:9" x14ac:dyDescent="0.3">
      <c r="A552">
        <v>551</v>
      </c>
      <c r="B552" s="10">
        <v>45515</v>
      </c>
      <c r="C552">
        <v>6</v>
      </c>
      <c r="D552">
        <v>133</v>
      </c>
      <c r="E552">
        <v>41</v>
      </c>
      <c r="F552">
        <v>1</v>
      </c>
      <c r="G552">
        <v>45.5</v>
      </c>
      <c r="H552">
        <v>0.05</v>
      </c>
      <c r="I552">
        <v>43.23</v>
      </c>
    </row>
    <row r="553" spans="1:9" x14ac:dyDescent="0.3">
      <c r="A553">
        <v>552</v>
      </c>
      <c r="B553" s="10">
        <v>45511</v>
      </c>
      <c r="C553">
        <v>1</v>
      </c>
      <c r="D553">
        <v>68</v>
      </c>
      <c r="E553">
        <v>41</v>
      </c>
      <c r="F553">
        <v>1</v>
      </c>
      <c r="G553">
        <v>45.5</v>
      </c>
      <c r="H553">
        <v>0</v>
      </c>
      <c r="I553">
        <v>45.5</v>
      </c>
    </row>
    <row r="554" spans="1:9" x14ac:dyDescent="0.3">
      <c r="A554">
        <v>553</v>
      </c>
      <c r="B554" s="10">
        <v>45110</v>
      </c>
      <c r="C554">
        <v>4</v>
      </c>
      <c r="D554">
        <v>15</v>
      </c>
      <c r="E554">
        <v>30</v>
      </c>
      <c r="F554">
        <v>2</v>
      </c>
      <c r="G554">
        <v>19.399999999999999</v>
      </c>
      <c r="H554">
        <v>0</v>
      </c>
      <c r="I554">
        <v>38.799999999999997</v>
      </c>
    </row>
    <row r="555" spans="1:9" x14ac:dyDescent="0.3">
      <c r="A555">
        <v>554</v>
      </c>
      <c r="B555" s="10">
        <v>45003</v>
      </c>
      <c r="C555">
        <v>3</v>
      </c>
      <c r="D555">
        <v>55</v>
      </c>
      <c r="E555">
        <v>69</v>
      </c>
      <c r="F555">
        <v>1</v>
      </c>
      <c r="G555">
        <v>22.86</v>
      </c>
      <c r="H555">
        <v>0.05</v>
      </c>
      <c r="I555">
        <v>21.72</v>
      </c>
    </row>
    <row r="556" spans="1:9" x14ac:dyDescent="0.3">
      <c r="A556">
        <v>555</v>
      </c>
      <c r="B556" s="10">
        <v>45782</v>
      </c>
      <c r="C556">
        <v>3</v>
      </c>
      <c r="D556">
        <v>61</v>
      </c>
      <c r="E556">
        <v>14</v>
      </c>
      <c r="F556">
        <v>1</v>
      </c>
      <c r="G556">
        <v>70.08</v>
      </c>
      <c r="H556">
        <v>0.1</v>
      </c>
      <c r="I556">
        <v>63.07</v>
      </c>
    </row>
    <row r="557" spans="1:9" x14ac:dyDescent="0.3">
      <c r="A557">
        <v>556</v>
      </c>
      <c r="B557" s="10">
        <v>45001</v>
      </c>
      <c r="C557">
        <v>7</v>
      </c>
      <c r="D557">
        <v>208</v>
      </c>
      <c r="E557">
        <v>1</v>
      </c>
      <c r="F557">
        <v>1</v>
      </c>
      <c r="G557">
        <v>90.53</v>
      </c>
      <c r="H557">
        <v>0</v>
      </c>
      <c r="I557">
        <v>90.53</v>
      </c>
    </row>
    <row r="558" spans="1:9" x14ac:dyDescent="0.3">
      <c r="A558">
        <v>557</v>
      </c>
      <c r="B558" s="10">
        <v>45941</v>
      </c>
      <c r="C558">
        <v>3</v>
      </c>
      <c r="D558">
        <v>107</v>
      </c>
      <c r="E558">
        <v>80</v>
      </c>
      <c r="F558">
        <v>1</v>
      </c>
      <c r="G558">
        <v>33.380000000000003</v>
      </c>
      <c r="H558">
        <v>0.1</v>
      </c>
      <c r="I558">
        <v>30.04</v>
      </c>
    </row>
    <row r="559" spans="1:9" x14ac:dyDescent="0.3">
      <c r="A559">
        <v>558</v>
      </c>
      <c r="B559" s="10">
        <v>45519</v>
      </c>
      <c r="C559">
        <v>1</v>
      </c>
      <c r="D559">
        <v>47</v>
      </c>
      <c r="E559">
        <v>76</v>
      </c>
      <c r="F559">
        <v>1</v>
      </c>
      <c r="G559">
        <v>181.01</v>
      </c>
      <c r="H559">
        <v>0</v>
      </c>
      <c r="I559">
        <v>181.01</v>
      </c>
    </row>
    <row r="560" spans="1:9" x14ac:dyDescent="0.3">
      <c r="A560">
        <v>559</v>
      </c>
      <c r="B560" s="10">
        <v>44945</v>
      </c>
      <c r="C560">
        <v>5</v>
      </c>
      <c r="D560">
        <v>11</v>
      </c>
      <c r="E560">
        <v>58</v>
      </c>
      <c r="F560">
        <v>1</v>
      </c>
      <c r="G560">
        <v>64.400000000000006</v>
      </c>
      <c r="H560">
        <v>0</v>
      </c>
      <c r="I560">
        <v>64.400000000000006</v>
      </c>
    </row>
    <row r="561" spans="1:9" x14ac:dyDescent="0.3">
      <c r="A561">
        <v>560</v>
      </c>
      <c r="B561" s="10">
        <v>45146</v>
      </c>
      <c r="C561">
        <v>6</v>
      </c>
      <c r="D561">
        <v>77</v>
      </c>
      <c r="E561">
        <v>4</v>
      </c>
      <c r="F561">
        <v>1</v>
      </c>
      <c r="G561">
        <v>168</v>
      </c>
      <c r="H561">
        <v>0</v>
      </c>
      <c r="I561">
        <v>168</v>
      </c>
    </row>
    <row r="562" spans="1:9" x14ac:dyDescent="0.3">
      <c r="A562">
        <v>561</v>
      </c>
      <c r="B562" s="10">
        <v>45509</v>
      </c>
      <c r="C562">
        <v>8</v>
      </c>
      <c r="D562">
        <v>67</v>
      </c>
      <c r="E562">
        <v>52</v>
      </c>
      <c r="F562">
        <v>1</v>
      </c>
      <c r="G562">
        <v>196.75</v>
      </c>
      <c r="H562">
        <v>0.15</v>
      </c>
      <c r="I562">
        <v>167.24</v>
      </c>
    </row>
    <row r="563" spans="1:9" x14ac:dyDescent="0.3">
      <c r="A563">
        <v>562</v>
      </c>
      <c r="B563" s="10">
        <v>45938</v>
      </c>
      <c r="C563">
        <v>3</v>
      </c>
      <c r="D563">
        <v>158</v>
      </c>
      <c r="E563">
        <v>85</v>
      </c>
      <c r="F563">
        <v>1</v>
      </c>
      <c r="G563">
        <v>83.36</v>
      </c>
      <c r="H563">
        <v>0.1</v>
      </c>
      <c r="I563">
        <v>75.02</v>
      </c>
    </row>
    <row r="564" spans="1:9" x14ac:dyDescent="0.3">
      <c r="A564">
        <v>563</v>
      </c>
      <c r="B564" s="10">
        <v>45959</v>
      </c>
      <c r="C564">
        <v>8</v>
      </c>
      <c r="D564">
        <v>37</v>
      </c>
      <c r="E564">
        <v>4</v>
      </c>
      <c r="F564">
        <v>2</v>
      </c>
      <c r="G564">
        <v>168</v>
      </c>
      <c r="H564">
        <v>0</v>
      </c>
      <c r="I564">
        <v>336</v>
      </c>
    </row>
    <row r="565" spans="1:9" x14ac:dyDescent="0.3">
      <c r="A565">
        <v>564</v>
      </c>
      <c r="B565" s="10">
        <v>45485</v>
      </c>
      <c r="C565">
        <v>4</v>
      </c>
      <c r="D565">
        <v>185</v>
      </c>
      <c r="E565">
        <v>71</v>
      </c>
      <c r="F565">
        <v>1</v>
      </c>
      <c r="G565">
        <v>225.61</v>
      </c>
      <c r="H565">
        <v>0</v>
      </c>
      <c r="I565">
        <v>225.61</v>
      </c>
    </row>
    <row r="566" spans="1:9" x14ac:dyDescent="0.3">
      <c r="A566">
        <v>565</v>
      </c>
      <c r="B566" s="10">
        <v>45157</v>
      </c>
      <c r="C566">
        <v>6</v>
      </c>
      <c r="D566">
        <v>152</v>
      </c>
      <c r="E566">
        <v>48</v>
      </c>
      <c r="F566">
        <v>1</v>
      </c>
      <c r="G566">
        <v>146.85</v>
      </c>
      <c r="H566">
        <v>0</v>
      </c>
      <c r="I566">
        <v>146.85</v>
      </c>
    </row>
    <row r="567" spans="1:9" x14ac:dyDescent="0.3">
      <c r="A567">
        <v>566</v>
      </c>
      <c r="B567" s="10">
        <v>45259</v>
      </c>
      <c r="C567">
        <v>8</v>
      </c>
      <c r="D567">
        <v>93</v>
      </c>
      <c r="E567">
        <v>91</v>
      </c>
      <c r="F567">
        <v>2</v>
      </c>
      <c r="G567">
        <v>33.700000000000003</v>
      </c>
      <c r="H567">
        <v>0.15</v>
      </c>
      <c r="I567">
        <v>57.29</v>
      </c>
    </row>
    <row r="568" spans="1:9" x14ac:dyDescent="0.3">
      <c r="A568">
        <v>567</v>
      </c>
      <c r="B568" s="10">
        <v>45453</v>
      </c>
      <c r="C568">
        <v>3</v>
      </c>
      <c r="D568">
        <v>187</v>
      </c>
      <c r="E568">
        <v>69</v>
      </c>
      <c r="F568">
        <v>1</v>
      </c>
      <c r="G568">
        <v>22.86</v>
      </c>
      <c r="H568">
        <v>0.05</v>
      </c>
      <c r="I568">
        <v>21.72</v>
      </c>
    </row>
    <row r="569" spans="1:9" x14ac:dyDescent="0.3">
      <c r="A569">
        <v>568</v>
      </c>
      <c r="B569" s="10">
        <v>44955</v>
      </c>
      <c r="C569">
        <v>6</v>
      </c>
      <c r="D569">
        <v>175</v>
      </c>
      <c r="E569">
        <v>92</v>
      </c>
      <c r="F569">
        <v>2</v>
      </c>
      <c r="G569">
        <v>223.32</v>
      </c>
      <c r="H569">
        <v>0.1</v>
      </c>
      <c r="I569">
        <v>401.98</v>
      </c>
    </row>
    <row r="570" spans="1:9" x14ac:dyDescent="0.3">
      <c r="A570">
        <v>569</v>
      </c>
      <c r="B570" s="10">
        <v>45531</v>
      </c>
      <c r="C570">
        <v>4</v>
      </c>
      <c r="D570">
        <v>82</v>
      </c>
      <c r="E570">
        <v>35</v>
      </c>
      <c r="F570">
        <v>1</v>
      </c>
      <c r="G570">
        <v>303.48</v>
      </c>
      <c r="H570">
        <v>0.1</v>
      </c>
      <c r="I570">
        <v>273.13</v>
      </c>
    </row>
    <row r="571" spans="1:9" x14ac:dyDescent="0.3">
      <c r="A571">
        <v>570</v>
      </c>
      <c r="B571" s="10">
        <v>45286</v>
      </c>
      <c r="C571">
        <v>7</v>
      </c>
      <c r="D571">
        <v>49</v>
      </c>
      <c r="E571">
        <v>51</v>
      </c>
      <c r="F571">
        <v>1</v>
      </c>
      <c r="G571">
        <v>302.75</v>
      </c>
      <c r="H571">
        <v>0.15</v>
      </c>
      <c r="I571">
        <v>257.33999999999997</v>
      </c>
    </row>
    <row r="572" spans="1:9" x14ac:dyDescent="0.3">
      <c r="A572">
        <v>571</v>
      </c>
      <c r="B572" s="10">
        <v>45802</v>
      </c>
      <c r="C572">
        <v>6</v>
      </c>
      <c r="D572">
        <v>52</v>
      </c>
      <c r="E572">
        <v>71</v>
      </c>
      <c r="F572">
        <v>1</v>
      </c>
      <c r="G572">
        <v>225.61</v>
      </c>
      <c r="H572">
        <v>0</v>
      </c>
      <c r="I572">
        <v>225.61</v>
      </c>
    </row>
    <row r="573" spans="1:9" x14ac:dyDescent="0.3">
      <c r="A573">
        <v>572</v>
      </c>
      <c r="B573" s="10">
        <v>45104</v>
      </c>
      <c r="C573">
        <v>7</v>
      </c>
      <c r="D573">
        <v>134</v>
      </c>
      <c r="E573">
        <v>75</v>
      </c>
      <c r="F573">
        <v>1</v>
      </c>
      <c r="G573">
        <v>205.69</v>
      </c>
      <c r="H573">
        <v>0</v>
      </c>
      <c r="I573">
        <v>205.69</v>
      </c>
    </row>
    <row r="574" spans="1:9" x14ac:dyDescent="0.3">
      <c r="A574">
        <v>573</v>
      </c>
      <c r="B574" s="10">
        <v>45122</v>
      </c>
      <c r="C574">
        <v>3</v>
      </c>
      <c r="D574">
        <v>144</v>
      </c>
      <c r="E574">
        <v>21</v>
      </c>
      <c r="F574">
        <v>2</v>
      </c>
      <c r="G574">
        <v>187.71</v>
      </c>
      <c r="H574">
        <v>0</v>
      </c>
      <c r="I574">
        <v>375.42</v>
      </c>
    </row>
    <row r="575" spans="1:9" x14ac:dyDescent="0.3">
      <c r="A575">
        <v>574</v>
      </c>
      <c r="B575" s="10">
        <v>45214</v>
      </c>
      <c r="C575">
        <v>8</v>
      </c>
      <c r="D575">
        <v>4</v>
      </c>
      <c r="E575">
        <v>10</v>
      </c>
      <c r="F575">
        <v>1</v>
      </c>
      <c r="G575">
        <v>168.82</v>
      </c>
      <c r="H575">
        <v>0.05</v>
      </c>
      <c r="I575">
        <v>160.38</v>
      </c>
    </row>
    <row r="576" spans="1:9" x14ac:dyDescent="0.3">
      <c r="A576">
        <v>575</v>
      </c>
      <c r="B576" s="10">
        <v>45589</v>
      </c>
      <c r="C576">
        <v>4</v>
      </c>
      <c r="D576">
        <v>97</v>
      </c>
      <c r="E576">
        <v>35</v>
      </c>
      <c r="F576">
        <v>1</v>
      </c>
      <c r="G576">
        <v>303.48</v>
      </c>
      <c r="H576">
        <v>0.15</v>
      </c>
      <c r="I576">
        <v>257.95999999999998</v>
      </c>
    </row>
    <row r="577" spans="1:9" x14ac:dyDescent="0.3">
      <c r="A577">
        <v>576</v>
      </c>
      <c r="B577" s="10">
        <v>44940</v>
      </c>
      <c r="C577">
        <v>5</v>
      </c>
      <c r="D577">
        <v>122</v>
      </c>
      <c r="E577">
        <v>54</v>
      </c>
      <c r="F577">
        <v>1</v>
      </c>
      <c r="G577">
        <v>245.9</v>
      </c>
      <c r="H577">
        <v>0</v>
      </c>
      <c r="I577">
        <v>245.9</v>
      </c>
    </row>
    <row r="578" spans="1:9" x14ac:dyDescent="0.3">
      <c r="A578">
        <v>577</v>
      </c>
      <c r="B578" s="10">
        <v>45712</v>
      </c>
      <c r="C578">
        <v>4</v>
      </c>
      <c r="D578">
        <v>172</v>
      </c>
      <c r="E578">
        <v>20</v>
      </c>
      <c r="F578">
        <v>1</v>
      </c>
      <c r="G578">
        <v>85.89</v>
      </c>
      <c r="H578">
        <v>0</v>
      </c>
      <c r="I578">
        <v>85.89</v>
      </c>
    </row>
    <row r="579" spans="1:9" x14ac:dyDescent="0.3">
      <c r="A579">
        <v>578</v>
      </c>
      <c r="B579" s="10">
        <v>45841</v>
      </c>
      <c r="C579">
        <v>5</v>
      </c>
      <c r="D579">
        <v>213</v>
      </c>
      <c r="E579">
        <v>70</v>
      </c>
      <c r="F579">
        <v>1</v>
      </c>
      <c r="G579">
        <v>280.36</v>
      </c>
      <c r="H579">
        <v>0.05</v>
      </c>
      <c r="I579">
        <v>266.33999999999997</v>
      </c>
    </row>
    <row r="580" spans="1:9" x14ac:dyDescent="0.3">
      <c r="A580">
        <v>579</v>
      </c>
      <c r="B580" s="10">
        <v>45602</v>
      </c>
      <c r="C580">
        <v>5</v>
      </c>
      <c r="D580">
        <v>201</v>
      </c>
      <c r="E580">
        <v>78</v>
      </c>
      <c r="F580">
        <v>2</v>
      </c>
      <c r="G580">
        <v>25.66</v>
      </c>
      <c r="H580">
        <v>0.05</v>
      </c>
      <c r="I580">
        <v>48.75</v>
      </c>
    </row>
    <row r="581" spans="1:9" x14ac:dyDescent="0.3">
      <c r="A581">
        <v>580</v>
      </c>
      <c r="B581" s="10">
        <v>44950</v>
      </c>
      <c r="C581">
        <v>5</v>
      </c>
      <c r="D581">
        <v>98</v>
      </c>
      <c r="E581">
        <v>22</v>
      </c>
      <c r="F581">
        <v>1</v>
      </c>
      <c r="G581">
        <v>49.91</v>
      </c>
      <c r="H581">
        <v>0</v>
      </c>
      <c r="I581">
        <v>49.91</v>
      </c>
    </row>
    <row r="582" spans="1:9" x14ac:dyDescent="0.3">
      <c r="A582">
        <v>581</v>
      </c>
      <c r="B582" s="10">
        <v>45663</v>
      </c>
      <c r="C582">
        <v>4</v>
      </c>
      <c r="D582">
        <v>164</v>
      </c>
      <c r="E582">
        <v>3</v>
      </c>
      <c r="F582">
        <v>5</v>
      </c>
      <c r="G582">
        <v>190.58</v>
      </c>
      <c r="H582">
        <v>0</v>
      </c>
      <c r="I582">
        <v>952.9</v>
      </c>
    </row>
    <row r="583" spans="1:9" x14ac:dyDescent="0.3">
      <c r="A583">
        <v>582</v>
      </c>
      <c r="B583" s="10">
        <v>45054</v>
      </c>
      <c r="C583">
        <v>2</v>
      </c>
      <c r="D583">
        <v>179</v>
      </c>
      <c r="E583">
        <v>17</v>
      </c>
      <c r="F583">
        <v>2</v>
      </c>
      <c r="G583">
        <v>97.14</v>
      </c>
      <c r="H583">
        <v>0.15</v>
      </c>
      <c r="I583">
        <v>165.14</v>
      </c>
    </row>
    <row r="584" spans="1:9" x14ac:dyDescent="0.3">
      <c r="A584">
        <v>583</v>
      </c>
      <c r="B584" s="10">
        <v>45880</v>
      </c>
      <c r="C584">
        <v>5</v>
      </c>
      <c r="D584">
        <v>200</v>
      </c>
      <c r="E584">
        <v>52</v>
      </c>
      <c r="F584">
        <v>1</v>
      </c>
      <c r="G584">
        <v>196.75</v>
      </c>
      <c r="H584">
        <v>0.05</v>
      </c>
      <c r="I584">
        <v>186.91</v>
      </c>
    </row>
    <row r="585" spans="1:9" x14ac:dyDescent="0.3">
      <c r="A585">
        <v>584</v>
      </c>
      <c r="B585" s="10">
        <v>45254</v>
      </c>
      <c r="C585">
        <v>7</v>
      </c>
      <c r="D585">
        <v>106</v>
      </c>
      <c r="E585">
        <v>46</v>
      </c>
      <c r="F585">
        <v>1</v>
      </c>
      <c r="G585">
        <v>157</v>
      </c>
      <c r="H585">
        <v>0.05</v>
      </c>
      <c r="I585">
        <v>149.15</v>
      </c>
    </row>
    <row r="586" spans="1:9" x14ac:dyDescent="0.3">
      <c r="A586">
        <v>585</v>
      </c>
      <c r="B586" s="10">
        <v>45956</v>
      </c>
      <c r="C586">
        <v>5</v>
      </c>
      <c r="D586">
        <v>126</v>
      </c>
      <c r="E586">
        <v>7</v>
      </c>
      <c r="F586">
        <v>1</v>
      </c>
      <c r="G586">
        <v>21.72</v>
      </c>
      <c r="H586">
        <v>0</v>
      </c>
      <c r="I586">
        <v>21.72</v>
      </c>
    </row>
    <row r="587" spans="1:9" x14ac:dyDescent="0.3">
      <c r="A587">
        <v>586</v>
      </c>
      <c r="B587" s="10">
        <v>45167</v>
      </c>
      <c r="C587">
        <v>5</v>
      </c>
      <c r="D587">
        <v>87</v>
      </c>
      <c r="E587">
        <v>45</v>
      </c>
      <c r="F587">
        <v>1</v>
      </c>
      <c r="G587">
        <v>70.989999999999995</v>
      </c>
      <c r="H587">
        <v>0</v>
      </c>
      <c r="I587">
        <v>70.989999999999995</v>
      </c>
    </row>
    <row r="588" spans="1:9" x14ac:dyDescent="0.3">
      <c r="A588">
        <v>587</v>
      </c>
      <c r="B588" s="10">
        <v>45679</v>
      </c>
      <c r="C588">
        <v>4</v>
      </c>
      <c r="D588">
        <v>188</v>
      </c>
      <c r="E588">
        <v>14</v>
      </c>
      <c r="F588">
        <v>1</v>
      </c>
      <c r="G588">
        <v>70.08</v>
      </c>
      <c r="H588">
        <v>0.1</v>
      </c>
      <c r="I588">
        <v>63.07</v>
      </c>
    </row>
    <row r="589" spans="1:9" x14ac:dyDescent="0.3">
      <c r="A589">
        <v>588</v>
      </c>
      <c r="B589" s="10">
        <v>45375</v>
      </c>
      <c r="C589">
        <v>3</v>
      </c>
      <c r="D589">
        <v>72</v>
      </c>
      <c r="E589">
        <v>36</v>
      </c>
      <c r="F589">
        <v>3</v>
      </c>
      <c r="G589">
        <v>211.43</v>
      </c>
      <c r="H589">
        <v>0</v>
      </c>
      <c r="I589">
        <v>634.29</v>
      </c>
    </row>
    <row r="590" spans="1:9" x14ac:dyDescent="0.3">
      <c r="A590">
        <v>589</v>
      </c>
      <c r="B590" s="10">
        <v>45906</v>
      </c>
      <c r="C590">
        <v>3</v>
      </c>
      <c r="D590">
        <v>31</v>
      </c>
      <c r="E590">
        <v>61</v>
      </c>
      <c r="F590">
        <v>1</v>
      </c>
      <c r="G590">
        <v>106.64</v>
      </c>
      <c r="H590">
        <v>0</v>
      </c>
      <c r="I590">
        <v>106.64</v>
      </c>
    </row>
    <row r="591" spans="1:9" x14ac:dyDescent="0.3">
      <c r="A591">
        <v>590</v>
      </c>
      <c r="B591" s="10">
        <v>45858</v>
      </c>
      <c r="C591">
        <v>6</v>
      </c>
      <c r="D591">
        <v>102</v>
      </c>
      <c r="E591">
        <v>90</v>
      </c>
      <c r="F591">
        <v>1</v>
      </c>
      <c r="G591">
        <v>122.32</v>
      </c>
      <c r="H591">
        <v>0</v>
      </c>
      <c r="I591">
        <v>122.32</v>
      </c>
    </row>
    <row r="592" spans="1:9" x14ac:dyDescent="0.3">
      <c r="A592">
        <v>591</v>
      </c>
      <c r="B592" s="10">
        <v>45778</v>
      </c>
      <c r="C592">
        <v>8</v>
      </c>
      <c r="D592">
        <v>12</v>
      </c>
      <c r="E592">
        <v>29</v>
      </c>
      <c r="F592">
        <v>1</v>
      </c>
      <c r="G592">
        <v>138.6</v>
      </c>
      <c r="H592">
        <v>0</v>
      </c>
      <c r="I592">
        <v>138.6</v>
      </c>
    </row>
    <row r="593" spans="1:9" x14ac:dyDescent="0.3">
      <c r="A593">
        <v>592</v>
      </c>
      <c r="B593" s="10">
        <v>45374</v>
      </c>
      <c r="C593">
        <v>4</v>
      </c>
      <c r="D593">
        <v>190</v>
      </c>
      <c r="E593">
        <v>92</v>
      </c>
      <c r="F593">
        <v>1</v>
      </c>
      <c r="G593">
        <v>223.32</v>
      </c>
      <c r="H593">
        <v>0</v>
      </c>
      <c r="I593">
        <v>223.32</v>
      </c>
    </row>
    <row r="594" spans="1:9" x14ac:dyDescent="0.3">
      <c r="A594">
        <v>593</v>
      </c>
      <c r="B594" s="10">
        <v>45094</v>
      </c>
      <c r="C594">
        <v>8</v>
      </c>
      <c r="D594">
        <v>74</v>
      </c>
      <c r="E594">
        <v>2</v>
      </c>
      <c r="F594">
        <v>1</v>
      </c>
      <c r="G594">
        <v>274.16000000000003</v>
      </c>
      <c r="H594">
        <v>0</v>
      </c>
      <c r="I594">
        <v>274.16000000000003</v>
      </c>
    </row>
    <row r="595" spans="1:9" x14ac:dyDescent="0.3">
      <c r="A595">
        <v>594</v>
      </c>
      <c r="B595" s="10">
        <v>45667</v>
      </c>
      <c r="C595">
        <v>2</v>
      </c>
      <c r="D595">
        <v>164</v>
      </c>
      <c r="E595">
        <v>74</v>
      </c>
      <c r="F595">
        <v>1</v>
      </c>
      <c r="G595">
        <v>205.01</v>
      </c>
      <c r="H595">
        <v>0</v>
      </c>
      <c r="I595">
        <v>205.01</v>
      </c>
    </row>
    <row r="596" spans="1:9" x14ac:dyDescent="0.3">
      <c r="A596">
        <v>595</v>
      </c>
      <c r="B596" s="10">
        <v>45156</v>
      </c>
      <c r="C596">
        <v>1</v>
      </c>
      <c r="D596">
        <v>59</v>
      </c>
      <c r="E596">
        <v>79</v>
      </c>
      <c r="F596">
        <v>1</v>
      </c>
      <c r="G596">
        <v>117.59</v>
      </c>
      <c r="H596">
        <v>0.05</v>
      </c>
      <c r="I596">
        <v>111.71</v>
      </c>
    </row>
    <row r="597" spans="1:9" x14ac:dyDescent="0.3">
      <c r="A597">
        <v>596</v>
      </c>
      <c r="B597" s="10">
        <v>45962</v>
      </c>
      <c r="C597">
        <v>4</v>
      </c>
      <c r="D597">
        <v>74</v>
      </c>
      <c r="E597">
        <v>78</v>
      </c>
      <c r="F597">
        <v>1</v>
      </c>
      <c r="G597">
        <v>25.66</v>
      </c>
      <c r="H597">
        <v>0</v>
      </c>
      <c r="I597">
        <v>25.66</v>
      </c>
    </row>
    <row r="598" spans="1:9" x14ac:dyDescent="0.3">
      <c r="A598">
        <v>597</v>
      </c>
      <c r="B598" s="10">
        <v>45233</v>
      </c>
      <c r="C598">
        <v>3</v>
      </c>
      <c r="D598">
        <v>105</v>
      </c>
      <c r="E598">
        <v>21</v>
      </c>
      <c r="F598">
        <v>1</v>
      </c>
      <c r="G598">
        <v>187.71</v>
      </c>
      <c r="H598">
        <v>0.05</v>
      </c>
      <c r="I598">
        <v>178.32</v>
      </c>
    </row>
    <row r="599" spans="1:9" x14ac:dyDescent="0.3">
      <c r="A599">
        <v>598</v>
      </c>
      <c r="B599" s="10">
        <v>45598</v>
      </c>
      <c r="C599">
        <v>8</v>
      </c>
      <c r="D599">
        <v>203</v>
      </c>
      <c r="E599">
        <v>87</v>
      </c>
      <c r="F599">
        <v>1</v>
      </c>
      <c r="G599">
        <v>223.85</v>
      </c>
      <c r="H599">
        <v>0</v>
      </c>
      <c r="I599">
        <v>223.85</v>
      </c>
    </row>
    <row r="600" spans="1:9" x14ac:dyDescent="0.3">
      <c r="A600">
        <v>599</v>
      </c>
      <c r="B600" s="10">
        <v>45165</v>
      </c>
      <c r="C600">
        <v>4</v>
      </c>
      <c r="D600">
        <v>78</v>
      </c>
      <c r="E600">
        <v>14</v>
      </c>
      <c r="F600">
        <v>1</v>
      </c>
      <c r="G600">
        <v>70.08</v>
      </c>
      <c r="H600">
        <v>0</v>
      </c>
      <c r="I600">
        <v>70.08</v>
      </c>
    </row>
    <row r="601" spans="1:9" x14ac:dyDescent="0.3">
      <c r="A601">
        <v>600</v>
      </c>
      <c r="B601" s="10">
        <v>45928</v>
      </c>
      <c r="C601">
        <v>2</v>
      </c>
      <c r="D601">
        <v>126</v>
      </c>
      <c r="E601">
        <v>14</v>
      </c>
      <c r="F601">
        <v>1</v>
      </c>
      <c r="G601">
        <v>70.08</v>
      </c>
      <c r="H601">
        <v>0</v>
      </c>
      <c r="I601">
        <v>70.08</v>
      </c>
    </row>
    <row r="602" spans="1:9" x14ac:dyDescent="0.3">
      <c r="A602">
        <v>601</v>
      </c>
      <c r="B602" s="10">
        <v>45972</v>
      </c>
      <c r="C602">
        <v>8</v>
      </c>
      <c r="D602">
        <v>115</v>
      </c>
      <c r="E602">
        <v>36</v>
      </c>
      <c r="F602">
        <v>2</v>
      </c>
      <c r="G602">
        <v>211.43</v>
      </c>
      <c r="H602">
        <v>0.05</v>
      </c>
      <c r="I602">
        <v>401.72</v>
      </c>
    </row>
    <row r="603" spans="1:9" x14ac:dyDescent="0.3">
      <c r="A603">
        <v>602</v>
      </c>
      <c r="B603" s="10">
        <v>45040</v>
      </c>
      <c r="C603">
        <v>8</v>
      </c>
      <c r="D603">
        <v>64</v>
      </c>
      <c r="E603">
        <v>24</v>
      </c>
      <c r="F603">
        <v>1</v>
      </c>
      <c r="G603">
        <v>91.73</v>
      </c>
      <c r="H603">
        <v>0</v>
      </c>
      <c r="I603">
        <v>91.73</v>
      </c>
    </row>
    <row r="604" spans="1:9" x14ac:dyDescent="0.3">
      <c r="A604">
        <v>603</v>
      </c>
      <c r="B604" s="10">
        <v>45197</v>
      </c>
      <c r="C604">
        <v>7</v>
      </c>
      <c r="D604">
        <v>102</v>
      </c>
      <c r="E604">
        <v>65</v>
      </c>
      <c r="F604">
        <v>4</v>
      </c>
      <c r="G604">
        <v>71.14</v>
      </c>
      <c r="H604">
        <v>0.05</v>
      </c>
      <c r="I604">
        <v>270.33</v>
      </c>
    </row>
    <row r="605" spans="1:9" x14ac:dyDescent="0.3">
      <c r="A605">
        <v>604</v>
      </c>
      <c r="B605" s="10">
        <v>45862</v>
      </c>
      <c r="C605">
        <v>1</v>
      </c>
      <c r="D605">
        <v>200</v>
      </c>
      <c r="E605">
        <v>83</v>
      </c>
      <c r="F605">
        <v>1</v>
      </c>
      <c r="G605">
        <v>109.16</v>
      </c>
      <c r="H605">
        <v>0.15</v>
      </c>
      <c r="I605">
        <v>92.79</v>
      </c>
    </row>
    <row r="606" spans="1:9" x14ac:dyDescent="0.3">
      <c r="A606">
        <v>605</v>
      </c>
      <c r="B606" s="10">
        <v>45873</v>
      </c>
      <c r="C606">
        <v>5</v>
      </c>
      <c r="D606">
        <v>128</v>
      </c>
      <c r="E606">
        <v>75</v>
      </c>
      <c r="F606">
        <v>2</v>
      </c>
      <c r="G606">
        <v>205.69</v>
      </c>
      <c r="H606">
        <v>0.1</v>
      </c>
      <c r="I606">
        <v>370.24</v>
      </c>
    </row>
    <row r="607" spans="1:9" x14ac:dyDescent="0.3">
      <c r="A607">
        <v>606</v>
      </c>
      <c r="B607" s="10">
        <v>44971</v>
      </c>
      <c r="C607">
        <v>7</v>
      </c>
      <c r="D607">
        <v>200</v>
      </c>
      <c r="E607">
        <v>82</v>
      </c>
      <c r="F607">
        <v>1</v>
      </c>
      <c r="G607">
        <v>151.85</v>
      </c>
      <c r="H607">
        <v>0.05</v>
      </c>
      <c r="I607">
        <v>144.26</v>
      </c>
    </row>
    <row r="608" spans="1:9" x14ac:dyDescent="0.3">
      <c r="A608">
        <v>607</v>
      </c>
      <c r="B608" s="10">
        <v>45448</v>
      </c>
      <c r="C608">
        <v>1</v>
      </c>
      <c r="D608">
        <v>77</v>
      </c>
      <c r="E608">
        <v>62</v>
      </c>
      <c r="F608">
        <v>3</v>
      </c>
      <c r="G608">
        <v>82.81</v>
      </c>
      <c r="H608">
        <v>0.05</v>
      </c>
      <c r="I608">
        <v>236.01</v>
      </c>
    </row>
    <row r="609" spans="1:9" x14ac:dyDescent="0.3">
      <c r="A609">
        <v>608</v>
      </c>
      <c r="B609" s="10">
        <v>45373</v>
      </c>
      <c r="C609">
        <v>2</v>
      </c>
      <c r="D609">
        <v>91</v>
      </c>
      <c r="E609">
        <v>51</v>
      </c>
      <c r="F609">
        <v>1</v>
      </c>
      <c r="G609">
        <v>302.75</v>
      </c>
      <c r="H609">
        <v>0.15</v>
      </c>
      <c r="I609">
        <v>257.33999999999997</v>
      </c>
    </row>
    <row r="610" spans="1:9" x14ac:dyDescent="0.3">
      <c r="A610">
        <v>609</v>
      </c>
      <c r="B610" s="10">
        <v>45019</v>
      </c>
      <c r="C610">
        <v>7</v>
      </c>
      <c r="D610">
        <v>2</v>
      </c>
      <c r="E610">
        <v>52</v>
      </c>
      <c r="F610">
        <v>1</v>
      </c>
      <c r="G610">
        <v>196.75</v>
      </c>
      <c r="H610">
        <v>0</v>
      </c>
      <c r="I610">
        <v>196.75</v>
      </c>
    </row>
    <row r="611" spans="1:9" x14ac:dyDescent="0.3">
      <c r="A611">
        <v>610</v>
      </c>
      <c r="B611" s="10">
        <v>45632</v>
      </c>
      <c r="C611">
        <v>2</v>
      </c>
      <c r="D611">
        <v>64</v>
      </c>
      <c r="E611">
        <v>61</v>
      </c>
      <c r="F611">
        <v>2</v>
      </c>
      <c r="G611">
        <v>106.64</v>
      </c>
      <c r="H611">
        <v>0.05</v>
      </c>
      <c r="I611">
        <v>202.62</v>
      </c>
    </row>
    <row r="612" spans="1:9" x14ac:dyDescent="0.3">
      <c r="A612">
        <v>611</v>
      </c>
      <c r="B612" s="10">
        <v>45050</v>
      </c>
      <c r="C612">
        <v>2</v>
      </c>
      <c r="D612">
        <v>66</v>
      </c>
      <c r="E612">
        <v>24</v>
      </c>
      <c r="F612">
        <v>1</v>
      </c>
      <c r="G612">
        <v>91.73</v>
      </c>
      <c r="H612">
        <v>0</v>
      </c>
      <c r="I612">
        <v>91.73</v>
      </c>
    </row>
    <row r="613" spans="1:9" x14ac:dyDescent="0.3">
      <c r="A613">
        <v>612</v>
      </c>
      <c r="B613" s="10">
        <v>45893</v>
      </c>
      <c r="C613">
        <v>1</v>
      </c>
      <c r="D613">
        <v>34</v>
      </c>
      <c r="E613">
        <v>77</v>
      </c>
      <c r="F613">
        <v>2</v>
      </c>
      <c r="G613">
        <v>226.88</v>
      </c>
      <c r="H613">
        <v>0</v>
      </c>
      <c r="I613">
        <v>453.76</v>
      </c>
    </row>
    <row r="614" spans="1:9" x14ac:dyDescent="0.3">
      <c r="A614">
        <v>613</v>
      </c>
      <c r="B614" s="10">
        <v>45514</v>
      </c>
      <c r="C614">
        <v>7</v>
      </c>
      <c r="D614">
        <v>118</v>
      </c>
      <c r="E614">
        <v>17</v>
      </c>
      <c r="F614">
        <v>1</v>
      </c>
      <c r="G614">
        <v>97.14</v>
      </c>
      <c r="H614">
        <v>0.05</v>
      </c>
      <c r="I614">
        <v>92.28</v>
      </c>
    </row>
    <row r="615" spans="1:9" x14ac:dyDescent="0.3">
      <c r="A615">
        <v>614</v>
      </c>
      <c r="B615" s="10">
        <v>45295</v>
      </c>
      <c r="C615">
        <v>3</v>
      </c>
      <c r="D615">
        <v>94</v>
      </c>
      <c r="E615">
        <v>98</v>
      </c>
      <c r="F615">
        <v>1</v>
      </c>
      <c r="G615">
        <v>136.97</v>
      </c>
      <c r="H615">
        <v>0.05</v>
      </c>
      <c r="I615">
        <v>130.12</v>
      </c>
    </row>
    <row r="616" spans="1:9" x14ac:dyDescent="0.3">
      <c r="A616">
        <v>615</v>
      </c>
      <c r="B616" s="10">
        <v>45787</v>
      </c>
      <c r="C616">
        <v>6</v>
      </c>
      <c r="D616">
        <v>32</v>
      </c>
      <c r="E616">
        <v>58</v>
      </c>
      <c r="F616">
        <v>1</v>
      </c>
      <c r="G616">
        <v>64.400000000000006</v>
      </c>
      <c r="H616">
        <v>0</v>
      </c>
      <c r="I616">
        <v>64.400000000000006</v>
      </c>
    </row>
    <row r="617" spans="1:9" x14ac:dyDescent="0.3">
      <c r="A617">
        <v>616</v>
      </c>
      <c r="B617" s="10">
        <v>45710</v>
      </c>
      <c r="C617">
        <v>8</v>
      </c>
      <c r="D617">
        <v>202</v>
      </c>
      <c r="E617">
        <v>41</v>
      </c>
      <c r="F617">
        <v>2</v>
      </c>
      <c r="G617">
        <v>45.5</v>
      </c>
      <c r="H617">
        <v>0.15</v>
      </c>
      <c r="I617">
        <v>77.349999999999994</v>
      </c>
    </row>
    <row r="618" spans="1:9" x14ac:dyDescent="0.3">
      <c r="A618">
        <v>617</v>
      </c>
      <c r="B618" s="10">
        <v>45700</v>
      </c>
      <c r="C618">
        <v>7</v>
      </c>
      <c r="D618">
        <v>110</v>
      </c>
      <c r="E618">
        <v>61</v>
      </c>
      <c r="F618">
        <v>1</v>
      </c>
      <c r="G618">
        <v>106.64</v>
      </c>
      <c r="H618">
        <v>0.2</v>
      </c>
      <c r="I618">
        <v>85.31</v>
      </c>
    </row>
    <row r="619" spans="1:9" x14ac:dyDescent="0.3">
      <c r="A619">
        <v>618</v>
      </c>
      <c r="B619" s="10">
        <v>45091</v>
      </c>
      <c r="C619">
        <v>3</v>
      </c>
      <c r="D619">
        <v>156</v>
      </c>
      <c r="E619">
        <v>77</v>
      </c>
      <c r="F619">
        <v>2</v>
      </c>
      <c r="G619">
        <v>226.88</v>
      </c>
      <c r="H619">
        <v>0.1</v>
      </c>
      <c r="I619">
        <v>408.38</v>
      </c>
    </row>
    <row r="620" spans="1:9" x14ac:dyDescent="0.3">
      <c r="A620">
        <v>619</v>
      </c>
      <c r="B620" s="10">
        <v>45639</v>
      </c>
      <c r="C620">
        <v>2</v>
      </c>
      <c r="D620">
        <v>214</v>
      </c>
      <c r="E620">
        <v>3</v>
      </c>
      <c r="F620">
        <v>2</v>
      </c>
      <c r="G620">
        <v>190.58</v>
      </c>
      <c r="H620">
        <v>0</v>
      </c>
      <c r="I620">
        <v>381.16</v>
      </c>
    </row>
    <row r="621" spans="1:9" x14ac:dyDescent="0.3">
      <c r="A621">
        <v>620</v>
      </c>
      <c r="B621" s="10">
        <v>45292</v>
      </c>
      <c r="C621">
        <v>7</v>
      </c>
      <c r="D621">
        <v>156</v>
      </c>
      <c r="E621">
        <v>11</v>
      </c>
      <c r="F621">
        <v>2</v>
      </c>
      <c r="G621">
        <v>11.53</v>
      </c>
      <c r="H621">
        <v>0.05</v>
      </c>
      <c r="I621">
        <v>21.91</v>
      </c>
    </row>
    <row r="622" spans="1:9" x14ac:dyDescent="0.3">
      <c r="A622">
        <v>621</v>
      </c>
      <c r="B622" s="10">
        <v>45187</v>
      </c>
      <c r="C622">
        <v>4</v>
      </c>
      <c r="D622">
        <v>5</v>
      </c>
      <c r="E622">
        <v>31</v>
      </c>
      <c r="F622">
        <v>2</v>
      </c>
      <c r="G622">
        <v>165.45</v>
      </c>
      <c r="H622">
        <v>0.05</v>
      </c>
      <c r="I622">
        <v>314.35000000000002</v>
      </c>
    </row>
    <row r="623" spans="1:9" x14ac:dyDescent="0.3">
      <c r="A623">
        <v>622</v>
      </c>
      <c r="B623" s="10">
        <v>44934</v>
      </c>
      <c r="C623">
        <v>1</v>
      </c>
      <c r="D623">
        <v>18</v>
      </c>
      <c r="E623">
        <v>6</v>
      </c>
      <c r="F623">
        <v>1</v>
      </c>
      <c r="G623">
        <v>44.63</v>
      </c>
      <c r="H623">
        <v>0.05</v>
      </c>
      <c r="I623">
        <v>42.4</v>
      </c>
    </row>
    <row r="624" spans="1:9" x14ac:dyDescent="0.3">
      <c r="A624">
        <v>623</v>
      </c>
      <c r="B624" s="10">
        <v>45538</v>
      </c>
      <c r="C624">
        <v>8</v>
      </c>
      <c r="D624">
        <v>3</v>
      </c>
      <c r="E624">
        <v>8</v>
      </c>
      <c r="F624">
        <v>1</v>
      </c>
      <c r="G624">
        <v>259.11</v>
      </c>
      <c r="H624">
        <v>0</v>
      </c>
      <c r="I624">
        <v>259.11</v>
      </c>
    </row>
    <row r="625" spans="1:9" x14ac:dyDescent="0.3">
      <c r="A625">
        <v>624</v>
      </c>
      <c r="B625" s="10">
        <v>45795</v>
      </c>
      <c r="C625">
        <v>7</v>
      </c>
      <c r="D625">
        <v>170</v>
      </c>
      <c r="E625">
        <v>41</v>
      </c>
      <c r="F625">
        <v>1</v>
      </c>
      <c r="G625">
        <v>45.5</v>
      </c>
      <c r="H625">
        <v>0</v>
      </c>
      <c r="I625">
        <v>45.5</v>
      </c>
    </row>
    <row r="626" spans="1:9" x14ac:dyDescent="0.3">
      <c r="A626">
        <v>625</v>
      </c>
      <c r="B626" s="10">
        <v>45397</v>
      </c>
      <c r="C626">
        <v>4</v>
      </c>
      <c r="D626">
        <v>130</v>
      </c>
      <c r="E626">
        <v>23</v>
      </c>
      <c r="F626">
        <v>1</v>
      </c>
      <c r="G626">
        <v>79.94</v>
      </c>
      <c r="H626">
        <v>0</v>
      </c>
      <c r="I626">
        <v>79.94</v>
      </c>
    </row>
    <row r="627" spans="1:9" x14ac:dyDescent="0.3">
      <c r="A627">
        <v>626</v>
      </c>
      <c r="B627" s="10">
        <v>45870</v>
      </c>
      <c r="C627">
        <v>6</v>
      </c>
      <c r="D627">
        <v>216</v>
      </c>
      <c r="E627">
        <v>34</v>
      </c>
      <c r="F627">
        <v>1</v>
      </c>
      <c r="G627">
        <v>247.04</v>
      </c>
      <c r="H627">
        <v>0.1</v>
      </c>
      <c r="I627">
        <v>222.34</v>
      </c>
    </row>
    <row r="628" spans="1:9" x14ac:dyDescent="0.3">
      <c r="A628">
        <v>627</v>
      </c>
      <c r="B628" s="10">
        <v>45244</v>
      </c>
      <c r="C628">
        <v>5</v>
      </c>
      <c r="D628">
        <v>122</v>
      </c>
      <c r="E628">
        <v>74</v>
      </c>
      <c r="F628">
        <v>1</v>
      </c>
      <c r="G628">
        <v>205.01</v>
      </c>
      <c r="H628">
        <v>0</v>
      </c>
      <c r="I628">
        <v>205.01</v>
      </c>
    </row>
    <row r="629" spans="1:9" x14ac:dyDescent="0.3">
      <c r="A629">
        <v>628</v>
      </c>
      <c r="B629" s="10">
        <v>45313</v>
      </c>
      <c r="C629">
        <v>2</v>
      </c>
      <c r="D629">
        <v>88</v>
      </c>
      <c r="E629">
        <v>20</v>
      </c>
      <c r="F629">
        <v>1</v>
      </c>
      <c r="G629">
        <v>85.89</v>
      </c>
      <c r="H629">
        <v>0.1</v>
      </c>
      <c r="I629">
        <v>77.3</v>
      </c>
    </row>
    <row r="630" spans="1:9" x14ac:dyDescent="0.3">
      <c r="A630">
        <v>629</v>
      </c>
      <c r="B630" s="10">
        <v>44992</v>
      </c>
      <c r="C630">
        <v>7</v>
      </c>
      <c r="D630">
        <v>48</v>
      </c>
      <c r="E630">
        <v>79</v>
      </c>
      <c r="F630">
        <v>1</v>
      </c>
      <c r="G630">
        <v>117.59</v>
      </c>
      <c r="H630">
        <v>0.05</v>
      </c>
      <c r="I630">
        <v>111.71</v>
      </c>
    </row>
    <row r="631" spans="1:9" x14ac:dyDescent="0.3">
      <c r="A631">
        <v>630</v>
      </c>
      <c r="B631" s="10">
        <v>44959</v>
      </c>
      <c r="C631">
        <v>4</v>
      </c>
      <c r="D631">
        <v>150</v>
      </c>
      <c r="E631">
        <v>81</v>
      </c>
      <c r="F631">
        <v>3</v>
      </c>
      <c r="G631">
        <v>225.3</v>
      </c>
      <c r="H631">
        <v>0.2</v>
      </c>
      <c r="I631">
        <v>540.72</v>
      </c>
    </row>
    <row r="632" spans="1:9" x14ac:dyDescent="0.3">
      <c r="A632">
        <v>631</v>
      </c>
      <c r="B632" s="10">
        <v>45349</v>
      </c>
      <c r="C632">
        <v>2</v>
      </c>
      <c r="D632">
        <v>18</v>
      </c>
      <c r="E632">
        <v>69</v>
      </c>
      <c r="F632">
        <v>1</v>
      </c>
      <c r="G632">
        <v>22.86</v>
      </c>
      <c r="H632">
        <v>0</v>
      </c>
      <c r="I632">
        <v>22.86</v>
      </c>
    </row>
    <row r="633" spans="1:9" x14ac:dyDescent="0.3">
      <c r="A633">
        <v>632</v>
      </c>
      <c r="B633" s="10">
        <v>45133</v>
      </c>
      <c r="C633">
        <v>1</v>
      </c>
      <c r="D633">
        <v>119</v>
      </c>
      <c r="E633">
        <v>90</v>
      </c>
      <c r="F633">
        <v>1</v>
      </c>
      <c r="G633">
        <v>122.32</v>
      </c>
      <c r="H633">
        <v>0</v>
      </c>
      <c r="I633">
        <v>122.32</v>
      </c>
    </row>
    <row r="634" spans="1:9" x14ac:dyDescent="0.3">
      <c r="A634">
        <v>633</v>
      </c>
      <c r="B634" s="10">
        <v>45841</v>
      </c>
      <c r="C634">
        <v>1</v>
      </c>
      <c r="D634">
        <v>211</v>
      </c>
      <c r="E634">
        <v>45</v>
      </c>
      <c r="F634">
        <v>1</v>
      </c>
      <c r="G634">
        <v>70.989999999999995</v>
      </c>
      <c r="H634">
        <v>0</v>
      </c>
      <c r="I634">
        <v>70.989999999999995</v>
      </c>
    </row>
    <row r="635" spans="1:9" x14ac:dyDescent="0.3">
      <c r="A635">
        <v>634</v>
      </c>
      <c r="B635" s="10">
        <v>45428</v>
      </c>
      <c r="C635">
        <v>1</v>
      </c>
      <c r="D635">
        <v>23</v>
      </c>
      <c r="E635">
        <v>79</v>
      </c>
      <c r="F635">
        <v>1</v>
      </c>
      <c r="G635">
        <v>117.59</v>
      </c>
      <c r="H635">
        <v>0</v>
      </c>
      <c r="I635">
        <v>117.59</v>
      </c>
    </row>
    <row r="636" spans="1:9" x14ac:dyDescent="0.3">
      <c r="A636">
        <v>635</v>
      </c>
      <c r="B636" s="10">
        <v>45750</v>
      </c>
      <c r="C636">
        <v>8</v>
      </c>
      <c r="D636">
        <v>95</v>
      </c>
      <c r="E636">
        <v>56</v>
      </c>
      <c r="F636">
        <v>1</v>
      </c>
      <c r="G636">
        <v>232.81</v>
      </c>
      <c r="H636">
        <v>0.05</v>
      </c>
      <c r="I636">
        <v>221.17</v>
      </c>
    </row>
    <row r="637" spans="1:9" x14ac:dyDescent="0.3">
      <c r="A637">
        <v>636</v>
      </c>
      <c r="B637" s="10">
        <v>45406</v>
      </c>
      <c r="C637">
        <v>4</v>
      </c>
      <c r="D637">
        <v>189</v>
      </c>
      <c r="E637">
        <v>73</v>
      </c>
      <c r="F637">
        <v>1</v>
      </c>
      <c r="G637">
        <v>8.39</v>
      </c>
      <c r="H637">
        <v>0</v>
      </c>
      <c r="I637">
        <v>8.39</v>
      </c>
    </row>
    <row r="638" spans="1:9" x14ac:dyDescent="0.3">
      <c r="A638">
        <v>637</v>
      </c>
      <c r="B638" s="10">
        <v>45042</v>
      </c>
      <c r="C638">
        <v>3</v>
      </c>
      <c r="D638">
        <v>218</v>
      </c>
      <c r="E638">
        <v>90</v>
      </c>
      <c r="F638">
        <v>2</v>
      </c>
      <c r="G638">
        <v>122.32</v>
      </c>
      <c r="H638">
        <v>0</v>
      </c>
      <c r="I638">
        <v>244.64</v>
      </c>
    </row>
    <row r="639" spans="1:9" x14ac:dyDescent="0.3">
      <c r="A639">
        <v>638</v>
      </c>
      <c r="B639" s="10">
        <v>45958</v>
      </c>
      <c r="C639">
        <v>5</v>
      </c>
      <c r="D639">
        <v>94</v>
      </c>
      <c r="E639">
        <v>85</v>
      </c>
      <c r="F639">
        <v>2</v>
      </c>
      <c r="G639">
        <v>83.36</v>
      </c>
      <c r="H639">
        <v>0</v>
      </c>
      <c r="I639">
        <v>166.72</v>
      </c>
    </row>
    <row r="640" spans="1:9" x14ac:dyDescent="0.3">
      <c r="A640">
        <v>639</v>
      </c>
      <c r="B640" s="10">
        <v>45406</v>
      </c>
      <c r="C640">
        <v>6</v>
      </c>
      <c r="D640">
        <v>125</v>
      </c>
      <c r="E640">
        <v>38</v>
      </c>
      <c r="F640">
        <v>1</v>
      </c>
      <c r="G640">
        <v>35.35</v>
      </c>
      <c r="H640">
        <v>0</v>
      </c>
      <c r="I640">
        <v>35.35</v>
      </c>
    </row>
    <row r="641" spans="1:9" x14ac:dyDescent="0.3">
      <c r="A641">
        <v>640</v>
      </c>
      <c r="B641" s="10">
        <v>45583</v>
      </c>
      <c r="C641">
        <v>4</v>
      </c>
      <c r="D641">
        <v>12</v>
      </c>
      <c r="E641">
        <v>59</v>
      </c>
      <c r="F641">
        <v>1</v>
      </c>
      <c r="G641">
        <v>17.41</v>
      </c>
      <c r="H641">
        <v>0.05</v>
      </c>
      <c r="I641">
        <v>16.54</v>
      </c>
    </row>
    <row r="642" spans="1:9" x14ac:dyDescent="0.3">
      <c r="A642">
        <v>641</v>
      </c>
      <c r="B642" s="10">
        <v>45545</v>
      </c>
      <c r="C642">
        <v>3</v>
      </c>
      <c r="D642">
        <v>117</v>
      </c>
      <c r="E642">
        <v>16</v>
      </c>
      <c r="F642">
        <v>1</v>
      </c>
      <c r="G642">
        <v>62.77</v>
      </c>
      <c r="H642">
        <v>0.05</v>
      </c>
      <c r="I642">
        <v>59.63</v>
      </c>
    </row>
    <row r="643" spans="1:9" x14ac:dyDescent="0.3">
      <c r="A643">
        <v>642</v>
      </c>
      <c r="B643" s="10">
        <v>45379</v>
      </c>
      <c r="C643">
        <v>7</v>
      </c>
      <c r="D643">
        <v>208</v>
      </c>
      <c r="E643">
        <v>15</v>
      </c>
      <c r="F643">
        <v>1</v>
      </c>
      <c r="G643">
        <v>58.26</v>
      </c>
      <c r="H643">
        <v>0</v>
      </c>
      <c r="I643">
        <v>58.26</v>
      </c>
    </row>
    <row r="644" spans="1:9" x14ac:dyDescent="0.3">
      <c r="A644">
        <v>643</v>
      </c>
      <c r="B644" s="10">
        <v>45542</v>
      </c>
      <c r="C644">
        <v>5</v>
      </c>
      <c r="D644">
        <v>55</v>
      </c>
      <c r="E644">
        <v>27</v>
      </c>
      <c r="F644">
        <v>1</v>
      </c>
      <c r="G644">
        <v>66.790000000000006</v>
      </c>
      <c r="H644">
        <v>0.05</v>
      </c>
      <c r="I644">
        <v>63.45</v>
      </c>
    </row>
    <row r="645" spans="1:9" x14ac:dyDescent="0.3">
      <c r="A645">
        <v>644</v>
      </c>
      <c r="B645" s="10">
        <v>45051</v>
      </c>
      <c r="C645">
        <v>3</v>
      </c>
      <c r="D645">
        <v>191</v>
      </c>
      <c r="E645">
        <v>79</v>
      </c>
      <c r="F645">
        <v>2</v>
      </c>
      <c r="G645">
        <v>117.59</v>
      </c>
      <c r="H645">
        <v>0.1</v>
      </c>
      <c r="I645">
        <v>211.66</v>
      </c>
    </row>
    <row r="646" spans="1:9" x14ac:dyDescent="0.3">
      <c r="A646">
        <v>645</v>
      </c>
      <c r="B646" s="10">
        <v>45801</v>
      </c>
      <c r="C646">
        <v>8</v>
      </c>
      <c r="D646">
        <v>33</v>
      </c>
      <c r="E646">
        <v>51</v>
      </c>
      <c r="F646">
        <v>1</v>
      </c>
      <c r="G646">
        <v>302.75</v>
      </c>
      <c r="H646">
        <v>0.05</v>
      </c>
      <c r="I646">
        <v>287.61</v>
      </c>
    </row>
    <row r="647" spans="1:9" x14ac:dyDescent="0.3">
      <c r="A647">
        <v>646</v>
      </c>
      <c r="B647" s="10">
        <v>45023</v>
      </c>
      <c r="C647">
        <v>6</v>
      </c>
      <c r="D647">
        <v>201</v>
      </c>
      <c r="E647">
        <v>52</v>
      </c>
      <c r="F647">
        <v>1</v>
      </c>
      <c r="G647">
        <v>196.75</v>
      </c>
      <c r="H647">
        <v>0.05</v>
      </c>
      <c r="I647">
        <v>186.91</v>
      </c>
    </row>
    <row r="648" spans="1:9" x14ac:dyDescent="0.3">
      <c r="A648">
        <v>647</v>
      </c>
      <c r="B648" s="10">
        <v>45707</v>
      </c>
      <c r="C648">
        <v>6</v>
      </c>
      <c r="D648">
        <v>184</v>
      </c>
      <c r="E648">
        <v>38</v>
      </c>
      <c r="F648">
        <v>1</v>
      </c>
      <c r="G648">
        <v>35.35</v>
      </c>
      <c r="H648">
        <v>0</v>
      </c>
      <c r="I648">
        <v>35.35</v>
      </c>
    </row>
    <row r="649" spans="1:9" x14ac:dyDescent="0.3">
      <c r="A649">
        <v>648</v>
      </c>
      <c r="B649" s="10">
        <v>45779</v>
      </c>
      <c r="C649">
        <v>7</v>
      </c>
      <c r="D649">
        <v>16</v>
      </c>
      <c r="E649">
        <v>70</v>
      </c>
      <c r="F649">
        <v>4</v>
      </c>
      <c r="G649">
        <v>280.36</v>
      </c>
      <c r="H649">
        <v>0.05</v>
      </c>
      <c r="I649">
        <v>1065.3699999999999</v>
      </c>
    </row>
    <row r="650" spans="1:9" x14ac:dyDescent="0.3">
      <c r="A650">
        <v>649</v>
      </c>
      <c r="B650" s="10">
        <v>45232</v>
      </c>
      <c r="C650">
        <v>5</v>
      </c>
      <c r="D650">
        <v>152</v>
      </c>
      <c r="E650">
        <v>97</v>
      </c>
      <c r="F650">
        <v>2</v>
      </c>
      <c r="G650">
        <v>158.26</v>
      </c>
      <c r="H650">
        <v>0</v>
      </c>
      <c r="I650">
        <v>316.52</v>
      </c>
    </row>
    <row r="651" spans="1:9" x14ac:dyDescent="0.3">
      <c r="A651">
        <v>650</v>
      </c>
      <c r="B651" s="10">
        <v>45697</v>
      </c>
      <c r="C651">
        <v>3</v>
      </c>
      <c r="D651">
        <v>44</v>
      </c>
      <c r="E651">
        <v>78</v>
      </c>
      <c r="F651">
        <v>1</v>
      </c>
      <c r="G651">
        <v>25.66</v>
      </c>
      <c r="H651">
        <v>0.1</v>
      </c>
      <c r="I651">
        <v>23.09</v>
      </c>
    </row>
    <row r="652" spans="1:9" x14ac:dyDescent="0.3">
      <c r="A652">
        <v>651</v>
      </c>
      <c r="B652" s="10">
        <v>45896</v>
      </c>
      <c r="C652">
        <v>4</v>
      </c>
      <c r="D652">
        <v>177</v>
      </c>
      <c r="E652">
        <v>81</v>
      </c>
      <c r="F652">
        <v>1</v>
      </c>
      <c r="G652">
        <v>225.3</v>
      </c>
      <c r="H652">
        <v>0</v>
      </c>
      <c r="I652">
        <v>225.3</v>
      </c>
    </row>
    <row r="653" spans="1:9" x14ac:dyDescent="0.3">
      <c r="A653">
        <v>652</v>
      </c>
      <c r="B653" s="10">
        <v>45388</v>
      </c>
      <c r="C653">
        <v>5</v>
      </c>
      <c r="D653">
        <v>16</v>
      </c>
      <c r="E653">
        <v>53</v>
      </c>
      <c r="F653">
        <v>2</v>
      </c>
      <c r="G653">
        <v>229.6</v>
      </c>
      <c r="H653">
        <v>0</v>
      </c>
      <c r="I653">
        <v>459.2</v>
      </c>
    </row>
    <row r="654" spans="1:9" x14ac:dyDescent="0.3">
      <c r="A654">
        <v>653</v>
      </c>
      <c r="B654" s="10">
        <v>45222</v>
      </c>
      <c r="C654">
        <v>8</v>
      </c>
      <c r="D654">
        <v>39</v>
      </c>
      <c r="E654">
        <v>27</v>
      </c>
      <c r="F654">
        <v>3</v>
      </c>
      <c r="G654">
        <v>66.790000000000006</v>
      </c>
      <c r="H654">
        <v>0.1</v>
      </c>
      <c r="I654">
        <v>180.33</v>
      </c>
    </row>
    <row r="655" spans="1:9" x14ac:dyDescent="0.3">
      <c r="A655">
        <v>654</v>
      </c>
      <c r="B655" s="10">
        <v>45045</v>
      </c>
      <c r="C655">
        <v>7</v>
      </c>
      <c r="D655">
        <v>77</v>
      </c>
      <c r="E655">
        <v>42</v>
      </c>
      <c r="F655">
        <v>1</v>
      </c>
      <c r="G655">
        <v>127.97</v>
      </c>
      <c r="H655">
        <v>0</v>
      </c>
      <c r="I655">
        <v>127.97</v>
      </c>
    </row>
    <row r="656" spans="1:9" x14ac:dyDescent="0.3">
      <c r="A656">
        <v>655</v>
      </c>
      <c r="B656" s="10">
        <v>45780</v>
      </c>
      <c r="C656">
        <v>3</v>
      </c>
      <c r="D656">
        <v>162</v>
      </c>
      <c r="E656">
        <v>47</v>
      </c>
      <c r="F656">
        <v>1</v>
      </c>
      <c r="G656">
        <v>93.41</v>
      </c>
      <c r="H656">
        <v>0.2</v>
      </c>
      <c r="I656">
        <v>74.73</v>
      </c>
    </row>
    <row r="657" spans="1:9" x14ac:dyDescent="0.3">
      <c r="A657">
        <v>656</v>
      </c>
      <c r="B657" s="10">
        <v>45722</v>
      </c>
      <c r="C657">
        <v>4</v>
      </c>
      <c r="D657">
        <v>219</v>
      </c>
      <c r="E657">
        <v>39</v>
      </c>
      <c r="F657">
        <v>1</v>
      </c>
      <c r="G657">
        <v>181.34</v>
      </c>
      <c r="H657">
        <v>0</v>
      </c>
      <c r="I657">
        <v>181.34</v>
      </c>
    </row>
    <row r="658" spans="1:9" x14ac:dyDescent="0.3">
      <c r="A658">
        <v>657</v>
      </c>
      <c r="B658" s="10">
        <v>45449</v>
      </c>
      <c r="C658">
        <v>4</v>
      </c>
      <c r="D658">
        <v>131</v>
      </c>
      <c r="E658">
        <v>27</v>
      </c>
      <c r="F658">
        <v>2</v>
      </c>
      <c r="G658">
        <v>66.790000000000006</v>
      </c>
      <c r="H658">
        <v>0</v>
      </c>
      <c r="I658">
        <v>133.58000000000001</v>
      </c>
    </row>
    <row r="659" spans="1:9" x14ac:dyDescent="0.3">
      <c r="A659">
        <v>658</v>
      </c>
      <c r="B659" s="10">
        <v>45603</v>
      </c>
      <c r="C659">
        <v>2</v>
      </c>
      <c r="D659">
        <v>180</v>
      </c>
      <c r="E659">
        <v>81</v>
      </c>
      <c r="F659">
        <v>1</v>
      </c>
      <c r="G659">
        <v>225.3</v>
      </c>
      <c r="H659">
        <v>0</v>
      </c>
      <c r="I659">
        <v>225.3</v>
      </c>
    </row>
    <row r="660" spans="1:9" x14ac:dyDescent="0.3">
      <c r="A660">
        <v>659</v>
      </c>
      <c r="B660" s="10">
        <v>45848</v>
      </c>
      <c r="C660">
        <v>6</v>
      </c>
      <c r="D660">
        <v>200</v>
      </c>
      <c r="E660">
        <v>39</v>
      </c>
      <c r="F660">
        <v>1</v>
      </c>
      <c r="G660">
        <v>181.34</v>
      </c>
      <c r="H660">
        <v>0</v>
      </c>
      <c r="I660">
        <v>181.34</v>
      </c>
    </row>
    <row r="661" spans="1:9" x14ac:dyDescent="0.3">
      <c r="A661">
        <v>660</v>
      </c>
      <c r="B661" s="10">
        <v>45116</v>
      </c>
      <c r="C661">
        <v>4</v>
      </c>
      <c r="D661">
        <v>101</v>
      </c>
      <c r="E661">
        <v>44</v>
      </c>
      <c r="F661">
        <v>1</v>
      </c>
      <c r="G661">
        <v>235.19</v>
      </c>
      <c r="H661">
        <v>0.05</v>
      </c>
      <c r="I661">
        <v>223.43</v>
      </c>
    </row>
    <row r="662" spans="1:9" x14ac:dyDescent="0.3">
      <c r="A662">
        <v>661</v>
      </c>
      <c r="B662" s="10">
        <v>45032</v>
      </c>
      <c r="C662">
        <v>5</v>
      </c>
      <c r="D662">
        <v>187</v>
      </c>
      <c r="E662">
        <v>73</v>
      </c>
      <c r="F662">
        <v>1</v>
      </c>
      <c r="G662">
        <v>8.39</v>
      </c>
      <c r="H662">
        <v>0.1</v>
      </c>
      <c r="I662">
        <v>7.55</v>
      </c>
    </row>
    <row r="663" spans="1:9" x14ac:dyDescent="0.3">
      <c r="A663">
        <v>662</v>
      </c>
      <c r="B663" s="10">
        <v>45699</v>
      </c>
      <c r="C663">
        <v>1</v>
      </c>
      <c r="D663">
        <v>112</v>
      </c>
      <c r="E663">
        <v>85</v>
      </c>
      <c r="F663">
        <v>1</v>
      </c>
      <c r="G663">
        <v>83.36</v>
      </c>
      <c r="H663">
        <v>0.15</v>
      </c>
      <c r="I663">
        <v>70.86</v>
      </c>
    </row>
    <row r="664" spans="1:9" x14ac:dyDescent="0.3">
      <c r="A664">
        <v>663</v>
      </c>
      <c r="B664" s="10">
        <v>45076</v>
      </c>
      <c r="C664">
        <v>4</v>
      </c>
      <c r="D664">
        <v>73</v>
      </c>
      <c r="E664">
        <v>67</v>
      </c>
      <c r="F664">
        <v>2</v>
      </c>
      <c r="G664">
        <v>41.9</v>
      </c>
      <c r="H664">
        <v>0.1</v>
      </c>
      <c r="I664">
        <v>75.42</v>
      </c>
    </row>
    <row r="665" spans="1:9" x14ac:dyDescent="0.3">
      <c r="A665">
        <v>664</v>
      </c>
      <c r="B665" s="10">
        <v>45371</v>
      </c>
      <c r="C665">
        <v>8</v>
      </c>
      <c r="D665">
        <v>196</v>
      </c>
      <c r="E665">
        <v>55</v>
      </c>
      <c r="F665">
        <v>3</v>
      </c>
      <c r="G665">
        <v>193.33</v>
      </c>
      <c r="H665">
        <v>0.05</v>
      </c>
      <c r="I665">
        <v>550.99</v>
      </c>
    </row>
    <row r="666" spans="1:9" x14ac:dyDescent="0.3">
      <c r="A666">
        <v>665</v>
      </c>
      <c r="B666" s="10">
        <v>45354</v>
      </c>
      <c r="C666">
        <v>6</v>
      </c>
      <c r="D666">
        <v>7</v>
      </c>
      <c r="E666">
        <v>78</v>
      </c>
      <c r="F666">
        <v>3</v>
      </c>
      <c r="G666">
        <v>25.66</v>
      </c>
      <c r="H666">
        <v>0.15</v>
      </c>
      <c r="I666">
        <v>65.430000000000007</v>
      </c>
    </row>
    <row r="667" spans="1:9" x14ac:dyDescent="0.3">
      <c r="A667">
        <v>666</v>
      </c>
      <c r="B667" s="10">
        <v>45547</v>
      </c>
      <c r="C667">
        <v>1</v>
      </c>
      <c r="D667">
        <v>77</v>
      </c>
      <c r="E667">
        <v>88</v>
      </c>
      <c r="F667">
        <v>4</v>
      </c>
      <c r="G667">
        <v>181.05</v>
      </c>
      <c r="H667">
        <v>0</v>
      </c>
      <c r="I667">
        <v>724.2</v>
      </c>
    </row>
    <row r="668" spans="1:9" x14ac:dyDescent="0.3">
      <c r="A668">
        <v>667</v>
      </c>
      <c r="B668" s="10">
        <v>45360</v>
      </c>
      <c r="C668">
        <v>4</v>
      </c>
      <c r="D668">
        <v>175</v>
      </c>
      <c r="E668">
        <v>70</v>
      </c>
      <c r="F668">
        <v>1</v>
      </c>
      <c r="G668">
        <v>280.36</v>
      </c>
      <c r="H668">
        <v>0</v>
      </c>
      <c r="I668">
        <v>280.36</v>
      </c>
    </row>
    <row r="669" spans="1:9" x14ac:dyDescent="0.3">
      <c r="A669">
        <v>668</v>
      </c>
      <c r="B669" s="10">
        <v>45167</v>
      </c>
      <c r="C669">
        <v>8</v>
      </c>
      <c r="D669">
        <v>144</v>
      </c>
      <c r="E669">
        <v>2</v>
      </c>
      <c r="F669">
        <v>1</v>
      </c>
      <c r="G669">
        <v>274.16000000000003</v>
      </c>
      <c r="H669">
        <v>0.05</v>
      </c>
      <c r="I669">
        <v>260.45</v>
      </c>
    </row>
    <row r="670" spans="1:9" x14ac:dyDescent="0.3">
      <c r="A670">
        <v>669</v>
      </c>
      <c r="B670" s="10">
        <v>45423</v>
      </c>
      <c r="C670">
        <v>4</v>
      </c>
      <c r="D670">
        <v>145</v>
      </c>
      <c r="E670">
        <v>5</v>
      </c>
      <c r="F670">
        <v>1</v>
      </c>
      <c r="G670">
        <v>55.26</v>
      </c>
      <c r="H670">
        <v>0</v>
      </c>
      <c r="I670">
        <v>55.26</v>
      </c>
    </row>
    <row r="671" spans="1:9" x14ac:dyDescent="0.3">
      <c r="A671">
        <v>670</v>
      </c>
      <c r="B671" s="10">
        <v>45739</v>
      </c>
      <c r="C671">
        <v>4</v>
      </c>
      <c r="D671">
        <v>77</v>
      </c>
      <c r="E671">
        <v>41</v>
      </c>
      <c r="F671">
        <v>1</v>
      </c>
      <c r="G671">
        <v>45.5</v>
      </c>
      <c r="H671">
        <v>0.05</v>
      </c>
      <c r="I671">
        <v>43.23</v>
      </c>
    </row>
    <row r="672" spans="1:9" x14ac:dyDescent="0.3">
      <c r="A672">
        <v>671</v>
      </c>
      <c r="B672" s="10">
        <v>45585</v>
      </c>
      <c r="C672">
        <v>5</v>
      </c>
      <c r="D672">
        <v>55</v>
      </c>
      <c r="E672">
        <v>48</v>
      </c>
      <c r="F672">
        <v>1</v>
      </c>
      <c r="G672">
        <v>146.85</v>
      </c>
      <c r="H672">
        <v>0</v>
      </c>
      <c r="I672">
        <v>146.85</v>
      </c>
    </row>
    <row r="673" spans="1:9" x14ac:dyDescent="0.3">
      <c r="A673">
        <v>672</v>
      </c>
      <c r="B673" s="10">
        <v>45706</v>
      </c>
      <c r="C673">
        <v>8</v>
      </c>
      <c r="D673">
        <v>214</v>
      </c>
      <c r="E673">
        <v>40</v>
      </c>
      <c r="F673">
        <v>2</v>
      </c>
      <c r="G673">
        <v>144.41999999999999</v>
      </c>
      <c r="H673">
        <v>0</v>
      </c>
      <c r="I673">
        <v>288.83999999999997</v>
      </c>
    </row>
    <row r="674" spans="1:9" x14ac:dyDescent="0.3">
      <c r="A674">
        <v>673</v>
      </c>
      <c r="B674" s="10">
        <v>45662</v>
      </c>
      <c r="C674">
        <v>5</v>
      </c>
      <c r="D674">
        <v>40</v>
      </c>
      <c r="E674">
        <v>99</v>
      </c>
      <c r="F674">
        <v>1</v>
      </c>
      <c r="G674">
        <v>15.44</v>
      </c>
      <c r="H674">
        <v>0</v>
      </c>
      <c r="I674">
        <v>15.44</v>
      </c>
    </row>
    <row r="675" spans="1:9" x14ac:dyDescent="0.3">
      <c r="A675">
        <v>674</v>
      </c>
      <c r="B675" s="10">
        <v>45462</v>
      </c>
      <c r="C675">
        <v>6</v>
      </c>
      <c r="D675">
        <v>43</v>
      </c>
      <c r="E675">
        <v>89</v>
      </c>
      <c r="F675">
        <v>1</v>
      </c>
      <c r="G675">
        <v>247.43</v>
      </c>
      <c r="H675">
        <v>0</v>
      </c>
      <c r="I675">
        <v>247.43</v>
      </c>
    </row>
    <row r="676" spans="1:9" x14ac:dyDescent="0.3">
      <c r="A676">
        <v>675</v>
      </c>
      <c r="B676" s="10">
        <v>45945</v>
      </c>
      <c r="C676">
        <v>8</v>
      </c>
      <c r="D676">
        <v>163</v>
      </c>
      <c r="E676">
        <v>30</v>
      </c>
      <c r="F676">
        <v>1</v>
      </c>
      <c r="G676">
        <v>19.399999999999999</v>
      </c>
      <c r="H676">
        <v>0</v>
      </c>
      <c r="I676">
        <v>19.399999999999999</v>
      </c>
    </row>
    <row r="677" spans="1:9" x14ac:dyDescent="0.3">
      <c r="A677">
        <v>676</v>
      </c>
      <c r="B677" s="10">
        <v>45128</v>
      </c>
      <c r="C677">
        <v>8</v>
      </c>
      <c r="D677">
        <v>68</v>
      </c>
      <c r="E677">
        <v>12</v>
      </c>
      <c r="F677">
        <v>1</v>
      </c>
      <c r="G677">
        <v>236.84</v>
      </c>
      <c r="H677">
        <v>0.1</v>
      </c>
      <c r="I677">
        <v>213.16</v>
      </c>
    </row>
    <row r="678" spans="1:9" x14ac:dyDescent="0.3">
      <c r="A678">
        <v>677</v>
      </c>
      <c r="B678" s="10">
        <v>45582</v>
      </c>
      <c r="C678">
        <v>4</v>
      </c>
      <c r="D678">
        <v>135</v>
      </c>
      <c r="E678">
        <v>40</v>
      </c>
      <c r="F678">
        <v>2</v>
      </c>
      <c r="G678">
        <v>144.41999999999999</v>
      </c>
      <c r="H678">
        <v>0.1</v>
      </c>
      <c r="I678">
        <v>259.95999999999998</v>
      </c>
    </row>
    <row r="679" spans="1:9" x14ac:dyDescent="0.3">
      <c r="A679">
        <v>678</v>
      </c>
      <c r="B679" s="10">
        <v>45686</v>
      </c>
      <c r="C679">
        <v>6</v>
      </c>
      <c r="D679">
        <v>123</v>
      </c>
      <c r="E679">
        <v>63</v>
      </c>
      <c r="F679">
        <v>1</v>
      </c>
      <c r="G679">
        <v>239.9</v>
      </c>
      <c r="H679">
        <v>0</v>
      </c>
      <c r="I679">
        <v>239.9</v>
      </c>
    </row>
    <row r="680" spans="1:9" x14ac:dyDescent="0.3">
      <c r="A680">
        <v>679</v>
      </c>
      <c r="B680" s="10">
        <v>45774</v>
      </c>
      <c r="C680">
        <v>1</v>
      </c>
      <c r="D680">
        <v>74</v>
      </c>
      <c r="E680">
        <v>51</v>
      </c>
      <c r="F680">
        <v>1</v>
      </c>
      <c r="G680">
        <v>302.75</v>
      </c>
      <c r="H680">
        <v>0</v>
      </c>
      <c r="I680">
        <v>302.75</v>
      </c>
    </row>
    <row r="681" spans="1:9" x14ac:dyDescent="0.3">
      <c r="A681">
        <v>680</v>
      </c>
      <c r="B681" s="10">
        <v>45380</v>
      </c>
      <c r="C681">
        <v>3</v>
      </c>
      <c r="D681">
        <v>46</v>
      </c>
      <c r="E681">
        <v>50</v>
      </c>
      <c r="F681">
        <v>1</v>
      </c>
      <c r="G681">
        <v>52.54</v>
      </c>
      <c r="H681">
        <v>0</v>
      </c>
      <c r="I681">
        <v>52.54</v>
      </c>
    </row>
    <row r="682" spans="1:9" x14ac:dyDescent="0.3">
      <c r="A682">
        <v>681</v>
      </c>
      <c r="B682" s="10">
        <v>44960</v>
      </c>
      <c r="C682">
        <v>5</v>
      </c>
      <c r="D682">
        <v>111</v>
      </c>
      <c r="E682">
        <v>42</v>
      </c>
      <c r="F682">
        <v>1</v>
      </c>
      <c r="G682">
        <v>127.97</v>
      </c>
      <c r="H682">
        <v>0</v>
      </c>
      <c r="I682">
        <v>127.97</v>
      </c>
    </row>
    <row r="683" spans="1:9" x14ac:dyDescent="0.3">
      <c r="A683">
        <v>682</v>
      </c>
      <c r="B683" s="10">
        <v>45782</v>
      </c>
      <c r="C683">
        <v>5</v>
      </c>
      <c r="D683">
        <v>25</v>
      </c>
      <c r="E683">
        <v>90</v>
      </c>
      <c r="F683">
        <v>1</v>
      </c>
      <c r="G683">
        <v>122.32</v>
      </c>
      <c r="H683">
        <v>0.05</v>
      </c>
      <c r="I683">
        <v>116.2</v>
      </c>
    </row>
    <row r="684" spans="1:9" x14ac:dyDescent="0.3">
      <c r="A684">
        <v>683</v>
      </c>
      <c r="B684" s="10">
        <v>45239</v>
      </c>
      <c r="C684">
        <v>4</v>
      </c>
      <c r="D684">
        <v>67</v>
      </c>
      <c r="E684">
        <v>22</v>
      </c>
      <c r="F684">
        <v>1</v>
      </c>
      <c r="G684">
        <v>49.91</v>
      </c>
      <c r="H684">
        <v>0.05</v>
      </c>
      <c r="I684">
        <v>47.41</v>
      </c>
    </row>
    <row r="685" spans="1:9" x14ac:dyDescent="0.3">
      <c r="A685">
        <v>684</v>
      </c>
      <c r="B685" s="10">
        <v>45602</v>
      </c>
      <c r="C685">
        <v>4</v>
      </c>
      <c r="D685">
        <v>71</v>
      </c>
      <c r="E685">
        <v>9</v>
      </c>
      <c r="F685">
        <v>1</v>
      </c>
      <c r="G685">
        <v>152.78</v>
      </c>
      <c r="H685">
        <v>0</v>
      </c>
      <c r="I685">
        <v>152.78</v>
      </c>
    </row>
    <row r="686" spans="1:9" x14ac:dyDescent="0.3">
      <c r="A686">
        <v>685</v>
      </c>
      <c r="B686" s="10">
        <v>45704</v>
      </c>
      <c r="C686">
        <v>4</v>
      </c>
      <c r="D686">
        <v>84</v>
      </c>
      <c r="E686">
        <v>80</v>
      </c>
      <c r="F686">
        <v>2</v>
      </c>
      <c r="G686">
        <v>33.380000000000003</v>
      </c>
      <c r="H686">
        <v>0.05</v>
      </c>
      <c r="I686">
        <v>63.42</v>
      </c>
    </row>
    <row r="687" spans="1:9" x14ac:dyDescent="0.3">
      <c r="A687">
        <v>686</v>
      </c>
      <c r="B687" s="10">
        <v>45949</v>
      </c>
      <c r="C687">
        <v>6</v>
      </c>
      <c r="D687">
        <v>21</v>
      </c>
      <c r="E687">
        <v>12</v>
      </c>
      <c r="F687">
        <v>2</v>
      </c>
      <c r="G687">
        <v>236.84</v>
      </c>
      <c r="H687">
        <v>0</v>
      </c>
      <c r="I687">
        <v>473.68</v>
      </c>
    </row>
    <row r="688" spans="1:9" x14ac:dyDescent="0.3">
      <c r="A688">
        <v>687</v>
      </c>
      <c r="B688" s="10">
        <v>45454</v>
      </c>
      <c r="C688">
        <v>8</v>
      </c>
      <c r="D688">
        <v>144</v>
      </c>
      <c r="E688">
        <v>100</v>
      </c>
      <c r="F688">
        <v>3</v>
      </c>
      <c r="G688">
        <v>39.06</v>
      </c>
      <c r="H688">
        <v>0.1</v>
      </c>
      <c r="I688">
        <v>105.46</v>
      </c>
    </row>
    <row r="689" spans="1:9" x14ac:dyDescent="0.3">
      <c r="A689">
        <v>688</v>
      </c>
      <c r="B689" s="10">
        <v>45931</v>
      </c>
      <c r="C689">
        <v>8</v>
      </c>
      <c r="D689">
        <v>121</v>
      </c>
      <c r="E689">
        <v>19</v>
      </c>
      <c r="F689">
        <v>2</v>
      </c>
      <c r="G689">
        <v>138.31</v>
      </c>
      <c r="H689">
        <v>0.1</v>
      </c>
      <c r="I689">
        <v>248.96</v>
      </c>
    </row>
    <row r="690" spans="1:9" x14ac:dyDescent="0.3">
      <c r="A690">
        <v>689</v>
      </c>
      <c r="B690" s="10">
        <v>45271</v>
      </c>
      <c r="C690">
        <v>6</v>
      </c>
      <c r="D690">
        <v>161</v>
      </c>
      <c r="E690">
        <v>62</v>
      </c>
      <c r="F690">
        <v>1</v>
      </c>
      <c r="G690">
        <v>82.81</v>
      </c>
      <c r="H690">
        <v>0</v>
      </c>
      <c r="I690">
        <v>82.81</v>
      </c>
    </row>
    <row r="691" spans="1:9" x14ac:dyDescent="0.3">
      <c r="A691">
        <v>690</v>
      </c>
      <c r="B691" s="10">
        <v>45273</v>
      </c>
      <c r="C691">
        <v>3</v>
      </c>
      <c r="D691">
        <v>214</v>
      </c>
      <c r="E691">
        <v>55</v>
      </c>
      <c r="F691">
        <v>2</v>
      </c>
      <c r="G691">
        <v>193.33</v>
      </c>
      <c r="H691">
        <v>0</v>
      </c>
      <c r="I691">
        <v>386.66</v>
      </c>
    </row>
    <row r="692" spans="1:9" x14ac:dyDescent="0.3">
      <c r="A692">
        <v>691</v>
      </c>
      <c r="B692" s="10">
        <v>45927</v>
      </c>
      <c r="C692">
        <v>3</v>
      </c>
      <c r="D692">
        <v>98</v>
      </c>
      <c r="E692">
        <v>35</v>
      </c>
      <c r="F692">
        <v>2</v>
      </c>
      <c r="G692">
        <v>303.48</v>
      </c>
      <c r="H692">
        <v>0</v>
      </c>
      <c r="I692">
        <v>606.96</v>
      </c>
    </row>
    <row r="693" spans="1:9" x14ac:dyDescent="0.3">
      <c r="A693">
        <v>692</v>
      </c>
      <c r="B693" s="10">
        <v>45047</v>
      </c>
      <c r="C693">
        <v>1</v>
      </c>
      <c r="D693">
        <v>195</v>
      </c>
      <c r="E693">
        <v>7</v>
      </c>
      <c r="F693">
        <v>1</v>
      </c>
      <c r="G693">
        <v>21.72</v>
      </c>
      <c r="H693">
        <v>0.1</v>
      </c>
      <c r="I693">
        <v>19.55</v>
      </c>
    </row>
    <row r="694" spans="1:9" x14ac:dyDescent="0.3">
      <c r="A694">
        <v>693</v>
      </c>
      <c r="B694" s="10">
        <v>45079</v>
      </c>
      <c r="C694">
        <v>1</v>
      </c>
      <c r="D694">
        <v>156</v>
      </c>
      <c r="E694">
        <v>17</v>
      </c>
      <c r="F694">
        <v>2</v>
      </c>
      <c r="G694">
        <v>97.14</v>
      </c>
      <c r="H694">
        <v>0</v>
      </c>
      <c r="I694">
        <v>194.28</v>
      </c>
    </row>
    <row r="695" spans="1:9" x14ac:dyDescent="0.3">
      <c r="A695">
        <v>694</v>
      </c>
      <c r="B695" s="10">
        <v>44940</v>
      </c>
      <c r="C695">
        <v>7</v>
      </c>
      <c r="D695">
        <v>4</v>
      </c>
      <c r="E695">
        <v>8</v>
      </c>
      <c r="F695">
        <v>1</v>
      </c>
      <c r="G695">
        <v>259.11</v>
      </c>
      <c r="H695">
        <v>0.05</v>
      </c>
      <c r="I695">
        <v>246.15</v>
      </c>
    </row>
    <row r="696" spans="1:9" x14ac:dyDescent="0.3">
      <c r="A696">
        <v>695</v>
      </c>
      <c r="B696" s="10">
        <v>45208</v>
      </c>
      <c r="C696">
        <v>4</v>
      </c>
      <c r="D696">
        <v>6</v>
      </c>
      <c r="E696">
        <v>70</v>
      </c>
      <c r="F696">
        <v>2</v>
      </c>
      <c r="G696">
        <v>280.36</v>
      </c>
      <c r="H696">
        <v>0.1</v>
      </c>
      <c r="I696">
        <v>504.65</v>
      </c>
    </row>
    <row r="697" spans="1:9" x14ac:dyDescent="0.3">
      <c r="A697">
        <v>696</v>
      </c>
      <c r="B697" s="10">
        <v>45066</v>
      </c>
      <c r="C697">
        <v>3</v>
      </c>
      <c r="D697">
        <v>117</v>
      </c>
      <c r="E697">
        <v>41</v>
      </c>
      <c r="F697">
        <v>1</v>
      </c>
      <c r="G697">
        <v>45.5</v>
      </c>
      <c r="H697">
        <v>0</v>
      </c>
      <c r="I697">
        <v>45.5</v>
      </c>
    </row>
    <row r="698" spans="1:9" x14ac:dyDescent="0.3">
      <c r="A698">
        <v>697</v>
      </c>
      <c r="B698" s="10">
        <v>44945</v>
      </c>
      <c r="C698">
        <v>4</v>
      </c>
      <c r="D698">
        <v>175</v>
      </c>
      <c r="E698">
        <v>37</v>
      </c>
      <c r="F698">
        <v>1</v>
      </c>
      <c r="G698">
        <v>88.87</v>
      </c>
      <c r="H698">
        <v>0</v>
      </c>
      <c r="I698">
        <v>88.87</v>
      </c>
    </row>
    <row r="699" spans="1:9" x14ac:dyDescent="0.3">
      <c r="A699">
        <v>698</v>
      </c>
      <c r="B699" s="10">
        <v>45962</v>
      </c>
      <c r="C699">
        <v>8</v>
      </c>
      <c r="D699">
        <v>68</v>
      </c>
      <c r="E699">
        <v>4</v>
      </c>
      <c r="F699">
        <v>1</v>
      </c>
      <c r="G699">
        <v>168</v>
      </c>
      <c r="H699">
        <v>0</v>
      </c>
      <c r="I699">
        <v>168</v>
      </c>
    </row>
    <row r="700" spans="1:9" x14ac:dyDescent="0.3">
      <c r="A700">
        <v>699</v>
      </c>
      <c r="B700" s="10">
        <v>45691</v>
      </c>
      <c r="C700">
        <v>1</v>
      </c>
      <c r="D700">
        <v>197</v>
      </c>
      <c r="E700">
        <v>68</v>
      </c>
      <c r="F700">
        <v>2</v>
      </c>
      <c r="G700">
        <v>198.56</v>
      </c>
      <c r="H700">
        <v>0</v>
      </c>
      <c r="I700">
        <v>397.12</v>
      </c>
    </row>
    <row r="701" spans="1:9" x14ac:dyDescent="0.3">
      <c r="A701">
        <v>700</v>
      </c>
      <c r="B701" s="10">
        <v>45916</v>
      </c>
      <c r="C701">
        <v>8</v>
      </c>
      <c r="D701">
        <v>25</v>
      </c>
      <c r="E701">
        <v>99</v>
      </c>
      <c r="F701">
        <v>1</v>
      </c>
      <c r="G701">
        <v>15.44</v>
      </c>
      <c r="H701">
        <v>0</v>
      </c>
      <c r="I701">
        <v>15.44</v>
      </c>
    </row>
    <row r="702" spans="1:9" x14ac:dyDescent="0.3">
      <c r="A702">
        <v>701</v>
      </c>
      <c r="B702" s="10">
        <v>44959</v>
      </c>
      <c r="C702">
        <v>1</v>
      </c>
      <c r="D702">
        <v>80</v>
      </c>
      <c r="E702">
        <v>64</v>
      </c>
      <c r="F702">
        <v>2</v>
      </c>
      <c r="G702">
        <v>103.65</v>
      </c>
      <c r="H702">
        <v>0</v>
      </c>
      <c r="I702">
        <v>207.3</v>
      </c>
    </row>
    <row r="703" spans="1:9" x14ac:dyDescent="0.3">
      <c r="A703">
        <v>702</v>
      </c>
      <c r="B703" s="10">
        <v>45769</v>
      </c>
      <c r="C703">
        <v>1</v>
      </c>
      <c r="D703">
        <v>4</v>
      </c>
      <c r="E703">
        <v>37</v>
      </c>
      <c r="F703">
        <v>1</v>
      </c>
      <c r="G703">
        <v>88.87</v>
      </c>
      <c r="H703">
        <v>0.1</v>
      </c>
      <c r="I703">
        <v>79.98</v>
      </c>
    </row>
    <row r="704" spans="1:9" x14ac:dyDescent="0.3">
      <c r="A704">
        <v>703</v>
      </c>
      <c r="B704" s="10">
        <v>44961</v>
      </c>
      <c r="C704">
        <v>5</v>
      </c>
      <c r="D704">
        <v>197</v>
      </c>
      <c r="E704">
        <v>66</v>
      </c>
      <c r="F704">
        <v>1</v>
      </c>
      <c r="G704">
        <v>169.57</v>
      </c>
      <c r="H704">
        <v>0</v>
      </c>
      <c r="I704">
        <v>169.57</v>
      </c>
    </row>
    <row r="705" spans="1:9" x14ac:dyDescent="0.3">
      <c r="A705">
        <v>704</v>
      </c>
      <c r="B705" s="10">
        <v>45514</v>
      </c>
      <c r="C705">
        <v>1</v>
      </c>
      <c r="D705">
        <v>172</v>
      </c>
      <c r="E705">
        <v>89</v>
      </c>
      <c r="F705">
        <v>2</v>
      </c>
      <c r="G705">
        <v>247.43</v>
      </c>
      <c r="H705">
        <v>0.1</v>
      </c>
      <c r="I705">
        <v>445.37</v>
      </c>
    </row>
    <row r="706" spans="1:9" x14ac:dyDescent="0.3">
      <c r="A706">
        <v>705</v>
      </c>
      <c r="B706" s="10">
        <v>45955</v>
      </c>
      <c r="C706">
        <v>7</v>
      </c>
      <c r="D706">
        <v>158</v>
      </c>
      <c r="E706">
        <v>4</v>
      </c>
      <c r="F706">
        <v>1</v>
      </c>
      <c r="G706">
        <v>168</v>
      </c>
      <c r="H706">
        <v>0.05</v>
      </c>
      <c r="I706">
        <v>159.6</v>
      </c>
    </row>
    <row r="707" spans="1:9" x14ac:dyDescent="0.3">
      <c r="A707">
        <v>706</v>
      </c>
      <c r="B707" s="10">
        <v>45294</v>
      </c>
      <c r="C707">
        <v>2</v>
      </c>
      <c r="D707">
        <v>216</v>
      </c>
      <c r="E707">
        <v>49</v>
      </c>
      <c r="F707">
        <v>1</v>
      </c>
      <c r="G707">
        <v>130.58000000000001</v>
      </c>
      <c r="H707">
        <v>0.05</v>
      </c>
      <c r="I707">
        <v>124.05</v>
      </c>
    </row>
    <row r="708" spans="1:9" x14ac:dyDescent="0.3">
      <c r="A708">
        <v>707</v>
      </c>
      <c r="B708" s="10">
        <v>45124</v>
      </c>
      <c r="C708">
        <v>3</v>
      </c>
      <c r="D708">
        <v>42</v>
      </c>
      <c r="E708">
        <v>44</v>
      </c>
      <c r="F708">
        <v>1</v>
      </c>
      <c r="G708">
        <v>235.19</v>
      </c>
      <c r="H708">
        <v>0.1</v>
      </c>
      <c r="I708">
        <v>211.67</v>
      </c>
    </row>
    <row r="709" spans="1:9" x14ac:dyDescent="0.3">
      <c r="A709">
        <v>708</v>
      </c>
      <c r="B709" s="10">
        <v>45420</v>
      </c>
      <c r="C709">
        <v>4</v>
      </c>
      <c r="D709">
        <v>85</v>
      </c>
      <c r="E709">
        <v>73</v>
      </c>
      <c r="F709">
        <v>1</v>
      </c>
      <c r="G709">
        <v>8.39</v>
      </c>
      <c r="H709">
        <v>0</v>
      </c>
      <c r="I709">
        <v>8.39</v>
      </c>
    </row>
    <row r="710" spans="1:9" x14ac:dyDescent="0.3">
      <c r="A710">
        <v>709</v>
      </c>
      <c r="B710" s="10">
        <v>45443</v>
      </c>
      <c r="C710">
        <v>6</v>
      </c>
      <c r="D710">
        <v>14</v>
      </c>
      <c r="E710">
        <v>34</v>
      </c>
      <c r="F710">
        <v>1</v>
      </c>
      <c r="G710">
        <v>247.04</v>
      </c>
      <c r="H710">
        <v>0</v>
      </c>
      <c r="I710">
        <v>247.04</v>
      </c>
    </row>
    <row r="711" spans="1:9" x14ac:dyDescent="0.3">
      <c r="A711">
        <v>710</v>
      </c>
      <c r="B711" s="10">
        <v>45474</v>
      </c>
      <c r="C711">
        <v>7</v>
      </c>
      <c r="D711">
        <v>135</v>
      </c>
      <c r="E711">
        <v>33</v>
      </c>
      <c r="F711">
        <v>1</v>
      </c>
      <c r="G711">
        <v>21.23</v>
      </c>
      <c r="H711">
        <v>0</v>
      </c>
      <c r="I711">
        <v>21.23</v>
      </c>
    </row>
    <row r="712" spans="1:9" x14ac:dyDescent="0.3">
      <c r="A712">
        <v>711</v>
      </c>
      <c r="B712" s="10">
        <v>45088</v>
      </c>
      <c r="C712">
        <v>6</v>
      </c>
      <c r="D712">
        <v>159</v>
      </c>
      <c r="E712">
        <v>66</v>
      </c>
      <c r="F712">
        <v>1</v>
      </c>
      <c r="G712">
        <v>169.57</v>
      </c>
      <c r="H712">
        <v>0</v>
      </c>
      <c r="I712">
        <v>169.57</v>
      </c>
    </row>
    <row r="713" spans="1:9" x14ac:dyDescent="0.3">
      <c r="A713">
        <v>712</v>
      </c>
      <c r="B713" s="10">
        <v>45758</v>
      </c>
      <c r="C713">
        <v>8</v>
      </c>
      <c r="D713">
        <v>134</v>
      </c>
      <c r="E713">
        <v>5</v>
      </c>
      <c r="F713">
        <v>1</v>
      </c>
      <c r="G713">
        <v>55.26</v>
      </c>
      <c r="H713">
        <v>0</v>
      </c>
      <c r="I713">
        <v>55.26</v>
      </c>
    </row>
    <row r="714" spans="1:9" x14ac:dyDescent="0.3">
      <c r="A714">
        <v>713</v>
      </c>
      <c r="B714" s="10">
        <v>45425</v>
      </c>
      <c r="C714">
        <v>4</v>
      </c>
      <c r="D714">
        <v>67</v>
      </c>
      <c r="E714">
        <v>55</v>
      </c>
      <c r="F714">
        <v>2</v>
      </c>
      <c r="G714">
        <v>193.33</v>
      </c>
      <c r="H714">
        <v>0</v>
      </c>
      <c r="I714">
        <v>386.66</v>
      </c>
    </row>
    <row r="715" spans="1:9" x14ac:dyDescent="0.3">
      <c r="A715">
        <v>714</v>
      </c>
      <c r="B715" s="10">
        <v>45541</v>
      </c>
      <c r="C715">
        <v>2</v>
      </c>
      <c r="D715">
        <v>108</v>
      </c>
      <c r="E715">
        <v>52</v>
      </c>
      <c r="F715">
        <v>2</v>
      </c>
      <c r="G715">
        <v>196.75</v>
      </c>
      <c r="H715">
        <v>0</v>
      </c>
      <c r="I715">
        <v>393.5</v>
      </c>
    </row>
    <row r="716" spans="1:9" x14ac:dyDescent="0.3">
      <c r="A716">
        <v>715</v>
      </c>
      <c r="B716" s="10">
        <v>44991</v>
      </c>
      <c r="C716">
        <v>2</v>
      </c>
      <c r="D716">
        <v>62</v>
      </c>
      <c r="E716">
        <v>57</v>
      </c>
      <c r="F716">
        <v>1</v>
      </c>
      <c r="G716">
        <v>32.28</v>
      </c>
      <c r="H716">
        <v>0</v>
      </c>
      <c r="I716">
        <v>32.28</v>
      </c>
    </row>
    <row r="717" spans="1:9" x14ac:dyDescent="0.3">
      <c r="A717">
        <v>716</v>
      </c>
      <c r="B717" s="10">
        <v>45757</v>
      </c>
      <c r="C717">
        <v>7</v>
      </c>
      <c r="D717">
        <v>134</v>
      </c>
      <c r="E717">
        <v>80</v>
      </c>
      <c r="F717">
        <v>1</v>
      </c>
      <c r="G717">
        <v>33.380000000000003</v>
      </c>
      <c r="H717">
        <v>0</v>
      </c>
      <c r="I717">
        <v>33.380000000000003</v>
      </c>
    </row>
    <row r="718" spans="1:9" x14ac:dyDescent="0.3">
      <c r="A718">
        <v>717</v>
      </c>
      <c r="B718" s="10">
        <v>45699</v>
      </c>
      <c r="C718">
        <v>8</v>
      </c>
      <c r="D718">
        <v>5</v>
      </c>
      <c r="E718">
        <v>47</v>
      </c>
      <c r="F718">
        <v>1</v>
      </c>
      <c r="G718">
        <v>93.41</v>
      </c>
      <c r="H718">
        <v>0</v>
      </c>
      <c r="I718">
        <v>93.41</v>
      </c>
    </row>
    <row r="719" spans="1:9" x14ac:dyDescent="0.3">
      <c r="A719">
        <v>718</v>
      </c>
      <c r="B719" s="10">
        <v>45041</v>
      </c>
      <c r="C719">
        <v>1</v>
      </c>
      <c r="D719">
        <v>141</v>
      </c>
      <c r="E719">
        <v>34</v>
      </c>
      <c r="F719">
        <v>1</v>
      </c>
      <c r="G719">
        <v>247.04</v>
      </c>
      <c r="H719">
        <v>0</v>
      </c>
      <c r="I719">
        <v>247.04</v>
      </c>
    </row>
    <row r="720" spans="1:9" x14ac:dyDescent="0.3">
      <c r="A720">
        <v>719</v>
      </c>
      <c r="B720" s="10">
        <v>45277</v>
      </c>
      <c r="C720">
        <v>2</v>
      </c>
      <c r="D720">
        <v>36</v>
      </c>
      <c r="E720">
        <v>1</v>
      </c>
      <c r="F720">
        <v>1</v>
      </c>
      <c r="G720">
        <v>90.53</v>
      </c>
      <c r="H720">
        <v>0</v>
      </c>
      <c r="I720">
        <v>90.53</v>
      </c>
    </row>
    <row r="721" spans="1:9" x14ac:dyDescent="0.3">
      <c r="A721">
        <v>720</v>
      </c>
      <c r="B721" s="10">
        <v>45950</v>
      </c>
      <c r="C721">
        <v>7</v>
      </c>
      <c r="D721">
        <v>14</v>
      </c>
      <c r="E721">
        <v>95</v>
      </c>
      <c r="F721">
        <v>1</v>
      </c>
      <c r="G721">
        <v>201.94</v>
      </c>
      <c r="H721">
        <v>0.1</v>
      </c>
      <c r="I721">
        <v>181.75</v>
      </c>
    </row>
    <row r="722" spans="1:9" x14ac:dyDescent="0.3">
      <c r="A722">
        <v>721</v>
      </c>
      <c r="B722" s="10">
        <v>45605</v>
      </c>
      <c r="C722">
        <v>2</v>
      </c>
      <c r="D722">
        <v>190</v>
      </c>
      <c r="E722">
        <v>70</v>
      </c>
      <c r="F722">
        <v>3</v>
      </c>
      <c r="G722">
        <v>280.36</v>
      </c>
      <c r="H722">
        <v>0</v>
      </c>
      <c r="I722">
        <v>841.08</v>
      </c>
    </row>
    <row r="723" spans="1:9" x14ac:dyDescent="0.3">
      <c r="A723">
        <v>722</v>
      </c>
      <c r="B723" s="10">
        <v>45014</v>
      </c>
      <c r="C723">
        <v>4</v>
      </c>
      <c r="D723">
        <v>102</v>
      </c>
      <c r="E723">
        <v>45</v>
      </c>
      <c r="F723">
        <v>1</v>
      </c>
      <c r="G723">
        <v>70.989999999999995</v>
      </c>
      <c r="H723">
        <v>0.1</v>
      </c>
      <c r="I723">
        <v>63.89</v>
      </c>
    </row>
    <row r="724" spans="1:9" x14ac:dyDescent="0.3">
      <c r="A724">
        <v>723</v>
      </c>
      <c r="B724" s="10">
        <v>45359</v>
      </c>
      <c r="C724">
        <v>8</v>
      </c>
      <c r="D724">
        <v>37</v>
      </c>
      <c r="E724">
        <v>82</v>
      </c>
      <c r="F724">
        <v>3</v>
      </c>
      <c r="G724">
        <v>151.85</v>
      </c>
      <c r="H724">
        <v>0</v>
      </c>
      <c r="I724">
        <v>455.55</v>
      </c>
    </row>
    <row r="725" spans="1:9" x14ac:dyDescent="0.3">
      <c r="A725">
        <v>724</v>
      </c>
      <c r="B725" s="10">
        <v>45482</v>
      </c>
      <c r="C725">
        <v>1</v>
      </c>
      <c r="D725">
        <v>89</v>
      </c>
      <c r="E725">
        <v>76</v>
      </c>
      <c r="F725">
        <v>1</v>
      </c>
      <c r="G725">
        <v>181.01</v>
      </c>
      <c r="H725">
        <v>0</v>
      </c>
      <c r="I725">
        <v>181.01</v>
      </c>
    </row>
    <row r="726" spans="1:9" x14ac:dyDescent="0.3">
      <c r="A726">
        <v>725</v>
      </c>
      <c r="B726" s="10">
        <v>45079</v>
      </c>
      <c r="C726">
        <v>5</v>
      </c>
      <c r="D726">
        <v>99</v>
      </c>
      <c r="E726">
        <v>13</v>
      </c>
      <c r="F726">
        <v>1</v>
      </c>
      <c r="G726">
        <v>262.70999999999998</v>
      </c>
      <c r="H726">
        <v>0</v>
      </c>
      <c r="I726">
        <v>262.70999999999998</v>
      </c>
    </row>
    <row r="727" spans="1:9" x14ac:dyDescent="0.3">
      <c r="A727">
        <v>726</v>
      </c>
      <c r="B727" s="10">
        <v>44994</v>
      </c>
      <c r="C727">
        <v>3</v>
      </c>
      <c r="D727">
        <v>149</v>
      </c>
      <c r="E727">
        <v>80</v>
      </c>
      <c r="F727">
        <v>1</v>
      </c>
      <c r="G727">
        <v>33.380000000000003</v>
      </c>
      <c r="H727">
        <v>0</v>
      </c>
      <c r="I727">
        <v>33.380000000000003</v>
      </c>
    </row>
    <row r="728" spans="1:9" x14ac:dyDescent="0.3">
      <c r="A728">
        <v>727</v>
      </c>
      <c r="B728" s="10">
        <v>45571</v>
      </c>
      <c r="C728">
        <v>1</v>
      </c>
      <c r="D728">
        <v>80</v>
      </c>
      <c r="E728">
        <v>9</v>
      </c>
      <c r="F728">
        <v>2</v>
      </c>
      <c r="G728">
        <v>152.78</v>
      </c>
      <c r="H728">
        <v>0.05</v>
      </c>
      <c r="I728">
        <v>290.27999999999997</v>
      </c>
    </row>
    <row r="729" spans="1:9" x14ac:dyDescent="0.3">
      <c r="A729">
        <v>728</v>
      </c>
      <c r="B729" s="10">
        <v>45351</v>
      </c>
      <c r="C729">
        <v>3</v>
      </c>
      <c r="D729">
        <v>140</v>
      </c>
      <c r="E729">
        <v>100</v>
      </c>
      <c r="F729">
        <v>1</v>
      </c>
      <c r="G729">
        <v>39.06</v>
      </c>
      <c r="H729">
        <v>0.05</v>
      </c>
      <c r="I729">
        <v>37.11</v>
      </c>
    </row>
    <row r="730" spans="1:9" x14ac:dyDescent="0.3">
      <c r="A730">
        <v>729</v>
      </c>
      <c r="B730" s="10">
        <v>45742</v>
      </c>
      <c r="C730">
        <v>2</v>
      </c>
      <c r="D730">
        <v>166</v>
      </c>
      <c r="E730">
        <v>7</v>
      </c>
      <c r="F730">
        <v>2</v>
      </c>
      <c r="G730">
        <v>21.72</v>
      </c>
      <c r="H730">
        <v>0</v>
      </c>
      <c r="I730">
        <v>43.44</v>
      </c>
    </row>
    <row r="731" spans="1:9" x14ac:dyDescent="0.3">
      <c r="A731">
        <v>730</v>
      </c>
      <c r="B731" s="10">
        <v>45539</v>
      </c>
      <c r="C731">
        <v>3</v>
      </c>
      <c r="D731">
        <v>154</v>
      </c>
      <c r="E731">
        <v>20</v>
      </c>
      <c r="F731">
        <v>1</v>
      </c>
      <c r="G731">
        <v>85.89</v>
      </c>
      <c r="H731">
        <v>0.05</v>
      </c>
      <c r="I731">
        <v>81.599999999999994</v>
      </c>
    </row>
    <row r="732" spans="1:9" x14ac:dyDescent="0.3">
      <c r="A732">
        <v>731</v>
      </c>
      <c r="B732" s="10">
        <v>45419</v>
      </c>
      <c r="C732">
        <v>7</v>
      </c>
      <c r="D732">
        <v>199</v>
      </c>
      <c r="E732">
        <v>48</v>
      </c>
      <c r="F732">
        <v>1</v>
      </c>
      <c r="G732">
        <v>146.85</v>
      </c>
      <c r="H732">
        <v>0</v>
      </c>
      <c r="I732">
        <v>146.85</v>
      </c>
    </row>
    <row r="733" spans="1:9" x14ac:dyDescent="0.3">
      <c r="A733">
        <v>732</v>
      </c>
      <c r="B733" s="10">
        <v>45606</v>
      </c>
      <c r="C733">
        <v>7</v>
      </c>
      <c r="D733">
        <v>146</v>
      </c>
      <c r="E733">
        <v>82</v>
      </c>
      <c r="F733">
        <v>1</v>
      </c>
      <c r="G733">
        <v>151.85</v>
      </c>
      <c r="H733">
        <v>0.15</v>
      </c>
      <c r="I733">
        <v>129.07</v>
      </c>
    </row>
    <row r="734" spans="1:9" x14ac:dyDescent="0.3">
      <c r="A734">
        <v>733</v>
      </c>
      <c r="B734" s="10">
        <v>45213</v>
      </c>
      <c r="C734">
        <v>2</v>
      </c>
      <c r="D734">
        <v>184</v>
      </c>
      <c r="E734">
        <v>98</v>
      </c>
      <c r="F734">
        <v>1</v>
      </c>
      <c r="G734">
        <v>136.97</v>
      </c>
      <c r="H734">
        <v>0</v>
      </c>
      <c r="I734">
        <v>136.97</v>
      </c>
    </row>
    <row r="735" spans="1:9" x14ac:dyDescent="0.3">
      <c r="A735">
        <v>734</v>
      </c>
      <c r="B735" s="10">
        <v>45952</v>
      </c>
      <c r="C735">
        <v>6</v>
      </c>
      <c r="D735">
        <v>73</v>
      </c>
      <c r="E735">
        <v>63</v>
      </c>
      <c r="F735">
        <v>1</v>
      </c>
      <c r="G735">
        <v>239.9</v>
      </c>
      <c r="H735">
        <v>0.05</v>
      </c>
      <c r="I735">
        <v>227.91</v>
      </c>
    </row>
    <row r="736" spans="1:9" x14ac:dyDescent="0.3">
      <c r="A736">
        <v>735</v>
      </c>
      <c r="B736" s="10">
        <v>45036</v>
      </c>
      <c r="C736">
        <v>2</v>
      </c>
      <c r="D736">
        <v>127</v>
      </c>
      <c r="E736">
        <v>10</v>
      </c>
      <c r="F736">
        <v>2</v>
      </c>
      <c r="G736">
        <v>168.82</v>
      </c>
      <c r="H736">
        <v>0</v>
      </c>
      <c r="I736">
        <v>337.64</v>
      </c>
    </row>
    <row r="737" spans="1:9" x14ac:dyDescent="0.3">
      <c r="A737">
        <v>736</v>
      </c>
      <c r="B737" s="10">
        <v>45822</v>
      </c>
      <c r="C737">
        <v>4</v>
      </c>
      <c r="D737">
        <v>139</v>
      </c>
      <c r="E737">
        <v>30</v>
      </c>
      <c r="F737">
        <v>1</v>
      </c>
      <c r="G737">
        <v>19.399999999999999</v>
      </c>
      <c r="H737">
        <v>0.05</v>
      </c>
      <c r="I737">
        <v>18.43</v>
      </c>
    </row>
    <row r="738" spans="1:9" x14ac:dyDescent="0.3">
      <c r="A738">
        <v>737</v>
      </c>
      <c r="B738" s="10">
        <v>45082</v>
      </c>
      <c r="C738">
        <v>6</v>
      </c>
      <c r="D738">
        <v>130</v>
      </c>
      <c r="E738">
        <v>84</v>
      </c>
      <c r="F738">
        <v>1</v>
      </c>
      <c r="G738">
        <v>26.78</v>
      </c>
      <c r="H738">
        <v>0</v>
      </c>
      <c r="I738">
        <v>26.78</v>
      </c>
    </row>
    <row r="739" spans="1:9" x14ac:dyDescent="0.3">
      <c r="A739">
        <v>738</v>
      </c>
      <c r="B739" s="10">
        <v>45739</v>
      </c>
      <c r="C739">
        <v>6</v>
      </c>
      <c r="D739">
        <v>53</v>
      </c>
      <c r="E739">
        <v>65</v>
      </c>
      <c r="F739">
        <v>3</v>
      </c>
      <c r="G739">
        <v>71.14</v>
      </c>
      <c r="H739">
        <v>0.05</v>
      </c>
      <c r="I739">
        <v>202.75</v>
      </c>
    </row>
    <row r="740" spans="1:9" x14ac:dyDescent="0.3">
      <c r="A740">
        <v>739</v>
      </c>
      <c r="B740" s="10">
        <v>44987</v>
      </c>
      <c r="C740">
        <v>5</v>
      </c>
      <c r="D740">
        <v>107</v>
      </c>
      <c r="E740">
        <v>41</v>
      </c>
      <c r="F740">
        <v>1</v>
      </c>
      <c r="G740">
        <v>45.5</v>
      </c>
      <c r="H740">
        <v>0</v>
      </c>
      <c r="I740">
        <v>45.5</v>
      </c>
    </row>
    <row r="741" spans="1:9" x14ac:dyDescent="0.3">
      <c r="A741">
        <v>740</v>
      </c>
      <c r="B741" s="10">
        <v>45849</v>
      </c>
      <c r="C741">
        <v>8</v>
      </c>
      <c r="D741">
        <v>185</v>
      </c>
      <c r="E741">
        <v>31</v>
      </c>
      <c r="F741">
        <v>1</v>
      </c>
      <c r="G741">
        <v>165.45</v>
      </c>
      <c r="H741">
        <v>0.2</v>
      </c>
      <c r="I741">
        <v>132.36000000000001</v>
      </c>
    </row>
    <row r="742" spans="1:9" x14ac:dyDescent="0.3">
      <c r="A742">
        <v>741</v>
      </c>
      <c r="B742" s="10">
        <v>45394</v>
      </c>
      <c r="C742">
        <v>6</v>
      </c>
      <c r="D742">
        <v>167</v>
      </c>
      <c r="E742">
        <v>100</v>
      </c>
      <c r="F742">
        <v>2</v>
      </c>
      <c r="G742">
        <v>39.06</v>
      </c>
      <c r="H742">
        <v>0</v>
      </c>
      <c r="I742">
        <v>78.12</v>
      </c>
    </row>
    <row r="743" spans="1:9" x14ac:dyDescent="0.3">
      <c r="A743">
        <v>742</v>
      </c>
      <c r="B743" s="10">
        <v>45695</v>
      </c>
      <c r="C743">
        <v>7</v>
      </c>
      <c r="D743">
        <v>157</v>
      </c>
      <c r="E743">
        <v>93</v>
      </c>
      <c r="F743">
        <v>1</v>
      </c>
      <c r="G743">
        <v>239.23</v>
      </c>
      <c r="H743">
        <v>0.05</v>
      </c>
      <c r="I743">
        <v>227.27</v>
      </c>
    </row>
    <row r="744" spans="1:9" x14ac:dyDescent="0.3">
      <c r="A744">
        <v>743</v>
      </c>
      <c r="B744" s="10">
        <v>45307</v>
      </c>
      <c r="C744">
        <v>7</v>
      </c>
      <c r="D744">
        <v>26</v>
      </c>
      <c r="E744">
        <v>22</v>
      </c>
      <c r="F744">
        <v>1</v>
      </c>
      <c r="G744">
        <v>49.91</v>
      </c>
      <c r="H744">
        <v>0</v>
      </c>
      <c r="I744">
        <v>49.91</v>
      </c>
    </row>
    <row r="745" spans="1:9" x14ac:dyDescent="0.3">
      <c r="A745">
        <v>744</v>
      </c>
      <c r="B745" s="10">
        <v>45102</v>
      </c>
      <c r="C745">
        <v>5</v>
      </c>
      <c r="D745">
        <v>149</v>
      </c>
      <c r="E745">
        <v>67</v>
      </c>
      <c r="F745">
        <v>1</v>
      </c>
      <c r="G745">
        <v>41.9</v>
      </c>
      <c r="H745">
        <v>0</v>
      </c>
      <c r="I745">
        <v>41.9</v>
      </c>
    </row>
    <row r="746" spans="1:9" x14ac:dyDescent="0.3">
      <c r="A746">
        <v>745</v>
      </c>
      <c r="B746" s="10">
        <v>45431</v>
      </c>
      <c r="C746">
        <v>2</v>
      </c>
      <c r="D746">
        <v>72</v>
      </c>
      <c r="E746">
        <v>35</v>
      </c>
      <c r="F746">
        <v>1</v>
      </c>
      <c r="G746">
        <v>303.48</v>
      </c>
      <c r="H746">
        <v>0</v>
      </c>
      <c r="I746">
        <v>303.48</v>
      </c>
    </row>
    <row r="747" spans="1:9" x14ac:dyDescent="0.3">
      <c r="A747">
        <v>746</v>
      </c>
      <c r="B747" s="10">
        <v>45095</v>
      </c>
      <c r="C747">
        <v>5</v>
      </c>
      <c r="D747">
        <v>25</v>
      </c>
      <c r="E747">
        <v>81</v>
      </c>
      <c r="F747">
        <v>1</v>
      </c>
      <c r="G747">
        <v>225.3</v>
      </c>
      <c r="H747">
        <v>0.2</v>
      </c>
      <c r="I747">
        <v>180.24</v>
      </c>
    </row>
    <row r="748" spans="1:9" x14ac:dyDescent="0.3">
      <c r="A748">
        <v>747</v>
      </c>
      <c r="B748" s="10">
        <v>45242</v>
      </c>
      <c r="C748">
        <v>7</v>
      </c>
      <c r="D748">
        <v>135</v>
      </c>
      <c r="E748">
        <v>32</v>
      </c>
      <c r="F748">
        <v>1</v>
      </c>
      <c r="G748">
        <v>47.81</v>
      </c>
      <c r="H748">
        <v>0</v>
      </c>
      <c r="I748">
        <v>47.81</v>
      </c>
    </row>
    <row r="749" spans="1:9" x14ac:dyDescent="0.3">
      <c r="A749">
        <v>748</v>
      </c>
      <c r="B749" s="10">
        <v>45242</v>
      </c>
      <c r="C749">
        <v>7</v>
      </c>
      <c r="D749">
        <v>28</v>
      </c>
      <c r="E749">
        <v>78</v>
      </c>
      <c r="F749">
        <v>1</v>
      </c>
      <c r="G749">
        <v>25.66</v>
      </c>
      <c r="H749">
        <v>0</v>
      </c>
      <c r="I749">
        <v>25.66</v>
      </c>
    </row>
    <row r="750" spans="1:9" x14ac:dyDescent="0.3">
      <c r="A750">
        <v>749</v>
      </c>
      <c r="B750" s="10">
        <v>45575</v>
      </c>
      <c r="C750">
        <v>6</v>
      </c>
      <c r="D750">
        <v>23</v>
      </c>
      <c r="E750">
        <v>82</v>
      </c>
      <c r="F750">
        <v>1</v>
      </c>
      <c r="G750">
        <v>151.85</v>
      </c>
      <c r="H750">
        <v>0.05</v>
      </c>
      <c r="I750">
        <v>144.26</v>
      </c>
    </row>
    <row r="751" spans="1:9" x14ac:dyDescent="0.3">
      <c r="A751">
        <v>750</v>
      </c>
      <c r="B751" s="10">
        <v>45145</v>
      </c>
      <c r="C751">
        <v>2</v>
      </c>
      <c r="D751">
        <v>187</v>
      </c>
      <c r="E751">
        <v>33</v>
      </c>
      <c r="F751">
        <v>2</v>
      </c>
      <c r="G751">
        <v>21.23</v>
      </c>
      <c r="H751">
        <v>0</v>
      </c>
      <c r="I751">
        <v>42.46</v>
      </c>
    </row>
    <row r="752" spans="1:9" x14ac:dyDescent="0.3">
      <c r="A752">
        <v>751</v>
      </c>
      <c r="B752" s="10">
        <v>44937</v>
      </c>
      <c r="C752">
        <v>5</v>
      </c>
      <c r="D752">
        <v>201</v>
      </c>
      <c r="E752">
        <v>16</v>
      </c>
      <c r="F752">
        <v>1</v>
      </c>
      <c r="G752">
        <v>62.77</v>
      </c>
      <c r="H752">
        <v>0.05</v>
      </c>
      <c r="I752">
        <v>59.63</v>
      </c>
    </row>
    <row r="753" spans="1:9" x14ac:dyDescent="0.3">
      <c r="A753">
        <v>752</v>
      </c>
      <c r="B753" s="10">
        <v>45837</v>
      </c>
      <c r="C753">
        <v>6</v>
      </c>
      <c r="D753">
        <v>186</v>
      </c>
      <c r="E753">
        <v>78</v>
      </c>
      <c r="F753">
        <v>4</v>
      </c>
      <c r="G753">
        <v>25.66</v>
      </c>
      <c r="H753">
        <v>0.05</v>
      </c>
      <c r="I753">
        <v>97.51</v>
      </c>
    </row>
    <row r="754" spans="1:9" x14ac:dyDescent="0.3">
      <c r="A754">
        <v>753</v>
      </c>
      <c r="B754" s="10">
        <v>45479</v>
      </c>
      <c r="C754">
        <v>2</v>
      </c>
      <c r="D754">
        <v>35</v>
      </c>
      <c r="E754">
        <v>41</v>
      </c>
      <c r="F754">
        <v>1</v>
      </c>
      <c r="G754">
        <v>45.5</v>
      </c>
      <c r="H754">
        <v>0</v>
      </c>
      <c r="I754">
        <v>45.5</v>
      </c>
    </row>
    <row r="755" spans="1:9" x14ac:dyDescent="0.3">
      <c r="A755">
        <v>754</v>
      </c>
      <c r="B755" s="10">
        <v>45198</v>
      </c>
      <c r="C755">
        <v>2</v>
      </c>
      <c r="D755">
        <v>116</v>
      </c>
      <c r="E755">
        <v>1</v>
      </c>
      <c r="F755">
        <v>1</v>
      </c>
      <c r="G755">
        <v>90.53</v>
      </c>
      <c r="H755">
        <v>0.05</v>
      </c>
      <c r="I755">
        <v>86</v>
      </c>
    </row>
    <row r="756" spans="1:9" x14ac:dyDescent="0.3">
      <c r="A756">
        <v>755</v>
      </c>
      <c r="B756" s="10">
        <v>45310</v>
      </c>
      <c r="C756">
        <v>7</v>
      </c>
      <c r="D756">
        <v>214</v>
      </c>
      <c r="E756">
        <v>95</v>
      </c>
      <c r="F756">
        <v>1</v>
      </c>
      <c r="G756">
        <v>201.94</v>
      </c>
      <c r="H756">
        <v>0</v>
      </c>
      <c r="I756">
        <v>201.94</v>
      </c>
    </row>
    <row r="757" spans="1:9" x14ac:dyDescent="0.3">
      <c r="A757">
        <v>756</v>
      </c>
      <c r="B757" s="10">
        <v>45846</v>
      </c>
      <c r="C757">
        <v>7</v>
      </c>
      <c r="D757">
        <v>170</v>
      </c>
      <c r="E757">
        <v>59</v>
      </c>
      <c r="F757">
        <v>4</v>
      </c>
      <c r="G757">
        <v>17.41</v>
      </c>
      <c r="H757">
        <v>0</v>
      </c>
      <c r="I757">
        <v>69.64</v>
      </c>
    </row>
    <row r="758" spans="1:9" x14ac:dyDescent="0.3">
      <c r="A758">
        <v>757</v>
      </c>
      <c r="B758" s="10">
        <v>45138</v>
      </c>
      <c r="C758">
        <v>1</v>
      </c>
      <c r="D758">
        <v>21</v>
      </c>
      <c r="E758">
        <v>78</v>
      </c>
      <c r="F758">
        <v>1</v>
      </c>
      <c r="G758">
        <v>25.66</v>
      </c>
      <c r="H758">
        <v>0</v>
      </c>
      <c r="I758">
        <v>25.66</v>
      </c>
    </row>
    <row r="759" spans="1:9" x14ac:dyDescent="0.3">
      <c r="A759">
        <v>758</v>
      </c>
      <c r="B759" s="10">
        <v>45110</v>
      </c>
      <c r="C759">
        <v>6</v>
      </c>
      <c r="D759">
        <v>206</v>
      </c>
      <c r="E759">
        <v>79</v>
      </c>
      <c r="F759">
        <v>1</v>
      </c>
      <c r="G759">
        <v>117.59</v>
      </c>
      <c r="H759">
        <v>0</v>
      </c>
      <c r="I759">
        <v>117.59</v>
      </c>
    </row>
    <row r="760" spans="1:9" x14ac:dyDescent="0.3">
      <c r="A760">
        <v>759</v>
      </c>
      <c r="B760" s="10">
        <v>45117</v>
      </c>
      <c r="C760">
        <v>6</v>
      </c>
      <c r="D760">
        <v>137</v>
      </c>
      <c r="E760">
        <v>60</v>
      </c>
      <c r="F760">
        <v>1</v>
      </c>
      <c r="G760">
        <v>101.29</v>
      </c>
      <c r="H760">
        <v>0</v>
      </c>
      <c r="I760">
        <v>101.29</v>
      </c>
    </row>
    <row r="761" spans="1:9" x14ac:dyDescent="0.3">
      <c r="A761">
        <v>760</v>
      </c>
      <c r="B761" s="10">
        <v>45715</v>
      </c>
      <c r="C761">
        <v>1</v>
      </c>
      <c r="D761">
        <v>106</v>
      </c>
      <c r="E761">
        <v>42</v>
      </c>
      <c r="F761">
        <v>1</v>
      </c>
      <c r="G761">
        <v>127.97</v>
      </c>
      <c r="H761">
        <v>0</v>
      </c>
      <c r="I761">
        <v>127.97</v>
      </c>
    </row>
    <row r="762" spans="1:9" x14ac:dyDescent="0.3">
      <c r="A762">
        <v>761</v>
      </c>
      <c r="B762" s="10">
        <v>45524</v>
      </c>
      <c r="C762">
        <v>7</v>
      </c>
      <c r="D762">
        <v>111</v>
      </c>
      <c r="E762">
        <v>99</v>
      </c>
      <c r="F762">
        <v>1</v>
      </c>
      <c r="G762">
        <v>15.44</v>
      </c>
      <c r="H762">
        <v>0</v>
      </c>
      <c r="I762">
        <v>15.44</v>
      </c>
    </row>
    <row r="763" spans="1:9" x14ac:dyDescent="0.3">
      <c r="A763">
        <v>762</v>
      </c>
      <c r="B763" s="10">
        <v>45721</v>
      </c>
      <c r="C763">
        <v>2</v>
      </c>
      <c r="D763">
        <v>177</v>
      </c>
      <c r="E763">
        <v>82</v>
      </c>
      <c r="F763">
        <v>4</v>
      </c>
      <c r="G763">
        <v>151.85</v>
      </c>
      <c r="H763">
        <v>0.05</v>
      </c>
      <c r="I763">
        <v>577.03</v>
      </c>
    </row>
    <row r="764" spans="1:9" x14ac:dyDescent="0.3">
      <c r="A764">
        <v>763</v>
      </c>
      <c r="B764" s="10">
        <v>45424</v>
      </c>
      <c r="C764">
        <v>3</v>
      </c>
      <c r="D764">
        <v>52</v>
      </c>
      <c r="E764">
        <v>58</v>
      </c>
      <c r="F764">
        <v>4</v>
      </c>
      <c r="G764">
        <v>64.400000000000006</v>
      </c>
      <c r="H764">
        <v>0</v>
      </c>
      <c r="I764">
        <v>257.60000000000002</v>
      </c>
    </row>
    <row r="765" spans="1:9" x14ac:dyDescent="0.3">
      <c r="A765">
        <v>764</v>
      </c>
      <c r="B765" s="10">
        <v>45706</v>
      </c>
      <c r="C765">
        <v>3</v>
      </c>
      <c r="D765">
        <v>195</v>
      </c>
      <c r="E765">
        <v>32</v>
      </c>
      <c r="F765">
        <v>1</v>
      </c>
      <c r="G765">
        <v>47.81</v>
      </c>
      <c r="H765">
        <v>0.1</v>
      </c>
      <c r="I765">
        <v>43.03</v>
      </c>
    </row>
    <row r="766" spans="1:9" x14ac:dyDescent="0.3">
      <c r="A766">
        <v>765</v>
      </c>
      <c r="B766" s="10">
        <v>45211</v>
      </c>
      <c r="C766">
        <v>5</v>
      </c>
      <c r="D766">
        <v>92</v>
      </c>
      <c r="E766">
        <v>80</v>
      </c>
      <c r="F766">
        <v>1</v>
      </c>
      <c r="G766">
        <v>33.380000000000003</v>
      </c>
      <c r="H766">
        <v>0</v>
      </c>
      <c r="I766">
        <v>33.380000000000003</v>
      </c>
    </row>
    <row r="767" spans="1:9" x14ac:dyDescent="0.3">
      <c r="A767">
        <v>766</v>
      </c>
      <c r="B767" s="10">
        <v>45543</v>
      </c>
      <c r="C767">
        <v>5</v>
      </c>
      <c r="D767">
        <v>32</v>
      </c>
      <c r="E767">
        <v>22</v>
      </c>
      <c r="F767">
        <v>1</v>
      </c>
      <c r="G767">
        <v>49.91</v>
      </c>
      <c r="H767">
        <v>0.05</v>
      </c>
      <c r="I767">
        <v>47.41</v>
      </c>
    </row>
    <row r="768" spans="1:9" x14ac:dyDescent="0.3">
      <c r="A768">
        <v>767</v>
      </c>
      <c r="B768" s="10">
        <v>45936</v>
      </c>
      <c r="C768">
        <v>3</v>
      </c>
      <c r="D768">
        <v>174</v>
      </c>
      <c r="E768">
        <v>30</v>
      </c>
      <c r="F768">
        <v>1</v>
      </c>
      <c r="G768">
        <v>19.399999999999999</v>
      </c>
      <c r="H768">
        <v>0</v>
      </c>
      <c r="I768">
        <v>19.399999999999999</v>
      </c>
    </row>
    <row r="769" spans="1:9" x14ac:dyDescent="0.3">
      <c r="A769">
        <v>768</v>
      </c>
      <c r="B769" s="10">
        <v>45056</v>
      </c>
      <c r="C769">
        <v>3</v>
      </c>
      <c r="D769">
        <v>43</v>
      </c>
      <c r="E769">
        <v>4</v>
      </c>
      <c r="F769">
        <v>1</v>
      </c>
      <c r="G769">
        <v>168</v>
      </c>
      <c r="H769">
        <v>0</v>
      </c>
      <c r="I769">
        <v>168</v>
      </c>
    </row>
    <row r="770" spans="1:9" x14ac:dyDescent="0.3">
      <c r="A770">
        <v>769</v>
      </c>
      <c r="B770" s="10">
        <v>45817</v>
      </c>
      <c r="C770">
        <v>5</v>
      </c>
      <c r="D770">
        <v>122</v>
      </c>
      <c r="E770">
        <v>96</v>
      </c>
      <c r="F770">
        <v>2</v>
      </c>
      <c r="G770">
        <v>132.69</v>
      </c>
      <c r="H770">
        <v>0.05</v>
      </c>
      <c r="I770">
        <v>252.11</v>
      </c>
    </row>
    <row r="771" spans="1:9" x14ac:dyDescent="0.3">
      <c r="A771">
        <v>770</v>
      </c>
      <c r="B771" s="10">
        <v>45789</v>
      </c>
      <c r="C771">
        <v>5</v>
      </c>
      <c r="D771">
        <v>6</v>
      </c>
      <c r="E771">
        <v>29</v>
      </c>
      <c r="F771">
        <v>1</v>
      </c>
      <c r="G771">
        <v>138.6</v>
      </c>
      <c r="H771">
        <v>0</v>
      </c>
      <c r="I771">
        <v>138.6</v>
      </c>
    </row>
    <row r="772" spans="1:9" x14ac:dyDescent="0.3">
      <c r="A772">
        <v>771</v>
      </c>
      <c r="B772" s="10">
        <v>45918</v>
      </c>
      <c r="C772">
        <v>2</v>
      </c>
      <c r="D772">
        <v>196</v>
      </c>
      <c r="E772">
        <v>91</v>
      </c>
      <c r="F772">
        <v>1</v>
      </c>
      <c r="G772">
        <v>33.700000000000003</v>
      </c>
      <c r="H772">
        <v>0</v>
      </c>
      <c r="I772">
        <v>33.700000000000003</v>
      </c>
    </row>
    <row r="773" spans="1:9" x14ac:dyDescent="0.3">
      <c r="A773">
        <v>772</v>
      </c>
      <c r="B773" s="10">
        <v>45666</v>
      </c>
      <c r="C773">
        <v>5</v>
      </c>
      <c r="D773">
        <v>92</v>
      </c>
      <c r="E773">
        <v>26</v>
      </c>
      <c r="F773">
        <v>2</v>
      </c>
      <c r="G773">
        <v>211.87</v>
      </c>
      <c r="H773">
        <v>0.05</v>
      </c>
      <c r="I773">
        <v>402.55</v>
      </c>
    </row>
    <row r="774" spans="1:9" x14ac:dyDescent="0.3">
      <c r="A774">
        <v>773</v>
      </c>
      <c r="B774" s="10">
        <v>45432</v>
      </c>
      <c r="C774">
        <v>8</v>
      </c>
      <c r="D774">
        <v>141</v>
      </c>
      <c r="E774">
        <v>66</v>
      </c>
      <c r="F774">
        <v>1</v>
      </c>
      <c r="G774">
        <v>169.57</v>
      </c>
      <c r="H774">
        <v>0</v>
      </c>
      <c r="I774">
        <v>169.57</v>
      </c>
    </row>
    <row r="775" spans="1:9" x14ac:dyDescent="0.3">
      <c r="A775">
        <v>774</v>
      </c>
      <c r="B775" s="10">
        <v>45327</v>
      </c>
      <c r="C775">
        <v>8</v>
      </c>
      <c r="D775">
        <v>164</v>
      </c>
      <c r="E775">
        <v>45</v>
      </c>
      <c r="F775">
        <v>1</v>
      </c>
      <c r="G775">
        <v>70.989999999999995</v>
      </c>
      <c r="H775">
        <v>0.15</v>
      </c>
      <c r="I775">
        <v>60.34</v>
      </c>
    </row>
    <row r="776" spans="1:9" x14ac:dyDescent="0.3">
      <c r="A776">
        <v>775</v>
      </c>
      <c r="B776" s="10">
        <v>45146</v>
      </c>
      <c r="C776">
        <v>3</v>
      </c>
      <c r="D776">
        <v>79</v>
      </c>
      <c r="E776">
        <v>8</v>
      </c>
      <c r="F776">
        <v>2</v>
      </c>
      <c r="G776">
        <v>259.11</v>
      </c>
      <c r="H776">
        <v>0</v>
      </c>
      <c r="I776">
        <v>518.22</v>
      </c>
    </row>
    <row r="777" spans="1:9" x14ac:dyDescent="0.3">
      <c r="A777">
        <v>776</v>
      </c>
      <c r="B777" s="10">
        <v>45550</v>
      </c>
      <c r="C777">
        <v>1</v>
      </c>
      <c r="D777">
        <v>161</v>
      </c>
      <c r="E777">
        <v>30</v>
      </c>
      <c r="F777">
        <v>3</v>
      </c>
      <c r="G777">
        <v>19.399999999999999</v>
      </c>
      <c r="H777">
        <v>0.1</v>
      </c>
      <c r="I777">
        <v>52.38</v>
      </c>
    </row>
    <row r="778" spans="1:9" x14ac:dyDescent="0.3">
      <c r="A778">
        <v>777</v>
      </c>
      <c r="B778" s="10">
        <v>45737</v>
      </c>
      <c r="C778">
        <v>6</v>
      </c>
      <c r="D778">
        <v>105</v>
      </c>
      <c r="E778">
        <v>57</v>
      </c>
      <c r="F778">
        <v>1</v>
      </c>
      <c r="G778">
        <v>32.28</v>
      </c>
      <c r="H778">
        <v>0.05</v>
      </c>
      <c r="I778">
        <v>30.67</v>
      </c>
    </row>
    <row r="779" spans="1:9" x14ac:dyDescent="0.3">
      <c r="A779">
        <v>778</v>
      </c>
      <c r="B779" s="10">
        <v>45705</v>
      </c>
      <c r="C779">
        <v>6</v>
      </c>
      <c r="D779">
        <v>93</v>
      </c>
      <c r="E779">
        <v>44</v>
      </c>
      <c r="F779">
        <v>1</v>
      </c>
      <c r="G779">
        <v>235.19</v>
      </c>
      <c r="H779">
        <v>0</v>
      </c>
      <c r="I779">
        <v>235.19</v>
      </c>
    </row>
    <row r="780" spans="1:9" x14ac:dyDescent="0.3">
      <c r="A780">
        <v>779</v>
      </c>
      <c r="B780" s="10">
        <v>45828</v>
      </c>
      <c r="C780">
        <v>6</v>
      </c>
      <c r="D780">
        <v>133</v>
      </c>
      <c r="E780">
        <v>71</v>
      </c>
      <c r="F780">
        <v>1</v>
      </c>
      <c r="G780">
        <v>225.61</v>
      </c>
      <c r="H780">
        <v>0</v>
      </c>
      <c r="I780">
        <v>225.61</v>
      </c>
    </row>
    <row r="781" spans="1:9" x14ac:dyDescent="0.3">
      <c r="A781">
        <v>780</v>
      </c>
      <c r="B781" s="10">
        <v>45808</v>
      </c>
      <c r="C781">
        <v>3</v>
      </c>
      <c r="D781">
        <v>193</v>
      </c>
      <c r="E781">
        <v>29</v>
      </c>
      <c r="F781">
        <v>1</v>
      </c>
      <c r="G781">
        <v>138.6</v>
      </c>
      <c r="H781">
        <v>0</v>
      </c>
      <c r="I781">
        <v>138.6</v>
      </c>
    </row>
    <row r="782" spans="1:9" x14ac:dyDescent="0.3">
      <c r="A782">
        <v>781</v>
      </c>
      <c r="B782" s="10">
        <v>45542</v>
      </c>
      <c r="C782">
        <v>6</v>
      </c>
      <c r="D782">
        <v>42</v>
      </c>
      <c r="E782">
        <v>43</v>
      </c>
      <c r="F782">
        <v>1</v>
      </c>
      <c r="G782">
        <v>16.04</v>
      </c>
      <c r="H782">
        <v>0</v>
      </c>
      <c r="I782">
        <v>16.04</v>
      </c>
    </row>
    <row r="783" spans="1:9" x14ac:dyDescent="0.3">
      <c r="A783">
        <v>782</v>
      </c>
      <c r="B783" s="10">
        <v>45338</v>
      </c>
      <c r="C783">
        <v>8</v>
      </c>
      <c r="D783">
        <v>110</v>
      </c>
      <c r="E783">
        <v>39</v>
      </c>
      <c r="F783">
        <v>1</v>
      </c>
      <c r="G783">
        <v>181.34</v>
      </c>
      <c r="H783">
        <v>0</v>
      </c>
      <c r="I783">
        <v>181.34</v>
      </c>
    </row>
    <row r="784" spans="1:9" x14ac:dyDescent="0.3">
      <c r="A784">
        <v>783</v>
      </c>
      <c r="B784" s="10">
        <v>45570</v>
      </c>
      <c r="C784">
        <v>3</v>
      </c>
      <c r="D784">
        <v>114</v>
      </c>
      <c r="E784">
        <v>15</v>
      </c>
      <c r="F784">
        <v>1</v>
      </c>
      <c r="G784">
        <v>58.26</v>
      </c>
      <c r="H784">
        <v>0.1</v>
      </c>
      <c r="I784">
        <v>52.43</v>
      </c>
    </row>
    <row r="785" spans="1:9" x14ac:dyDescent="0.3">
      <c r="A785">
        <v>784</v>
      </c>
      <c r="B785" s="10">
        <v>45742</v>
      </c>
      <c r="C785">
        <v>6</v>
      </c>
      <c r="D785">
        <v>30</v>
      </c>
      <c r="E785">
        <v>57</v>
      </c>
      <c r="F785">
        <v>1</v>
      </c>
      <c r="G785">
        <v>32.28</v>
      </c>
      <c r="H785">
        <v>0.2</v>
      </c>
      <c r="I785">
        <v>25.82</v>
      </c>
    </row>
    <row r="786" spans="1:9" x14ac:dyDescent="0.3">
      <c r="A786">
        <v>785</v>
      </c>
      <c r="B786" s="10">
        <v>45523</v>
      </c>
      <c r="C786">
        <v>8</v>
      </c>
      <c r="D786">
        <v>71</v>
      </c>
      <c r="E786">
        <v>46</v>
      </c>
      <c r="F786">
        <v>1</v>
      </c>
      <c r="G786">
        <v>157</v>
      </c>
      <c r="H786">
        <v>0</v>
      </c>
      <c r="I786">
        <v>157</v>
      </c>
    </row>
    <row r="787" spans="1:9" x14ac:dyDescent="0.3">
      <c r="A787">
        <v>786</v>
      </c>
      <c r="B787" s="10">
        <v>45423</v>
      </c>
      <c r="C787">
        <v>6</v>
      </c>
      <c r="D787">
        <v>93</v>
      </c>
      <c r="E787">
        <v>43</v>
      </c>
      <c r="F787">
        <v>1</v>
      </c>
      <c r="G787">
        <v>16.04</v>
      </c>
      <c r="H787">
        <v>0</v>
      </c>
      <c r="I787">
        <v>16.04</v>
      </c>
    </row>
    <row r="788" spans="1:9" x14ac:dyDescent="0.3">
      <c r="A788">
        <v>787</v>
      </c>
      <c r="B788" s="10">
        <v>45697</v>
      </c>
      <c r="C788">
        <v>5</v>
      </c>
      <c r="D788">
        <v>137</v>
      </c>
      <c r="E788">
        <v>8</v>
      </c>
      <c r="F788">
        <v>1</v>
      </c>
      <c r="G788">
        <v>259.11</v>
      </c>
      <c r="H788">
        <v>0</v>
      </c>
      <c r="I788">
        <v>259.11</v>
      </c>
    </row>
    <row r="789" spans="1:9" x14ac:dyDescent="0.3">
      <c r="A789">
        <v>788</v>
      </c>
      <c r="B789" s="10">
        <v>45731</v>
      </c>
      <c r="C789">
        <v>6</v>
      </c>
      <c r="D789">
        <v>108</v>
      </c>
      <c r="E789">
        <v>26</v>
      </c>
      <c r="F789">
        <v>1</v>
      </c>
      <c r="G789">
        <v>211.87</v>
      </c>
      <c r="H789">
        <v>0.05</v>
      </c>
      <c r="I789">
        <v>201.28</v>
      </c>
    </row>
    <row r="790" spans="1:9" x14ac:dyDescent="0.3">
      <c r="A790">
        <v>789</v>
      </c>
      <c r="B790" s="10">
        <v>45160</v>
      </c>
      <c r="C790">
        <v>4</v>
      </c>
      <c r="D790">
        <v>107</v>
      </c>
      <c r="E790">
        <v>24</v>
      </c>
      <c r="F790">
        <v>1</v>
      </c>
      <c r="G790">
        <v>91.73</v>
      </c>
      <c r="H790">
        <v>0</v>
      </c>
      <c r="I790">
        <v>91.73</v>
      </c>
    </row>
    <row r="791" spans="1:9" x14ac:dyDescent="0.3">
      <c r="A791">
        <v>790</v>
      </c>
      <c r="B791" s="10">
        <v>45295</v>
      </c>
      <c r="C791">
        <v>1</v>
      </c>
      <c r="D791">
        <v>100</v>
      </c>
      <c r="E791">
        <v>84</v>
      </c>
      <c r="F791">
        <v>1</v>
      </c>
      <c r="G791">
        <v>26.78</v>
      </c>
      <c r="H791">
        <v>0</v>
      </c>
      <c r="I791">
        <v>26.78</v>
      </c>
    </row>
    <row r="792" spans="1:9" x14ac:dyDescent="0.3">
      <c r="A792">
        <v>791</v>
      </c>
      <c r="B792" s="10">
        <v>45872</v>
      </c>
      <c r="C792">
        <v>4</v>
      </c>
      <c r="D792">
        <v>50</v>
      </c>
      <c r="E792">
        <v>17</v>
      </c>
      <c r="F792">
        <v>1</v>
      </c>
      <c r="G792">
        <v>97.14</v>
      </c>
      <c r="H792">
        <v>0</v>
      </c>
      <c r="I792">
        <v>97.14</v>
      </c>
    </row>
    <row r="793" spans="1:9" x14ac:dyDescent="0.3">
      <c r="A793">
        <v>792</v>
      </c>
      <c r="B793" s="10">
        <v>45824</v>
      </c>
      <c r="C793">
        <v>5</v>
      </c>
      <c r="D793">
        <v>128</v>
      </c>
      <c r="E793">
        <v>20</v>
      </c>
      <c r="F793">
        <v>1</v>
      </c>
      <c r="G793">
        <v>85.89</v>
      </c>
      <c r="H793">
        <v>0.05</v>
      </c>
      <c r="I793">
        <v>81.599999999999994</v>
      </c>
    </row>
    <row r="794" spans="1:9" x14ac:dyDescent="0.3">
      <c r="A794">
        <v>793</v>
      </c>
      <c r="B794" s="10">
        <v>45068</v>
      </c>
      <c r="C794">
        <v>7</v>
      </c>
      <c r="D794">
        <v>34</v>
      </c>
      <c r="E794">
        <v>16</v>
      </c>
      <c r="F794">
        <v>1</v>
      </c>
      <c r="G794">
        <v>62.77</v>
      </c>
      <c r="H794">
        <v>0.2</v>
      </c>
      <c r="I794">
        <v>50.22</v>
      </c>
    </row>
    <row r="795" spans="1:9" x14ac:dyDescent="0.3">
      <c r="A795">
        <v>794</v>
      </c>
      <c r="B795" s="10">
        <v>45949</v>
      </c>
      <c r="C795">
        <v>3</v>
      </c>
      <c r="D795">
        <v>23</v>
      </c>
      <c r="E795">
        <v>18</v>
      </c>
      <c r="F795">
        <v>1</v>
      </c>
      <c r="G795">
        <v>132.02000000000001</v>
      </c>
      <c r="H795">
        <v>0.05</v>
      </c>
      <c r="I795">
        <v>125.42</v>
      </c>
    </row>
    <row r="796" spans="1:9" x14ac:dyDescent="0.3">
      <c r="A796">
        <v>795</v>
      </c>
      <c r="B796" s="10">
        <v>45547</v>
      </c>
      <c r="C796">
        <v>4</v>
      </c>
      <c r="D796">
        <v>150</v>
      </c>
      <c r="E796">
        <v>87</v>
      </c>
      <c r="F796">
        <v>1</v>
      </c>
      <c r="G796">
        <v>223.85</v>
      </c>
      <c r="H796">
        <v>0</v>
      </c>
      <c r="I796">
        <v>223.85</v>
      </c>
    </row>
    <row r="797" spans="1:9" x14ac:dyDescent="0.3">
      <c r="A797">
        <v>796</v>
      </c>
      <c r="B797" s="10">
        <v>45444</v>
      </c>
      <c r="C797">
        <v>3</v>
      </c>
      <c r="D797">
        <v>130</v>
      </c>
      <c r="E797">
        <v>61</v>
      </c>
      <c r="F797">
        <v>1</v>
      </c>
      <c r="G797">
        <v>106.64</v>
      </c>
      <c r="H797">
        <v>0</v>
      </c>
      <c r="I797">
        <v>106.64</v>
      </c>
    </row>
    <row r="798" spans="1:9" x14ac:dyDescent="0.3">
      <c r="A798">
        <v>797</v>
      </c>
      <c r="B798" s="10">
        <v>45793</v>
      </c>
      <c r="C798">
        <v>7</v>
      </c>
      <c r="D798">
        <v>192</v>
      </c>
      <c r="E798">
        <v>32</v>
      </c>
      <c r="F798">
        <v>2</v>
      </c>
      <c r="G798">
        <v>47.81</v>
      </c>
      <c r="H798">
        <v>0</v>
      </c>
      <c r="I798">
        <v>95.62</v>
      </c>
    </row>
    <row r="799" spans="1:9" x14ac:dyDescent="0.3">
      <c r="A799">
        <v>798</v>
      </c>
      <c r="B799" s="10">
        <v>45078</v>
      </c>
      <c r="C799">
        <v>8</v>
      </c>
      <c r="D799">
        <v>184</v>
      </c>
      <c r="E799">
        <v>35</v>
      </c>
      <c r="F799">
        <v>1</v>
      </c>
      <c r="G799">
        <v>303.48</v>
      </c>
      <c r="H799">
        <v>0</v>
      </c>
      <c r="I799">
        <v>303.48</v>
      </c>
    </row>
    <row r="800" spans="1:9" x14ac:dyDescent="0.3">
      <c r="A800">
        <v>799</v>
      </c>
      <c r="B800" s="10">
        <v>45908</v>
      </c>
      <c r="C800">
        <v>7</v>
      </c>
      <c r="D800">
        <v>208</v>
      </c>
      <c r="E800">
        <v>38</v>
      </c>
      <c r="F800">
        <v>1</v>
      </c>
      <c r="G800">
        <v>35.35</v>
      </c>
      <c r="H800">
        <v>0.2</v>
      </c>
      <c r="I800">
        <v>28.28</v>
      </c>
    </row>
    <row r="801" spans="1:9" x14ac:dyDescent="0.3">
      <c r="A801">
        <v>800</v>
      </c>
      <c r="B801" s="10">
        <v>45964</v>
      </c>
      <c r="C801">
        <v>7</v>
      </c>
      <c r="D801">
        <v>218</v>
      </c>
      <c r="E801">
        <v>32</v>
      </c>
      <c r="F801">
        <v>2</v>
      </c>
      <c r="G801">
        <v>47.81</v>
      </c>
      <c r="H801">
        <v>0</v>
      </c>
      <c r="I801">
        <v>95.62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DDB9-C3CE-4DF6-AA68-B00A71889972}">
  <dimension ref="A1:E101"/>
  <sheetViews>
    <sheetView workbookViewId="0"/>
  </sheetViews>
  <sheetFormatPr defaultRowHeight="14.4" x14ac:dyDescent="0.3"/>
  <cols>
    <col min="1" max="1" width="12.44140625" bestFit="1" customWidth="1"/>
    <col min="2" max="2" width="10.5546875" bestFit="1" customWidth="1"/>
    <col min="3" max="3" width="15.77734375" bestFit="1" customWidth="1"/>
    <col min="4" max="4" width="11.77734375" bestFit="1" customWidth="1"/>
    <col min="5" max="5" width="13.5546875" bestFit="1" customWidth="1"/>
  </cols>
  <sheetData>
    <row r="1" spans="1:5" x14ac:dyDescent="0.3">
      <c r="A1" t="s">
        <v>4</v>
      </c>
      <c r="B1" t="s">
        <v>827</v>
      </c>
      <c r="C1" t="s">
        <v>828</v>
      </c>
      <c r="D1" t="s">
        <v>829</v>
      </c>
      <c r="E1" t="s">
        <v>830</v>
      </c>
    </row>
    <row r="2" spans="1:5" x14ac:dyDescent="0.3">
      <c r="A2">
        <v>1</v>
      </c>
      <c r="B2" t="s">
        <v>831</v>
      </c>
      <c r="C2" t="s">
        <v>832</v>
      </c>
      <c r="D2">
        <v>78.040000000000006</v>
      </c>
      <c r="E2">
        <v>90.53</v>
      </c>
    </row>
    <row r="3" spans="1:5" x14ac:dyDescent="0.3">
      <c r="A3">
        <v>2</v>
      </c>
      <c r="B3" t="s">
        <v>833</v>
      </c>
      <c r="C3" t="s">
        <v>834</v>
      </c>
      <c r="D3">
        <v>190.39</v>
      </c>
      <c r="E3">
        <v>274.16000000000003</v>
      </c>
    </row>
    <row r="4" spans="1:5" x14ac:dyDescent="0.3">
      <c r="A4">
        <v>3</v>
      </c>
      <c r="B4" t="s">
        <v>833</v>
      </c>
      <c r="C4" t="s">
        <v>835</v>
      </c>
      <c r="D4">
        <v>147.74</v>
      </c>
      <c r="E4">
        <v>190.58</v>
      </c>
    </row>
    <row r="5" spans="1:5" x14ac:dyDescent="0.3">
      <c r="A5">
        <v>4</v>
      </c>
      <c r="B5" t="s">
        <v>831</v>
      </c>
      <c r="C5" t="s">
        <v>836</v>
      </c>
      <c r="D5">
        <v>121.74</v>
      </c>
      <c r="E5">
        <v>168</v>
      </c>
    </row>
    <row r="6" spans="1:5" x14ac:dyDescent="0.3">
      <c r="A6">
        <v>5</v>
      </c>
      <c r="B6" t="s">
        <v>837</v>
      </c>
      <c r="C6" t="s">
        <v>838</v>
      </c>
      <c r="D6">
        <v>35.42</v>
      </c>
      <c r="E6">
        <v>55.26</v>
      </c>
    </row>
    <row r="7" spans="1:5" x14ac:dyDescent="0.3">
      <c r="A7">
        <v>6</v>
      </c>
      <c r="B7" t="s">
        <v>839</v>
      </c>
      <c r="C7" t="s">
        <v>840</v>
      </c>
      <c r="D7">
        <v>35.42</v>
      </c>
      <c r="E7">
        <v>44.63</v>
      </c>
    </row>
    <row r="8" spans="1:5" x14ac:dyDescent="0.3">
      <c r="A8">
        <v>7</v>
      </c>
      <c r="B8" t="s">
        <v>839</v>
      </c>
      <c r="C8" t="s">
        <v>841</v>
      </c>
      <c r="D8">
        <v>16.329999999999998</v>
      </c>
      <c r="E8">
        <v>21.72</v>
      </c>
    </row>
    <row r="9" spans="1:5" x14ac:dyDescent="0.3">
      <c r="A9">
        <v>8</v>
      </c>
      <c r="B9" t="s">
        <v>839</v>
      </c>
      <c r="C9" t="s">
        <v>842</v>
      </c>
      <c r="D9">
        <v>173.9</v>
      </c>
      <c r="E9">
        <v>259.11</v>
      </c>
    </row>
    <row r="10" spans="1:5" x14ac:dyDescent="0.3">
      <c r="A10">
        <v>9</v>
      </c>
      <c r="B10" t="s">
        <v>831</v>
      </c>
      <c r="C10" t="s">
        <v>843</v>
      </c>
      <c r="D10">
        <v>122.22</v>
      </c>
      <c r="E10">
        <v>152.78</v>
      </c>
    </row>
    <row r="11" spans="1:5" x14ac:dyDescent="0.3">
      <c r="A11">
        <v>10</v>
      </c>
      <c r="B11" t="s">
        <v>833</v>
      </c>
      <c r="C11" t="s">
        <v>844</v>
      </c>
      <c r="D11">
        <v>143.07</v>
      </c>
      <c r="E11">
        <v>168.82</v>
      </c>
    </row>
    <row r="12" spans="1:5" x14ac:dyDescent="0.3">
      <c r="A12">
        <v>11</v>
      </c>
      <c r="B12" t="s">
        <v>831</v>
      </c>
      <c r="C12" t="s">
        <v>845</v>
      </c>
      <c r="D12">
        <v>9.01</v>
      </c>
      <c r="E12">
        <v>11.53</v>
      </c>
    </row>
    <row r="13" spans="1:5" x14ac:dyDescent="0.3">
      <c r="A13">
        <v>12</v>
      </c>
      <c r="B13" t="s">
        <v>831</v>
      </c>
      <c r="C13" t="s">
        <v>846</v>
      </c>
      <c r="D13">
        <v>194.13</v>
      </c>
      <c r="E13">
        <v>236.84</v>
      </c>
    </row>
    <row r="14" spans="1:5" x14ac:dyDescent="0.3">
      <c r="A14">
        <v>13</v>
      </c>
      <c r="B14" t="s">
        <v>847</v>
      </c>
      <c r="C14" t="s">
        <v>848</v>
      </c>
      <c r="D14">
        <v>167.33</v>
      </c>
      <c r="E14">
        <v>262.70999999999998</v>
      </c>
    </row>
    <row r="15" spans="1:5" x14ac:dyDescent="0.3">
      <c r="A15">
        <v>14</v>
      </c>
      <c r="B15" t="s">
        <v>833</v>
      </c>
      <c r="C15" t="s">
        <v>849</v>
      </c>
      <c r="D15">
        <v>46.41</v>
      </c>
      <c r="E15">
        <v>70.08</v>
      </c>
    </row>
    <row r="16" spans="1:5" x14ac:dyDescent="0.3">
      <c r="A16">
        <v>15</v>
      </c>
      <c r="B16" t="s">
        <v>847</v>
      </c>
      <c r="C16" t="s">
        <v>850</v>
      </c>
      <c r="D16">
        <v>40.46</v>
      </c>
      <c r="E16">
        <v>58.26</v>
      </c>
    </row>
    <row r="17" spans="1:5" x14ac:dyDescent="0.3">
      <c r="A17">
        <v>16</v>
      </c>
      <c r="B17" t="s">
        <v>851</v>
      </c>
      <c r="C17" t="s">
        <v>852</v>
      </c>
      <c r="D17">
        <v>40.76</v>
      </c>
      <c r="E17">
        <v>62.77</v>
      </c>
    </row>
    <row r="18" spans="1:5" x14ac:dyDescent="0.3">
      <c r="A18">
        <v>17</v>
      </c>
      <c r="B18" t="s">
        <v>833</v>
      </c>
      <c r="C18" t="s">
        <v>853</v>
      </c>
      <c r="D18">
        <v>64.33</v>
      </c>
      <c r="E18">
        <v>97.14</v>
      </c>
    </row>
    <row r="19" spans="1:5" x14ac:dyDescent="0.3">
      <c r="A19">
        <v>18</v>
      </c>
      <c r="B19" t="s">
        <v>833</v>
      </c>
      <c r="C19" t="s">
        <v>854</v>
      </c>
      <c r="D19">
        <v>107.33</v>
      </c>
      <c r="E19">
        <v>132.02000000000001</v>
      </c>
    </row>
    <row r="20" spans="1:5" x14ac:dyDescent="0.3">
      <c r="A20">
        <v>19</v>
      </c>
      <c r="B20" t="s">
        <v>833</v>
      </c>
      <c r="C20" t="s">
        <v>855</v>
      </c>
      <c r="D20">
        <v>89.23</v>
      </c>
      <c r="E20">
        <v>138.31</v>
      </c>
    </row>
    <row r="21" spans="1:5" x14ac:dyDescent="0.3">
      <c r="A21">
        <v>20</v>
      </c>
      <c r="B21" t="s">
        <v>839</v>
      </c>
      <c r="C21" t="s">
        <v>856</v>
      </c>
      <c r="D21">
        <v>61.79</v>
      </c>
      <c r="E21">
        <v>85.89</v>
      </c>
    </row>
    <row r="22" spans="1:5" x14ac:dyDescent="0.3">
      <c r="A22">
        <v>21</v>
      </c>
      <c r="B22" t="s">
        <v>839</v>
      </c>
      <c r="C22" t="s">
        <v>857</v>
      </c>
      <c r="D22">
        <v>124.31</v>
      </c>
      <c r="E22">
        <v>187.71</v>
      </c>
    </row>
    <row r="23" spans="1:5" x14ac:dyDescent="0.3">
      <c r="A23">
        <v>22</v>
      </c>
      <c r="B23" t="s">
        <v>847</v>
      </c>
      <c r="C23" t="s">
        <v>858</v>
      </c>
      <c r="D23">
        <v>32.200000000000003</v>
      </c>
      <c r="E23">
        <v>49.91</v>
      </c>
    </row>
    <row r="24" spans="1:5" x14ac:dyDescent="0.3">
      <c r="A24">
        <v>23</v>
      </c>
      <c r="B24" t="s">
        <v>847</v>
      </c>
      <c r="C24" t="s">
        <v>859</v>
      </c>
      <c r="D24">
        <v>61.97</v>
      </c>
      <c r="E24">
        <v>79.94</v>
      </c>
    </row>
    <row r="25" spans="1:5" x14ac:dyDescent="0.3">
      <c r="A25">
        <v>24</v>
      </c>
      <c r="B25" t="s">
        <v>833</v>
      </c>
      <c r="C25" t="s">
        <v>860</v>
      </c>
      <c r="D25">
        <v>76.44</v>
      </c>
      <c r="E25">
        <v>91.73</v>
      </c>
    </row>
    <row r="26" spans="1:5" x14ac:dyDescent="0.3">
      <c r="A26">
        <v>25</v>
      </c>
      <c r="B26" t="s">
        <v>847</v>
      </c>
      <c r="C26" t="s">
        <v>861</v>
      </c>
      <c r="D26">
        <v>93.93</v>
      </c>
      <c r="E26">
        <v>117.41</v>
      </c>
    </row>
    <row r="27" spans="1:5" x14ac:dyDescent="0.3">
      <c r="A27">
        <v>26</v>
      </c>
      <c r="B27" t="s">
        <v>839</v>
      </c>
      <c r="C27" t="s">
        <v>862</v>
      </c>
      <c r="D27">
        <v>158.11000000000001</v>
      </c>
      <c r="E27">
        <v>211.87</v>
      </c>
    </row>
    <row r="28" spans="1:5" x14ac:dyDescent="0.3">
      <c r="A28">
        <v>27</v>
      </c>
      <c r="B28" t="s">
        <v>831</v>
      </c>
      <c r="C28" t="s">
        <v>863</v>
      </c>
      <c r="D28">
        <v>43.94</v>
      </c>
      <c r="E28">
        <v>66.790000000000006</v>
      </c>
    </row>
    <row r="29" spans="1:5" x14ac:dyDescent="0.3">
      <c r="A29">
        <v>28</v>
      </c>
      <c r="B29" t="s">
        <v>831</v>
      </c>
      <c r="C29" t="s">
        <v>864</v>
      </c>
      <c r="D29">
        <v>105.28</v>
      </c>
      <c r="E29">
        <v>162.13</v>
      </c>
    </row>
    <row r="30" spans="1:5" x14ac:dyDescent="0.3">
      <c r="A30">
        <v>29</v>
      </c>
      <c r="B30" t="s">
        <v>831</v>
      </c>
      <c r="C30" t="s">
        <v>865</v>
      </c>
      <c r="D30">
        <v>120.52</v>
      </c>
      <c r="E30">
        <v>138.6</v>
      </c>
    </row>
    <row r="31" spans="1:5" x14ac:dyDescent="0.3">
      <c r="A31">
        <v>30</v>
      </c>
      <c r="B31" t="s">
        <v>847</v>
      </c>
      <c r="C31" t="s">
        <v>866</v>
      </c>
      <c r="D31">
        <v>14.06</v>
      </c>
      <c r="E31">
        <v>19.399999999999999</v>
      </c>
    </row>
    <row r="32" spans="1:5" x14ac:dyDescent="0.3">
      <c r="A32">
        <v>31</v>
      </c>
      <c r="B32" t="s">
        <v>851</v>
      </c>
      <c r="C32" t="s">
        <v>867</v>
      </c>
      <c r="D32">
        <v>123.47</v>
      </c>
      <c r="E32">
        <v>165.45</v>
      </c>
    </row>
    <row r="33" spans="1:5" x14ac:dyDescent="0.3">
      <c r="A33">
        <v>32</v>
      </c>
      <c r="B33" t="s">
        <v>839</v>
      </c>
      <c r="C33" t="s">
        <v>868</v>
      </c>
      <c r="D33">
        <v>38.25</v>
      </c>
      <c r="E33">
        <v>47.81</v>
      </c>
    </row>
    <row r="34" spans="1:5" x14ac:dyDescent="0.3">
      <c r="A34">
        <v>33</v>
      </c>
      <c r="B34" t="s">
        <v>851</v>
      </c>
      <c r="C34" t="s">
        <v>869</v>
      </c>
      <c r="D34">
        <v>17.690000000000001</v>
      </c>
      <c r="E34">
        <v>21.23</v>
      </c>
    </row>
    <row r="35" spans="1:5" x14ac:dyDescent="0.3">
      <c r="A35">
        <v>34</v>
      </c>
      <c r="B35" t="s">
        <v>847</v>
      </c>
      <c r="C35" t="s">
        <v>870</v>
      </c>
      <c r="D35">
        <v>190.03</v>
      </c>
      <c r="E35">
        <v>247.04</v>
      </c>
    </row>
    <row r="36" spans="1:5" x14ac:dyDescent="0.3">
      <c r="A36">
        <v>35</v>
      </c>
      <c r="B36" t="s">
        <v>837</v>
      </c>
      <c r="C36" t="s">
        <v>871</v>
      </c>
      <c r="D36">
        <v>193.3</v>
      </c>
      <c r="E36">
        <v>303.48</v>
      </c>
    </row>
    <row r="37" spans="1:5" x14ac:dyDescent="0.3">
      <c r="A37">
        <v>36</v>
      </c>
      <c r="B37" t="s">
        <v>872</v>
      </c>
      <c r="C37" t="s">
        <v>873</v>
      </c>
      <c r="D37">
        <v>162.63999999999999</v>
      </c>
      <c r="E37">
        <v>211.43</v>
      </c>
    </row>
    <row r="38" spans="1:5" x14ac:dyDescent="0.3">
      <c r="A38">
        <v>37</v>
      </c>
      <c r="B38" t="s">
        <v>872</v>
      </c>
      <c r="C38" t="s">
        <v>874</v>
      </c>
      <c r="D38">
        <v>64.400000000000006</v>
      </c>
      <c r="E38">
        <v>88.87</v>
      </c>
    </row>
    <row r="39" spans="1:5" x14ac:dyDescent="0.3">
      <c r="A39">
        <v>38</v>
      </c>
      <c r="B39" t="s">
        <v>833</v>
      </c>
      <c r="C39" t="s">
        <v>875</v>
      </c>
      <c r="D39">
        <v>24.05</v>
      </c>
      <c r="E39">
        <v>35.35</v>
      </c>
    </row>
    <row r="40" spans="1:5" x14ac:dyDescent="0.3">
      <c r="A40">
        <v>39</v>
      </c>
      <c r="B40" t="s">
        <v>872</v>
      </c>
      <c r="C40" t="s">
        <v>876</v>
      </c>
      <c r="D40">
        <v>138.43</v>
      </c>
      <c r="E40">
        <v>181.34</v>
      </c>
    </row>
    <row r="41" spans="1:5" x14ac:dyDescent="0.3">
      <c r="A41">
        <v>40</v>
      </c>
      <c r="B41" t="s">
        <v>872</v>
      </c>
      <c r="C41" t="s">
        <v>877</v>
      </c>
      <c r="D41">
        <v>90.83</v>
      </c>
      <c r="E41">
        <v>144.41999999999999</v>
      </c>
    </row>
    <row r="42" spans="1:5" x14ac:dyDescent="0.3">
      <c r="A42">
        <v>41</v>
      </c>
      <c r="B42" t="s">
        <v>839</v>
      </c>
      <c r="C42" t="s">
        <v>878</v>
      </c>
      <c r="D42">
        <v>28.8</v>
      </c>
      <c r="E42">
        <v>45.5</v>
      </c>
    </row>
    <row r="43" spans="1:5" x14ac:dyDescent="0.3">
      <c r="A43">
        <v>42</v>
      </c>
      <c r="B43" t="s">
        <v>831</v>
      </c>
      <c r="C43" t="s">
        <v>879</v>
      </c>
      <c r="D43">
        <v>101.56</v>
      </c>
      <c r="E43">
        <v>127.97</v>
      </c>
    </row>
    <row r="44" spans="1:5" x14ac:dyDescent="0.3">
      <c r="A44">
        <v>43</v>
      </c>
      <c r="B44" t="s">
        <v>851</v>
      </c>
      <c r="C44" t="s">
        <v>880</v>
      </c>
      <c r="D44">
        <v>11.71</v>
      </c>
      <c r="E44">
        <v>16.04</v>
      </c>
    </row>
    <row r="45" spans="1:5" x14ac:dyDescent="0.3">
      <c r="A45">
        <v>44</v>
      </c>
      <c r="B45" t="s">
        <v>837</v>
      </c>
      <c r="C45" t="s">
        <v>881</v>
      </c>
      <c r="D45">
        <v>182.32</v>
      </c>
      <c r="E45">
        <v>235.19</v>
      </c>
    </row>
    <row r="46" spans="1:5" x14ac:dyDescent="0.3">
      <c r="A46">
        <v>45</v>
      </c>
      <c r="B46" t="s">
        <v>837</v>
      </c>
      <c r="C46" t="s">
        <v>882</v>
      </c>
      <c r="D46">
        <v>55.46</v>
      </c>
      <c r="E46">
        <v>70.989999999999995</v>
      </c>
    </row>
    <row r="47" spans="1:5" x14ac:dyDescent="0.3">
      <c r="A47">
        <v>46</v>
      </c>
      <c r="B47" t="s">
        <v>839</v>
      </c>
      <c r="C47" t="s">
        <v>883</v>
      </c>
      <c r="D47">
        <v>134.19</v>
      </c>
      <c r="E47">
        <v>157</v>
      </c>
    </row>
    <row r="48" spans="1:5" x14ac:dyDescent="0.3">
      <c r="A48">
        <v>47</v>
      </c>
      <c r="B48" t="s">
        <v>839</v>
      </c>
      <c r="C48" t="s">
        <v>884</v>
      </c>
      <c r="D48">
        <v>65.78</v>
      </c>
      <c r="E48">
        <v>93.41</v>
      </c>
    </row>
    <row r="49" spans="1:5" x14ac:dyDescent="0.3">
      <c r="A49">
        <v>48</v>
      </c>
      <c r="B49" t="s">
        <v>872</v>
      </c>
      <c r="C49" t="s">
        <v>885</v>
      </c>
      <c r="D49">
        <v>106.41</v>
      </c>
      <c r="E49">
        <v>146.85</v>
      </c>
    </row>
    <row r="50" spans="1:5" x14ac:dyDescent="0.3">
      <c r="A50">
        <v>49</v>
      </c>
      <c r="B50" t="s">
        <v>837</v>
      </c>
      <c r="C50" t="s">
        <v>886</v>
      </c>
      <c r="D50">
        <v>111.61</v>
      </c>
      <c r="E50">
        <v>130.58000000000001</v>
      </c>
    </row>
    <row r="51" spans="1:5" x14ac:dyDescent="0.3">
      <c r="A51">
        <v>50</v>
      </c>
      <c r="B51" t="s">
        <v>833</v>
      </c>
      <c r="C51" t="s">
        <v>887</v>
      </c>
      <c r="D51">
        <v>41.05</v>
      </c>
      <c r="E51">
        <v>52.54</v>
      </c>
    </row>
    <row r="52" spans="1:5" x14ac:dyDescent="0.3">
      <c r="A52">
        <v>51</v>
      </c>
      <c r="B52" t="s">
        <v>833</v>
      </c>
      <c r="C52" t="s">
        <v>888</v>
      </c>
      <c r="D52">
        <v>194.07</v>
      </c>
      <c r="E52">
        <v>302.75</v>
      </c>
    </row>
    <row r="53" spans="1:5" x14ac:dyDescent="0.3">
      <c r="A53">
        <v>52</v>
      </c>
      <c r="B53" t="s">
        <v>851</v>
      </c>
      <c r="C53" t="s">
        <v>889</v>
      </c>
      <c r="D53">
        <v>156.15</v>
      </c>
      <c r="E53">
        <v>196.75</v>
      </c>
    </row>
    <row r="54" spans="1:5" x14ac:dyDescent="0.3">
      <c r="A54">
        <v>53</v>
      </c>
      <c r="B54" t="s">
        <v>833</v>
      </c>
      <c r="C54" t="s">
        <v>890</v>
      </c>
      <c r="D54">
        <v>188.2</v>
      </c>
      <c r="E54">
        <v>229.6</v>
      </c>
    </row>
    <row r="55" spans="1:5" x14ac:dyDescent="0.3">
      <c r="A55">
        <v>54</v>
      </c>
      <c r="B55" t="s">
        <v>837</v>
      </c>
      <c r="C55" t="s">
        <v>891</v>
      </c>
      <c r="D55">
        <v>179.49</v>
      </c>
      <c r="E55">
        <v>245.9</v>
      </c>
    </row>
    <row r="56" spans="1:5" x14ac:dyDescent="0.3">
      <c r="A56">
        <v>55</v>
      </c>
      <c r="B56" t="s">
        <v>872</v>
      </c>
      <c r="C56" t="s">
        <v>892</v>
      </c>
      <c r="D56">
        <v>121.59</v>
      </c>
      <c r="E56">
        <v>193.33</v>
      </c>
    </row>
    <row r="57" spans="1:5" x14ac:dyDescent="0.3">
      <c r="A57">
        <v>56</v>
      </c>
      <c r="B57" t="s">
        <v>837</v>
      </c>
      <c r="C57" t="s">
        <v>893</v>
      </c>
      <c r="D57">
        <v>184.77</v>
      </c>
      <c r="E57">
        <v>232.81</v>
      </c>
    </row>
    <row r="58" spans="1:5" x14ac:dyDescent="0.3">
      <c r="A58">
        <v>57</v>
      </c>
      <c r="B58" t="s">
        <v>847</v>
      </c>
      <c r="C58" t="s">
        <v>894</v>
      </c>
      <c r="D58">
        <v>22.26</v>
      </c>
      <c r="E58">
        <v>32.28</v>
      </c>
    </row>
    <row r="59" spans="1:5" x14ac:dyDescent="0.3">
      <c r="A59">
        <v>58</v>
      </c>
      <c r="B59" t="s">
        <v>837</v>
      </c>
      <c r="C59" t="s">
        <v>895</v>
      </c>
      <c r="D59">
        <v>43.22</v>
      </c>
      <c r="E59">
        <v>64.400000000000006</v>
      </c>
    </row>
    <row r="60" spans="1:5" x14ac:dyDescent="0.3">
      <c r="A60">
        <v>59</v>
      </c>
      <c r="B60" t="s">
        <v>872</v>
      </c>
      <c r="C60" t="s">
        <v>896</v>
      </c>
      <c r="D60">
        <v>13.82</v>
      </c>
      <c r="E60">
        <v>17.41</v>
      </c>
    </row>
    <row r="61" spans="1:5" x14ac:dyDescent="0.3">
      <c r="A61">
        <v>60</v>
      </c>
      <c r="B61" t="s">
        <v>833</v>
      </c>
      <c r="C61" t="s">
        <v>897</v>
      </c>
      <c r="D61">
        <v>68.44</v>
      </c>
      <c r="E61">
        <v>101.29</v>
      </c>
    </row>
    <row r="62" spans="1:5" x14ac:dyDescent="0.3">
      <c r="A62">
        <v>61</v>
      </c>
      <c r="B62" t="s">
        <v>831</v>
      </c>
      <c r="C62" t="s">
        <v>898</v>
      </c>
      <c r="D62">
        <v>80.790000000000006</v>
      </c>
      <c r="E62">
        <v>106.64</v>
      </c>
    </row>
    <row r="63" spans="1:5" x14ac:dyDescent="0.3">
      <c r="A63">
        <v>62</v>
      </c>
      <c r="B63" t="s">
        <v>851</v>
      </c>
      <c r="C63" t="s">
        <v>899</v>
      </c>
      <c r="D63">
        <v>57.91</v>
      </c>
      <c r="E63">
        <v>82.81</v>
      </c>
    </row>
    <row r="64" spans="1:5" x14ac:dyDescent="0.3">
      <c r="A64">
        <v>63</v>
      </c>
      <c r="B64" t="s">
        <v>847</v>
      </c>
      <c r="C64" t="s">
        <v>900</v>
      </c>
      <c r="D64">
        <v>166.6</v>
      </c>
      <c r="E64">
        <v>239.9</v>
      </c>
    </row>
    <row r="65" spans="1:5" x14ac:dyDescent="0.3">
      <c r="A65">
        <v>64</v>
      </c>
      <c r="B65" t="s">
        <v>833</v>
      </c>
      <c r="C65" t="s">
        <v>901</v>
      </c>
      <c r="D65">
        <v>74.569999999999993</v>
      </c>
      <c r="E65">
        <v>103.65</v>
      </c>
    </row>
    <row r="66" spans="1:5" x14ac:dyDescent="0.3">
      <c r="A66">
        <v>65</v>
      </c>
      <c r="B66" t="s">
        <v>851</v>
      </c>
      <c r="C66" t="s">
        <v>902</v>
      </c>
      <c r="D66">
        <v>59.78</v>
      </c>
      <c r="E66">
        <v>71.14</v>
      </c>
    </row>
    <row r="67" spans="1:5" x14ac:dyDescent="0.3">
      <c r="A67">
        <v>66</v>
      </c>
      <c r="B67" t="s">
        <v>833</v>
      </c>
      <c r="C67" t="s">
        <v>903</v>
      </c>
      <c r="D67">
        <v>110.83</v>
      </c>
      <c r="E67">
        <v>169.57</v>
      </c>
    </row>
    <row r="68" spans="1:5" x14ac:dyDescent="0.3">
      <c r="A68">
        <v>67</v>
      </c>
      <c r="B68" t="s">
        <v>847</v>
      </c>
      <c r="C68" t="s">
        <v>904</v>
      </c>
      <c r="D68">
        <v>32.479999999999997</v>
      </c>
      <c r="E68">
        <v>41.9</v>
      </c>
    </row>
    <row r="69" spans="1:5" x14ac:dyDescent="0.3">
      <c r="A69">
        <v>68</v>
      </c>
      <c r="B69" t="s">
        <v>837</v>
      </c>
      <c r="C69" t="s">
        <v>905</v>
      </c>
      <c r="D69">
        <v>161.43</v>
      </c>
      <c r="E69">
        <v>198.56</v>
      </c>
    </row>
    <row r="70" spans="1:5" x14ac:dyDescent="0.3">
      <c r="A70">
        <v>69</v>
      </c>
      <c r="B70" t="s">
        <v>872</v>
      </c>
      <c r="C70" t="s">
        <v>906</v>
      </c>
      <c r="D70">
        <v>19.54</v>
      </c>
      <c r="E70">
        <v>22.86</v>
      </c>
    </row>
    <row r="71" spans="1:5" x14ac:dyDescent="0.3">
      <c r="A71">
        <v>70</v>
      </c>
      <c r="B71" t="s">
        <v>831</v>
      </c>
      <c r="C71" t="s">
        <v>907</v>
      </c>
      <c r="D71">
        <v>197.44</v>
      </c>
      <c r="E71">
        <v>280.36</v>
      </c>
    </row>
    <row r="72" spans="1:5" x14ac:dyDescent="0.3">
      <c r="A72">
        <v>71</v>
      </c>
      <c r="B72" t="s">
        <v>847</v>
      </c>
      <c r="C72" t="s">
        <v>908</v>
      </c>
      <c r="D72">
        <v>155.59</v>
      </c>
      <c r="E72">
        <v>225.61</v>
      </c>
    </row>
    <row r="73" spans="1:5" x14ac:dyDescent="0.3">
      <c r="A73">
        <v>72</v>
      </c>
      <c r="B73" t="s">
        <v>872</v>
      </c>
      <c r="C73" t="s">
        <v>909</v>
      </c>
      <c r="D73">
        <v>43.75</v>
      </c>
      <c r="E73">
        <v>50.75</v>
      </c>
    </row>
    <row r="74" spans="1:5" x14ac:dyDescent="0.3">
      <c r="A74">
        <v>73</v>
      </c>
      <c r="B74" t="s">
        <v>837</v>
      </c>
      <c r="C74" t="s">
        <v>910</v>
      </c>
      <c r="D74">
        <v>6.08</v>
      </c>
      <c r="E74">
        <v>8.39</v>
      </c>
    </row>
    <row r="75" spans="1:5" x14ac:dyDescent="0.3">
      <c r="A75">
        <v>74</v>
      </c>
      <c r="B75" t="s">
        <v>847</v>
      </c>
      <c r="C75" t="s">
        <v>911</v>
      </c>
      <c r="D75">
        <v>164.01</v>
      </c>
      <c r="E75">
        <v>205.01</v>
      </c>
    </row>
    <row r="76" spans="1:5" x14ac:dyDescent="0.3">
      <c r="A76">
        <v>75</v>
      </c>
      <c r="B76" t="s">
        <v>839</v>
      </c>
      <c r="C76" t="s">
        <v>912</v>
      </c>
      <c r="D76">
        <v>142.84</v>
      </c>
      <c r="E76">
        <v>205.69</v>
      </c>
    </row>
    <row r="77" spans="1:5" x14ac:dyDescent="0.3">
      <c r="A77">
        <v>76</v>
      </c>
      <c r="B77" t="s">
        <v>831</v>
      </c>
      <c r="C77" t="s">
        <v>913</v>
      </c>
      <c r="D77">
        <v>147.16</v>
      </c>
      <c r="E77">
        <v>181.01</v>
      </c>
    </row>
    <row r="78" spans="1:5" x14ac:dyDescent="0.3">
      <c r="A78">
        <v>77</v>
      </c>
      <c r="B78" t="s">
        <v>833</v>
      </c>
      <c r="C78" t="s">
        <v>914</v>
      </c>
      <c r="D78">
        <v>155.4</v>
      </c>
      <c r="E78">
        <v>226.88</v>
      </c>
    </row>
    <row r="79" spans="1:5" x14ac:dyDescent="0.3">
      <c r="A79">
        <v>78</v>
      </c>
      <c r="B79" t="s">
        <v>833</v>
      </c>
      <c r="C79" t="s">
        <v>915</v>
      </c>
      <c r="D79">
        <v>19.440000000000001</v>
      </c>
      <c r="E79">
        <v>25.66</v>
      </c>
    </row>
    <row r="80" spans="1:5" x14ac:dyDescent="0.3">
      <c r="A80">
        <v>79</v>
      </c>
      <c r="B80" t="s">
        <v>831</v>
      </c>
      <c r="C80" t="s">
        <v>916</v>
      </c>
      <c r="D80">
        <v>74.900000000000006</v>
      </c>
      <c r="E80">
        <v>117.59</v>
      </c>
    </row>
    <row r="81" spans="1:5" x14ac:dyDescent="0.3">
      <c r="A81">
        <v>80</v>
      </c>
      <c r="B81" t="s">
        <v>839</v>
      </c>
      <c r="C81" t="s">
        <v>917</v>
      </c>
      <c r="D81">
        <v>27.59</v>
      </c>
      <c r="E81">
        <v>33.380000000000003</v>
      </c>
    </row>
    <row r="82" spans="1:5" x14ac:dyDescent="0.3">
      <c r="A82">
        <v>81</v>
      </c>
      <c r="B82" t="s">
        <v>872</v>
      </c>
      <c r="C82" t="s">
        <v>918</v>
      </c>
      <c r="D82">
        <v>173.31</v>
      </c>
      <c r="E82">
        <v>225.3</v>
      </c>
    </row>
    <row r="83" spans="1:5" x14ac:dyDescent="0.3">
      <c r="A83">
        <v>82</v>
      </c>
      <c r="B83" t="s">
        <v>837</v>
      </c>
      <c r="C83" t="s">
        <v>919</v>
      </c>
      <c r="D83">
        <v>126.54</v>
      </c>
      <c r="E83">
        <v>151.85</v>
      </c>
    </row>
    <row r="84" spans="1:5" x14ac:dyDescent="0.3">
      <c r="A84">
        <v>83</v>
      </c>
      <c r="B84" t="s">
        <v>833</v>
      </c>
      <c r="C84" t="s">
        <v>920</v>
      </c>
      <c r="D84">
        <v>69.53</v>
      </c>
      <c r="E84">
        <v>109.16</v>
      </c>
    </row>
    <row r="85" spans="1:5" x14ac:dyDescent="0.3">
      <c r="A85">
        <v>84</v>
      </c>
      <c r="B85" t="s">
        <v>872</v>
      </c>
      <c r="C85" t="s">
        <v>921</v>
      </c>
      <c r="D85">
        <v>17.39</v>
      </c>
      <c r="E85">
        <v>26.78</v>
      </c>
    </row>
    <row r="86" spans="1:5" x14ac:dyDescent="0.3">
      <c r="A86">
        <v>85</v>
      </c>
      <c r="B86" t="s">
        <v>839</v>
      </c>
      <c r="C86" t="s">
        <v>922</v>
      </c>
      <c r="D86">
        <v>65.64</v>
      </c>
      <c r="E86">
        <v>83.36</v>
      </c>
    </row>
    <row r="87" spans="1:5" x14ac:dyDescent="0.3">
      <c r="A87">
        <v>86</v>
      </c>
      <c r="B87" t="s">
        <v>872</v>
      </c>
      <c r="C87" t="s">
        <v>923</v>
      </c>
      <c r="D87">
        <v>68.41</v>
      </c>
      <c r="E87">
        <v>99.19</v>
      </c>
    </row>
    <row r="88" spans="1:5" x14ac:dyDescent="0.3">
      <c r="A88">
        <v>87</v>
      </c>
      <c r="B88" t="s">
        <v>833</v>
      </c>
      <c r="C88" t="s">
        <v>924</v>
      </c>
      <c r="D88">
        <v>147.27000000000001</v>
      </c>
      <c r="E88">
        <v>223.85</v>
      </c>
    </row>
    <row r="89" spans="1:5" x14ac:dyDescent="0.3">
      <c r="A89">
        <v>88</v>
      </c>
      <c r="B89" t="s">
        <v>851</v>
      </c>
      <c r="C89" t="s">
        <v>925</v>
      </c>
      <c r="D89">
        <v>129.32</v>
      </c>
      <c r="E89">
        <v>181.05</v>
      </c>
    </row>
    <row r="90" spans="1:5" x14ac:dyDescent="0.3">
      <c r="A90">
        <v>89</v>
      </c>
      <c r="B90" t="s">
        <v>837</v>
      </c>
      <c r="C90" t="s">
        <v>926</v>
      </c>
      <c r="D90">
        <v>178.01</v>
      </c>
      <c r="E90">
        <v>247.43</v>
      </c>
    </row>
    <row r="91" spans="1:5" x14ac:dyDescent="0.3">
      <c r="A91">
        <v>90</v>
      </c>
      <c r="B91" t="s">
        <v>851</v>
      </c>
      <c r="C91" t="s">
        <v>927</v>
      </c>
      <c r="D91">
        <v>97.08</v>
      </c>
      <c r="E91">
        <v>122.32</v>
      </c>
    </row>
    <row r="92" spans="1:5" x14ac:dyDescent="0.3">
      <c r="A92">
        <v>91</v>
      </c>
      <c r="B92" t="s">
        <v>831</v>
      </c>
      <c r="C92" t="s">
        <v>928</v>
      </c>
      <c r="D92">
        <v>28.32</v>
      </c>
      <c r="E92">
        <v>33.700000000000003</v>
      </c>
    </row>
    <row r="93" spans="1:5" x14ac:dyDescent="0.3">
      <c r="A93">
        <v>92</v>
      </c>
      <c r="B93" t="s">
        <v>872</v>
      </c>
      <c r="C93" t="s">
        <v>929</v>
      </c>
      <c r="D93">
        <v>144.08000000000001</v>
      </c>
      <c r="E93">
        <v>223.32</v>
      </c>
    </row>
    <row r="94" spans="1:5" x14ac:dyDescent="0.3">
      <c r="A94">
        <v>93</v>
      </c>
      <c r="B94" t="s">
        <v>837</v>
      </c>
      <c r="C94" t="s">
        <v>930</v>
      </c>
      <c r="D94">
        <v>153.35</v>
      </c>
      <c r="E94">
        <v>239.23</v>
      </c>
    </row>
    <row r="95" spans="1:5" x14ac:dyDescent="0.3">
      <c r="A95">
        <v>94</v>
      </c>
      <c r="B95" t="s">
        <v>839</v>
      </c>
      <c r="C95" t="s">
        <v>931</v>
      </c>
      <c r="D95">
        <v>114.45</v>
      </c>
      <c r="E95">
        <v>163.66</v>
      </c>
    </row>
    <row r="96" spans="1:5" x14ac:dyDescent="0.3">
      <c r="A96">
        <v>95</v>
      </c>
      <c r="B96" t="s">
        <v>837</v>
      </c>
      <c r="C96" t="s">
        <v>932</v>
      </c>
      <c r="D96">
        <v>155.34</v>
      </c>
      <c r="E96">
        <v>201.94</v>
      </c>
    </row>
    <row r="97" spans="1:5" x14ac:dyDescent="0.3">
      <c r="A97">
        <v>96</v>
      </c>
      <c r="B97" t="s">
        <v>837</v>
      </c>
      <c r="C97" t="s">
        <v>933</v>
      </c>
      <c r="D97">
        <v>101.29</v>
      </c>
      <c r="E97">
        <v>132.69</v>
      </c>
    </row>
    <row r="98" spans="1:5" x14ac:dyDescent="0.3">
      <c r="A98">
        <v>97</v>
      </c>
      <c r="B98" t="s">
        <v>839</v>
      </c>
      <c r="C98" t="s">
        <v>934</v>
      </c>
      <c r="D98">
        <v>106.93</v>
      </c>
      <c r="E98">
        <v>158.26</v>
      </c>
    </row>
    <row r="99" spans="1:5" x14ac:dyDescent="0.3">
      <c r="A99">
        <v>98</v>
      </c>
      <c r="B99" t="s">
        <v>831</v>
      </c>
      <c r="C99" t="s">
        <v>935</v>
      </c>
      <c r="D99">
        <v>88.37</v>
      </c>
      <c r="E99">
        <v>136.97</v>
      </c>
    </row>
    <row r="100" spans="1:5" x14ac:dyDescent="0.3">
      <c r="A100">
        <v>99</v>
      </c>
      <c r="B100" t="s">
        <v>837</v>
      </c>
      <c r="C100" t="s">
        <v>936</v>
      </c>
      <c r="D100">
        <v>9.9600000000000009</v>
      </c>
      <c r="E100">
        <v>15.44</v>
      </c>
    </row>
    <row r="101" spans="1:5" x14ac:dyDescent="0.3">
      <c r="A101">
        <v>100</v>
      </c>
      <c r="B101" t="s">
        <v>831</v>
      </c>
      <c r="C101" t="s">
        <v>937</v>
      </c>
      <c r="D101">
        <v>26.04</v>
      </c>
      <c r="E101">
        <v>39.06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91"/>
  <sheetViews>
    <sheetView workbookViewId="0">
      <selection activeCell="J15" sqref="J15:K19"/>
    </sheetView>
  </sheetViews>
  <sheetFormatPr defaultRowHeight="14.4" x14ac:dyDescent="0.3"/>
  <cols>
    <col min="1" max="1" width="14.6640625" bestFit="1" customWidth="1"/>
    <col min="2" max="2" width="12.77734375" bestFit="1" customWidth="1"/>
    <col min="3" max="3" width="18" bestFit="1" customWidth="1"/>
    <col min="4" max="4" width="14" style="3" bestFit="1" customWidth="1"/>
    <col min="5" max="5" width="15.77734375" style="3" bestFit="1" customWidth="1"/>
    <col min="6" max="6" width="18.21875" bestFit="1" customWidth="1"/>
    <col min="10" max="10" width="16.5546875" customWidth="1"/>
    <col min="11" max="11" width="10.21875" bestFit="1" customWidth="1"/>
    <col min="12" max="12" width="15.44140625" bestFit="1" customWidth="1"/>
  </cols>
  <sheetData>
    <row r="1" spans="1:12" x14ac:dyDescent="0.3">
      <c r="A1" s="1" t="s">
        <v>4</v>
      </c>
      <c r="B1" s="1" t="s">
        <v>827</v>
      </c>
      <c r="C1" s="1" t="s">
        <v>828</v>
      </c>
      <c r="D1" s="2" t="s">
        <v>829</v>
      </c>
      <c r="E1" s="2" t="s">
        <v>830</v>
      </c>
      <c r="F1" s="1" t="s">
        <v>938</v>
      </c>
    </row>
    <row r="2" spans="1:12" x14ac:dyDescent="0.3">
      <c r="A2">
        <v>1</v>
      </c>
      <c r="B2" s="7" t="s">
        <v>831</v>
      </c>
      <c r="C2" t="s">
        <v>832</v>
      </c>
      <c r="D2" s="3">
        <v>78.040000000000006</v>
      </c>
      <c r="E2" s="3">
        <v>90.53</v>
      </c>
      <c r="F2" s="3">
        <f>Table8[[#This Row],[selling_price]]-Table8[[#This Row],[cost_price]]</f>
        <v>12.489999999999995</v>
      </c>
      <c r="K2" s="11" t="s">
        <v>4</v>
      </c>
      <c r="L2" s="11" t="s">
        <v>827</v>
      </c>
    </row>
    <row r="3" spans="1:12" x14ac:dyDescent="0.3">
      <c r="A3">
        <v>2</v>
      </c>
      <c r="B3" s="5" t="s">
        <v>833</v>
      </c>
      <c r="C3" t="s">
        <v>834</v>
      </c>
      <c r="D3" s="3">
        <v>190.39</v>
      </c>
      <c r="E3" s="3">
        <v>274.16000000000003</v>
      </c>
      <c r="F3" s="3">
        <f>Table8[[#This Row],[selling_price]]-Table8[[#This Row],[cost_price]]</f>
        <v>83.770000000000039</v>
      </c>
      <c r="K3" s="6">
        <v>1</v>
      </c>
      <c r="L3" s="7" t="s">
        <v>831</v>
      </c>
    </row>
    <row r="4" spans="1:12" x14ac:dyDescent="0.3">
      <c r="A4">
        <v>3</v>
      </c>
      <c r="B4" s="7" t="s">
        <v>954</v>
      </c>
      <c r="C4" t="s">
        <v>835</v>
      </c>
      <c r="D4" s="3">
        <v>147.74</v>
      </c>
      <c r="E4" s="3">
        <v>190.58</v>
      </c>
      <c r="F4" s="3">
        <f>Table8[[#This Row],[selling_price]]-Table8[[#This Row],[cost_price]]</f>
        <v>42.84</v>
      </c>
      <c r="K4" s="4">
        <v>2</v>
      </c>
      <c r="L4" s="5" t="s">
        <v>833</v>
      </c>
    </row>
    <row r="5" spans="1:12" x14ac:dyDescent="0.3">
      <c r="A5">
        <v>4</v>
      </c>
      <c r="B5" s="5" t="s">
        <v>831</v>
      </c>
      <c r="C5" t="s">
        <v>836</v>
      </c>
      <c r="D5" s="3">
        <v>121.74</v>
      </c>
      <c r="E5" s="3">
        <v>168</v>
      </c>
      <c r="F5" s="3">
        <f>Table8[[#This Row],[selling_price]]-Table8[[#This Row],[cost_price]]</f>
        <v>46.260000000000005</v>
      </c>
      <c r="K5" s="6">
        <v>3</v>
      </c>
      <c r="L5" s="7" t="s">
        <v>954</v>
      </c>
    </row>
    <row r="6" spans="1:12" x14ac:dyDescent="0.3">
      <c r="A6">
        <v>5</v>
      </c>
      <c r="B6" s="7" t="s">
        <v>837</v>
      </c>
      <c r="C6" t="s">
        <v>838</v>
      </c>
      <c r="D6" s="3">
        <v>35.42</v>
      </c>
      <c r="E6" s="3">
        <v>55.26</v>
      </c>
      <c r="F6" s="3">
        <f>Table8[[#This Row],[selling_price]]-Table8[[#This Row],[cost_price]]</f>
        <v>19.839999999999996</v>
      </c>
      <c r="K6" s="4">
        <v>4</v>
      </c>
      <c r="L6" s="5" t="s">
        <v>831</v>
      </c>
    </row>
    <row r="7" spans="1:12" x14ac:dyDescent="0.3">
      <c r="A7">
        <v>6</v>
      </c>
      <c r="B7" s="5" t="s">
        <v>839</v>
      </c>
      <c r="C7" t="s">
        <v>840</v>
      </c>
      <c r="D7" s="3">
        <v>35.42</v>
      </c>
      <c r="E7" s="3">
        <v>44.63</v>
      </c>
      <c r="F7" s="3">
        <f>Table8[[#This Row],[selling_price]]-Table8[[#This Row],[cost_price]]</f>
        <v>9.2100000000000009</v>
      </c>
      <c r="K7" s="6">
        <v>5</v>
      </c>
      <c r="L7" s="7" t="s">
        <v>837</v>
      </c>
    </row>
    <row r="8" spans="1:12" x14ac:dyDescent="0.3">
      <c r="A8">
        <v>7</v>
      </c>
      <c r="B8" s="13" t="s">
        <v>955</v>
      </c>
      <c r="C8" t="s">
        <v>841</v>
      </c>
      <c r="D8" s="3">
        <v>16.329999999999998</v>
      </c>
      <c r="E8" s="3">
        <v>21.72</v>
      </c>
      <c r="F8" s="3">
        <f>Table8[[#This Row],[selling_price]]-Table8[[#This Row],[cost_price]]</f>
        <v>5.3900000000000006</v>
      </c>
      <c r="K8" s="4">
        <v>6</v>
      </c>
      <c r="L8" s="5" t="s">
        <v>839</v>
      </c>
    </row>
    <row r="9" spans="1:12" x14ac:dyDescent="0.3">
      <c r="A9">
        <v>8</v>
      </c>
      <c r="B9" s="15" t="s">
        <v>956</v>
      </c>
      <c r="C9" t="s">
        <v>842</v>
      </c>
      <c r="D9" s="3">
        <v>173.9</v>
      </c>
      <c r="E9" s="3">
        <v>259.11</v>
      </c>
      <c r="F9" s="3">
        <f>Table8[[#This Row],[selling_price]]-Table8[[#This Row],[cost_price]]</f>
        <v>85.210000000000008</v>
      </c>
      <c r="K9" s="12">
        <v>7</v>
      </c>
      <c r="L9" s="13" t="s">
        <v>955</v>
      </c>
    </row>
    <row r="10" spans="1:12" x14ac:dyDescent="0.3">
      <c r="A10">
        <v>9</v>
      </c>
      <c r="B10" s="13" t="s">
        <v>957</v>
      </c>
      <c r="C10" t="s">
        <v>843</v>
      </c>
      <c r="D10" s="3">
        <v>122.22</v>
      </c>
      <c r="E10" s="3">
        <v>152.78</v>
      </c>
      <c r="F10" s="3">
        <f>Table8[[#This Row],[selling_price]]-Table8[[#This Row],[cost_price]]</f>
        <v>30.560000000000002</v>
      </c>
      <c r="K10" s="14">
        <v>8</v>
      </c>
      <c r="L10" s="15" t="s">
        <v>956</v>
      </c>
    </row>
    <row r="11" spans="1:12" x14ac:dyDescent="0.3">
      <c r="A11">
        <v>10</v>
      </c>
      <c r="B11" s="15" t="s">
        <v>958</v>
      </c>
      <c r="C11" t="s">
        <v>844</v>
      </c>
      <c r="D11" s="3">
        <v>143.07</v>
      </c>
      <c r="E11" s="3">
        <v>168.82</v>
      </c>
      <c r="F11" s="3">
        <f>Table8[[#This Row],[selling_price]]-Table8[[#This Row],[cost_price]]</f>
        <v>25.75</v>
      </c>
      <c r="K11" s="12">
        <v>9</v>
      </c>
      <c r="L11" s="13" t="s">
        <v>957</v>
      </c>
    </row>
    <row r="12" spans="1:12" x14ac:dyDescent="0.3">
      <c r="A12">
        <v>11</v>
      </c>
      <c r="B12" t="s">
        <v>831</v>
      </c>
      <c r="C12" t="s">
        <v>845</v>
      </c>
      <c r="D12" s="3">
        <v>9.01</v>
      </c>
      <c r="E12" s="3">
        <v>11.53</v>
      </c>
      <c r="F12" s="3">
        <f>Table8[[#This Row],[selling_price]]-Table8[[#This Row],[cost_price]]</f>
        <v>2.5199999999999996</v>
      </c>
      <c r="K12" s="14">
        <v>10</v>
      </c>
      <c r="L12" s="15" t="s">
        <v>958</v>
      </c>
    </row>
    <row r="13" spans="1:12" x14ac:dyDescent="0.3">
      <c r="A13">
        <v>12</v>
      </c>
      <c r="B13" t="s">
        <v>831</v>
      </c>
      <c r="C13" t="s">
        <v>846</v>
      </c>
      <c r="D13" s="3">
        <v>194.13</v>
      </c>
      <c r="E13" s="3">
        <v>236.84</v>
      </c>
      <c r="F13" s="3">
        <f>Table8[[#This Row],[selling_price]]-Table8[[#This Row],[cost_price]]</f>
        <v>42.710000000000008</v>
      </c>
    </row>
    <row r="14" spans="1:12" x14ac:dyDescent="0.3">
      <c r="A14">
        <v>23</v>
      </c>
      <c r="B14" t="s">
        <v>847</v>
      </c>
      <c r="C14" t="s">
        <v>859</v>
      </c>
      <c r="D14" s="3">
        <v>61.97</v>
      </c>
      <c r="E14" s="3">
        <v>79.94</v>
      </c>
      <c r="F14" s="3">
        <f>Table8[[#This Row],[selling_price]]-Table8[[#This Row],[cost_price]]</f>
        <v>17.97</v>
      </c>
    </row>
    <row r="15" spans="1:12" x14ac:dyDescent="0.3">
      <c r="A15">
        <v>24</v>
      </c>
      <c r="B15" t="s">
        <v>833</v>
      </c>
      <c r="C15" t="s">
        <v>860</v>
      </c>
      <c r="D15" s="3">
        <v>76.44</v>
      </c>
      <c r="E15" s="3">
        <v>91.73</v>
      </c>
      <c r="F15" s="3">
        <f>Table8[[#This Row],[selling_price]]-Table8[[#This Row],[cost_price]]</f>
        <v>15.290000000000006</v>
      </c>
    </row>
    <row r="16" spans="1:12" x14ac:dyDescent="0.3">
      <c r="A16">
        <v>25</v>
      </c>
      <c r="B16" t="s">
        <v>847</v>
      </c>
      <c r="C16" t="s">
        <v>861</v>
      </c>
      <c r="D16" s="3">
        <v>93.93</v>
      </c>
      <c r="E16" s="3">
        <v>117.41</v>
      </c>
      <c r="F16" s="3">
        <f>Table8[[#This Row],[selling_price]]-Table8[[#This Row],[cost_price]]</f>
        <v>23.47999999999999</v>
      </c>
    </row>
    <row r="17" spans="1:6" x14ac:dyDescent="0.3">
      <c r="A17">
        <v>26</v>
      </c>
      <c r="B17" t="s">
        <v>839</v>
      </c>
      <c r="C17" t="s">
        <v>862</v>
      </c>
      <c r="D17" s="3">
        <v>158.11000000000001</v>
      </c>
      <c r="E17" s="3">
        <v>211.87</v>
      </c>
      <c r="F17" s="3">
        <f>Table8[[#This Row],[selling_price]]-Table8[[#This Row],[cost_price]]</f>
        <v>53.759999999999991</v>
      </c>
    </row>
    <row r="18" spans="1:6" x14ac:dyDescent="0.3">
      <c r="A18">
        <v>27</v>
      </c>
      <c r="B18" t="s">
        <v>831</v>
      </c>
      <c r="C18" t="s">
        <v>863</v>
      </c>
      <c r="D18" s="3">
        <v>43.94</v>
      </c>
      <c r="E18" s="3">
        <v>66.790000000000006</v>
      </c>
      <c r="F18" s="3">
        <f>Table8[[#This Row],[selling_price]]-Table8[[#This Row],[cost_price]]</f>
        <v>22.850000000000009</v>
      </c>
    </row>
    <row r="19" spans="1:6" x14ac:dyDescent="0.3">
      <c r="A19">
        <v>28</v>
      </c>
      <c r="B19" t="s">
        <v>831</v>
      </c>
      <c r="C19" t="s">
        <v>864</v>
      </c>
      <c r="D19" s="3">
        <v>105.28</v>
      </c>
      <c r="E19" s="3">
        <v>162.13</v>
      </c>
      <c r="F19" s="3">
        <f>Table8[[#This Row],[selling_price]]-Table8[[#This Row],[cost_price]]</f>
        <v>56.849999999999994</v>
      </c>
    </row>
    <row r="20" spans="1:6" x14ac:dyDescent="0.3">
      <c r="A20">
        <v>29</v>
      </c>
      <c r="B20" t="s">
        <v>831</v>
      </c>
      <c r="C20" t="s">
        <v>865</v>
      </c>
      <c r="D20" s="3">
        <v>120.52</v>
      </c>
      <c r="E20" s="3">
        <v>138.6</v>
      </c>
      <c r="F20" s="3">
        <f>Table8[[#This Row],[selling_price]]-Table8[[#This Row],[cost_price]]</f>
        <v>18.079999999999998</v>
      </c>
    </row>
    <row r="21" spans="1:6" x14ac:dyDescent="0.3">
      <c r="A21">
        <v>30</v>
      </c>
      <c r="B21" t="s">
        <v>847</v>
      </c>
      <c r="C21" t="s">
        <v>866</v>
      </c>
      <c r="D21" s="3">
        <v>14.06</v>
      </c>
      <c r="E21" s="3">
        <v>19.399999999999999</v>
      </c>
      <c r="F21" s="3">
        <f>Table8[[#This Row],[selling_price]]-Table8[[#This Row],[cost_price]]</f>
        <v>5.3399999999999981</v>
      </c>
    </row>
    <row r="22" spans="1:6" x14ac:dyDescent="0.3">
      <c r="A22">
        <v>31</v>
      </c>
      <c r="B22" t="s">
        <v>851</v>
      </c>
      <c r="C22" t="s">
        <v>867</v>
      </c>
      <c r="D22" s="3">
        <v>123.47</v>
      </c>
      <c r="E22" s="3">
        <v>165.45</v>
      </c>
      <c r="F22" s="3">
        <f>Table8[[#This Row],[selling_price]]-Table8[[#This Row],[cost_price]]</f>
        <v>41.97999999999999</v>
      </c>
    </row>
    <row r="23" spans="1:6" x14ac:dyDescent="0.3">
      <c r="A23">
        <v>32</v>
      </c>
      <c r="B23" t="s">
        <v>839</v>
      </c>
      <c r="C23" t="s">
        <v>868</v>
      </c>
      <c r="D23" s="3">
        <v>38.25</v>
      </c>
      <c r="E23" s="3">
        <v>47.81</v>
      </c>
      <c r="F23" s="3">
        <f>Table8[[#This Row],[selling_price]]-Table8[[#This Row],[cost_price]]</f>
        <v>9.5600000000000023</v>
      </c>
    </row>
    <row r="24" spans="1:6" x14ac:dyDescent="0.3">
      <c r="A24">
        <v>33</v>
      </c>
      <c r="B24" t="s">
        <v>851</v>
      </c>
      <c r="C24" t="s">
        <v>869</v>
      </c>
      <c r="D24" s="3">
        <v>17.690000000000001</v>
      </c>
      <c r="E24" s="3">
        <v>21.23</v>
      </c>
      <c r="F24" s="3">
        <f>Table8[[#This Row],[selling_price]]-Table8[[#This Row],[cost_price]]</f>
        <v>3.5399999999999991</v>
      </c>
    </row>
    <row r="25" spans="1:6" x14ac:dyDescent="0.3">
      <c r="A25">
        <v>34</v>
      </c>
      <c r="B25" t="s">
        <v>847</v>
      </c>
      <c r="C25" t="s">
        <v>870</v>
      </c>
      <c r="D25" s="3">
        <v>190.03</v>
      </c>
      <c r="E25" s="3">
        <v>247.04</v>
      </c>
      <c r="F25" s="3">
        <f>Table8[[#This Row],[selling_price]]-Table8[[#This Row],[cost_price]]</f>
        <v>57.009999999999991</v>
      </c>
    </row>
    <row r="26" spans="1:6" x14ac:dyDescent="0.3">
      <c r="A26">
        <v>35</v>
      </c>
      <c r="B26" t="s">
        <v>837</v>
      </c>
      <c r="C26" t="s">
        <v>871</v>
      </c>
      <c r="D26" s="3">
        <v>193.3</v>
      </c>
      <c r="E26" s="3">
        <v>303.48</v>
      </c>
      <c r="F26" s="3">
        <f>Table8[[#This Row],[selling_price]]-Table8[[#This Row],[cost_price]]</f>
        <v>110.18</v>
      </c>
    </row>
    <row r="27" spans="1:6" x14ac:dyDescent="0.3">
      <c r="A27">
        <v>36</v>
      </c>
      <c r="B27" t="s">
        <v>872</v>
      </c>
      <c r="C27" t="s">
        <v>873</v>
      </c>
      <c r="D27" s="3">
        <v>162.63999999999999</v>
      </c>
      <c r="E27" s="3">
        <v>211.43</v>
      </c>
      <c r="F27" s="3">
        <f>Table8[[#This Row],[selling_price]]-Table8[[#This Row],[cost_price]]</f>
        <v>48.79000000000002</v>
      </c>
    </row>
    <row r="28" spans="1:6" x14ac:dyDescent="0.3">
      <c r="A28">
        <v>37</v>
      </c>
      <c r="B28" t="s">
        <v>872</v>
      </c>
      <c r="C28" t="s">
        <v>874</v>
      </c>
      <c r="D28" s="3">
        <v>64.400000000000006</v>
      </c>
      <c r="E28" s="3">
        <v>88.87</v>
      </c>
      <c r="F28" s="3">
        <f>Table8[[#This Row],[selling_price]]-Table8[[#This Row],[cost_price]]</f>
        <v>24.47</v>
      </c>
    </row>
    <row r="29" spans="1:6" x14ac:dyDescent="0.3">
      <c r="A29">
        <v>38</v>
      </c>
      <c r="B29" t="s">
        <v>833</v>
      </c>
      <c r="C29" t="s">
        <v>875</v>
      </c>
      <c r="D29" s="3">
        <v>24.05</v>
      </c>
      <c r="E29" s="3">
        <v>35.35</v>
      </c>
      <c r="F29" s="3">
        <f>Table8[[#This Row],[selling_price]]-Table8[[#This Row],[cost_price]]</f>
        <v>11.3</v>
      </c>
    </row>
    <row r="30" spans="1:6" x14ac:dyDescent="0.3">
      <c r="A30">
        <v>39</v>
      </c>
      <c r="B30" t="s">
        <v>872</v>
      </c>
      <c r="C30" t="s">
        <v>876</v>
      </c>
      <c r="D30" s="3">
        <v>138.43</v>
      </c>
      <c r="E30" s="3">
        <v>181.34</v>
      </c>
      <c r="F30" s="3">
        <f>Table8[[#This Row],[selling_price]]-Table8[[#This Row],[cost_price]]</f>
        <v>42.91</v>
      </c>
    </row>
    <row r="31" spans="1:6" x14ac:dyDescent="0.3">
      <c r="A31">
        <v>40</v>
      </c>
      <c r="B31" t="s">
        <v>872</v>
      </c>
      <c r="C31" t="s">
        <v>877</v>
      </c>
      <c r="D31" s="3">
        <v>90.83</v>
      </c>
      <c r="E31" s="3">
        <v>144.41999999999999</v>
      </c>
      <c r="F31" s="3">
        <f>Table8[[#This Row],[selling_price]]-Table8[[#This Row],[cost_price]]</f>
        <v>53.589999999999989</v>
      </c>
    </row>
    <row r="32" spans="1:6" x14ac:dyDescent="0.3">
      <c r="A32">
        <v>41</v>
      </c>
      <c r="B32" t="s">
        <v>839</v>
      </c>
      <c r="C32" t="s">
        <v>878</v>
      </c>
      <c r="D32" s="3">
        <v>28.8</v>
      </c>
      <c r="E32" s="3">
        <v>45.5</v>
      </c>
      <c r="F32" s="3">
        <f>Table8[[#This Row],[selling_price]]-Table8[[#This Row],[cost_price]]</f>
        <v>16.7</v>
      </c>
    </row>
    <row r="33" spans="1:6" x14ac:dyDescent="0.3">
      <c r="A33">
        <v>42</v>
      </c>
      <c r="B33" t="s">
        <v>831</v>
      </c>
      <c r="C33" t="s">
        <v>879</v>
      </c>
      <c r="D33" s="3">
        <v>101.56</v>
      </c>
      <c r="E33" s="3">
        <v>127.97</v>
      </c>
      <c r="F33" s="3">
        <f>Table8[[#This Row],[selling_price]]-Table8[[#This Row],[cost_price]]</f>
        <v>26.409999999999997</v>
      </c>
    </row>
    <row r="34" spans="1:6" x14ac:dyDescent="0.3">
      <c r="A34">
        <v>43</v>
      </c>
      <c r="B34" t="s">
        <v>851</v>
      </c>
      <c r="C34" t="s">
        <v>880</v>
      </c>
      <c r="D34" s="3">
        <v>11.71</v>
      </c>
      <c r="E34" s="3">
        <v>16.04</v>
      </c>
      <c r="F34" s="3">
        <f>Table8[[#This Row],[selling_price]]-Table8[[#This Row],[cost_price]]</f>
        <v>4.3299999999999983</v>
      </c>
    </row>
    <row r="35" spans="1:6" x14ac:dyDescent="0.3">
      <c r="A35">
        <v>44</v>
      </c>
      <c r="B35" t="s">
        <v>837</v>
      </c>
      <c r="C35" t="s">
        <v>881</v>
      </c>
      <c r="D35" s="3">
        <v>182.32</v>
      </c>
      <c r="E35" s="3">
        <v>235.19</v>
      </c>
      <c r="F35" s="3">
        <f>Table8[[#This Row],[selling_price]]-Table8[[#This Row],[cost_price]]</f>
        <v>52.870000000000005</v>
      </c>
    </row>
    <row r="36" spans="1:6" x14ac:dyDescent="0.3">
      <c r="A36">
        <v>45</v>
      </c>
      <c r="B36" t="s">
        <v>837</v>
      </c>
      <c r="C36" t="s">
        <v>882</v>
      </c>
      <c r="D36" s="3">
        <v>55.46</v>
      </c>
      <c r="E36" s="3">
        <v>70.989999999999995</v>
      </c>
      <c r="F36" s="3">
        <f>Table8[[#This Row],[selling_price]]-Table8[[#This Row],[cost_price]]</f>
        <v>15.529999999999994</v>
      </c>
    </row>
    <row r="37" spans="1:6" x14ac:dyDescent="0.3">
      <c r="A37">
        <v>46</v>
      </c>
      <c r="B37" t="s">
        <v>839</v>
      </c>
      <c r="C37" t="s">
        <v>883</v>
      </c>
      <c r="D37" s="3">
        <v>134.19</v>
      </c>
      <c r="E37" s="3">
        <v>157</v>
      </c>
      <c r="F37" s="3">
        <f>Table8[[#This Row],[selling_price]]-Table8[[#This Row],[cost_price]]</f>
        <v>22.810000000000002</v>
      </c>
    </row>
    <row r="38" spans="1:6" x14ac:dyDescent="0.3">
      <c r="A38">
        <v>47</v>
      </c>
      <c r="B38" t="s">
        <v>839</v>
      </c>
      <c r="C38" t="s">
        <v>884</v>
      </c>
      <c r="D38" s="3">
        <v>65.78</v>
      </c>
      <c r="E38" s="3">
        <v>93.41</v>
      </c>
      <c r="F38" s="3">
        <f>Table8[[#This Row],[selling_price]]-Table8[[#This Row],[cost_price]]</f>
        <v>27.629999999999995</v>
      </c>
    </row>
    <row r="39" spans="1:6" x14ac:dyDescent="0.3">
      <c r="A39">
        <v>48</v>
      </c>
      <c r="B39" t="s">
        <v>872</v>
      </c>
      <c r="C39" t="s">
        <v>885</v>
      </c>
      <c r="D39" s="3">
        <v>106.41</v>
      </c>
      <c r="E39" s="3">
        <v>146.85</v>
      </c>
      <c r="F39" s="3">
        <f>Table8[[#This Row],[selling_price]]-Table8[[#This Row],[cost_price]]</f>
        <v>40.44</v>
      </c>
    </row>
    <row r="40" spans="1:6" x14ac:dyDescent="0.3">
      <c r="A40">
        <v>49</v>
      </c>
      <c r="B40" t="s">
        <v>837</v>
      </c>
      <c r="C40" t="s">
        <v>886</v>
      </c>
      <c r="D40" s="3">
        <v>111.61</v>
      </c>
      <c r="E40" s="3">
        <v>130.58000000000001</v>
      </c>
      <c r="F40" s="3">
        <f>Table8[[#This Row],[selling_price]]-Table8[[#This Row],[cost_price]]</f>
        <v>18.970000000000013</v>
      </c>
    </row>
    <row r="41" spans="1:6" x14ac:dyDescent="0.3">
      <c r="A41">
        <v>50</v>
      </c>
      <c r="B41" t="s">
        <v>833</v>
      </c>
      <c r="C41" t="s">
        <v>887</v>
      </c>
      <c r="D41" s="3">
        <v>41.05</v>
      </c>
      <c r="E41" s="3">
        <v>52.54</v>
      </c>
      <c r="F41" s="3">
        <f>Table8[[#This Row],[selling_price]]-Table8[[#This Row],[cost_price]]</f>
        <v>11.490000000000002</v>
      </c>
    </row>
    <row r="42" spans="1:6" x14ac:dyDescent="0.3">
      <c r="A42">
        <v>51</v>
      </c>
      <c r="B42" t="s">
        <v>833</v>
      </c>
      <c r="C42" t="s">
        <v>888</v>
      </c>
      <c r="D42" s="3">
        <v>194.07</v>
      </c>
      <c r="E42" s="3">
        <v>302.75</v>
      </c>
      <c r="F42" s="3">
        <f>Table8[[#This Row],[selling_price]]-Table8[[#This Row],[cost_price]]</f>
        <v>108.68</v>
      </c>
    </row>
    <row r="43" spans="1:6" x14ac:dyDescent="0.3">
      <c r="A43">
        <v>52</v>
      </c>
      <c r="B43" t="s">
        <v>851</v>
      </c>
      <c r="C43" t="s">
        <v>889</v>
      </c>
      <c r="D43" s="3">
        <v>156.15</v>
      </c>
      <c r="E43" s="3">
        <v>196.75</v>
      </c>
      <c r="F43" s="3">
        <f>Table8[[#This Row],[selling_price]]-Table8[[#This Row],[cost_price]]</f>
        <v>40.599999999999994</v>
      </c>
    </row>
    <row r="44" spans="1:6" x14ac:dyDescent="0.3">
      <c r="A44">
        <v>53</v>
      </c>
      <c r="B44" t="s">
        <v>833</v>
      </c>
      <c r="C44" t="s">
        <v>890</v>
      </c>
      <c r="D44" s="3">
        <v>188.2</v>
      </c>
      <c r="E44" s="3">
        <v>229.6</v>
      </c>
      <c r="F44" s="3">
        <f>Table8[[#This Row],[selling_price]]-Table8[[#This Row],[cost_price]]</f>
        <v>41.400000000000006</v>
      </c>
    </row>
    <row r="45" spans="1:6" x14ac:dyDescent="0.3">
      <c r="A45">
        <v>54</v>
      </c>
      <c r="B45" t="s">
        <v>837</v>
      </c>
      <c r="C45" t="s">
        <v>891</v>
      </c>
      <c r="D45" s="3">
        <v>179.49</v>
      </c>
      <c r="E45" s="3">
        <v>245.9</v>
      </c>
      <c r="F45" s="3">
        <f>Table8[[#This Row],[selling_price]]-Table8[[#This Row],[cost_price]]</f>
        <v>66.41</v>
      </c>
    </row>
    <row r="46" spans="1:6" x14ac:dyDescent="0.3">
      <c r="A46">
        <v>55</v>
      </c>
      <c r="B46" t="s">
        <v>872</v>
      </c>
      <c r="C46" t="s">
        <v>892</v>
      </c>
      <c r="D46" s="3">
        <v>121.59</v>
      </c>
      <c r="E46" s="3">
        <v>193.33</v>
      </c>
      <c r="F46" s="3">
        <f>Table8[[#This Row],[selling_price]]-Table8[[#This Row],[cost_price]]</f>
        <v>71.740000000000009</v>
      </c>
    </row>
    <row r="47" spans="1:6" x14ac:dyDescent="0.3">
      <c r="A47">
        <v>56</v>
      </c>
      <c r="B47" t="s">
        <v>837</v>
      </c>
      <c r="C47" t="s">
        <v>893</v>
      </c>
      <c r="D47" s="3">
        <v>184.77</v>
      </c>
      <c r="E47" s="3">
        <v>232.81</v>
      </c>
      <c r="F47" s="3">
        <f>Table8[[#This Row],[selling_price]]-Table8[[#This Row],[cost_price]]</f>
        <v>48.039999999999992</v>
      </c>
    </row>
    <row r="48" spans="1:6" x14ac:dyDescent="0.3">
      <c r="A48">
        <v>57</v>
      </c>
      <c r="B48" t="s">
        <v>847</v>
      </c>
      <c r="C48" t="s">
        <v>894</v>
      </c>
      <c r="D48" s="3">
        <v>22.26</v>
      </c>
      <c r="E48" s="3">
        <v>32.28</v>
      </c>
      <c r="F48" s="3">
        <f>Table8[[#This Row],[selling_price]]-Table8[[#This Row],[cost_price]]</f>
        <v>10.02</v>
      </c>
    </row>
    <row r="49" spans="1:6" x14ac:dyDescent="0.3">
      <c r="A49">
        <v>58</v>
      </c>
      <c r="B49" t="s">
        <v>837</v>
      </c>
      <c r="C49" t="s">
        <v>895</v>
      </c>
      <c r="D49" s="3">
        <v>43.22</v>
      </c>
      <c r="E49" s="3">
        <v>64.400000000000006</v>
      </c>
      <c r="F49" s="3">
        <f>Table8[[#This Row],[selling_price]]-Table8[[#This Row],[cost_price]]</f>
        <v>21.180000000000007</v>
      </c>
    </row>
    <row r="50" spans="1:6" x14ac:dyDescent="0.3">
      <c r="A50">
        <v>59</v>
      </c>
      <c r="B50" t="s">
        <v>872</v>
      </c>
      <c r="C50" t="s">
        <v>896</v>
      </c>
      <c r="D50" s="3">
        <v>13.82</v>
      </c>
      <c r="E50" s="3">
        <v>17.41</v>
      </c>
      <c r="F50" s="3">
        <f>Table8[[#This Row],[selling_price]]-Table8[[#This Row],[cost_price]]</f>
        <v>3.59</v>
      </c>
    </row>
    <row r="51" spans="1:6" x14ac:dyDescent="0.3">
      <c r="A51">
        <v>60</v>
      </c>
      <c r="B51" t="s">
        <v>833</v>
      </c>
      <c r="C51" t="s">
        <v>897</v>
      </c>
      <c r="D51" s="3">
        <v>68.44</v>
      </c>
      <c r="E51" s="3">
        <v>101.29</v>
      </c>
      <c r="F51" s="3">
        <f>Table8[[#This Row],[selling_price]]-Table8[[#This Row],[cost_price]]</f>
        <v>32.850000000000009</v>
      </c>
    </row>
    <row r="52" spans="1:6" x14ac:dyDescent="0.3">
      <c r="A52">
        <v>61</v>
      </c>
      <c r="B52" t="s">
        <v>831</v>
      </c>
      <c r="C52" t="s">
        <v>898</v>
      </c>
      <c r="D52" s="3">
        <v>80.790000000000006</v>
      </c>
      <c r="E52" s="3">
        <v>106.64</v>
      </c>
      <c r="F52" s="3">
        <f>Table8[[#This Row],[selling_price]]-Table8[[#This Row],[cost_price]]</f>
        <v>25.849999999999994</v>
      </c>
    </row>
    <row r="53" spans="1:6" x14ac:dyDescent="0.3">
      <c r="A53">
        <v>62</v>
      </c>
      <c r="B53" t="s">
        <v>851</v>
      </c>
      <c r="C53" t="s">
        <v>899</v>
      </c>
      <c r="D53" s="3">
        <v>57.91</v>
      </c>
      <c r="E53" s="3">
        <v>82.81</v>
      </c>
      <c r="F53" s="3">
        <f>Table8[[#This Row],[selling_price]]-Table8[[#This Row],[cost_price]]</f>
        <v>24.900000000000006</v>
      </c>
    </row>
    <row r="54" spans="1:6" x14ac:dyDescent="0.3">
      <c r="A54">
        <v>63</v>
      </c>
      <c r="B54" t="s">
        <v>847</v>
      </c>
      <c r="C54" t="s">
        <v>900</v>
      </c>
      <c r="D54" s="3">
        <v>166.6</v>
      </c>
      <c r="E54" s="3">
        <v>239.9</v>
      </c>
      <c r="F54" s="3">
        <f>Table8[[#This Row],[selling_price]]-Table8[[#This Row],[cost_price]]</f>
        <v>73.300000000000011</v>
      </c>
    </row>
    <row r="55" spans="1:6" x14ac:dyDescent="0.3">
      <c r="A55">
        <v>64</v>
      </c>
      <c r="B55" t="s">
        <v>833</v>
      </c>
      <c r="C55" t="s">
        <v>901</v>
      </c>
      <c r="D55" s="3">
        <v>74.569999999999993</v>
      </c>
      <c r="E55" s="3">
        <v>103.65</v>
      </c>
      <c r="F55" s="3">
        <f>Table8[[#This Row],[selling_price]]-Table8[[#This Row],[cost_price]]</f>
        <v>29.080000000000013</v>
      </c>
    </row>
    <row r="56" spans="1:6" x14ac:dyDescent="0.3">
      <c r="A56">
        <v>65</v>
      </c>
      <c r="B56" t="s">
        <v>851</v>
      </c>
      <c r="C56" t="s">
        <v>902</v>
      </c>
      <c r="D56" s="3">
        <v>59.78</v>
      </c>
      <c r="E56" s="3">
        <v>71.14</v>
      </c>
      <c r="F56" s="3">
        <f>Table8[[#This Row],[selling_price]]-Table8[[#This Row],[cost_price]]</f>
        <v>11.36</v>
      </c>
    </row>
    <row r="57" spans="1:6" x14ac:dyDescent="0.3">
      <c r="A57">
        <v>66</v>
      </c>
      <c r="B57" t="s">
        <v>833</v>
      </c>
      <c r="C57" t="s">
        <v>903</v>
      </c>
      <c r="D57" s="3">
        <v>110.83</v>
      </c>
      <c r="E57" s="3">
        <v>169.57</v>
      </c>
      <c r="F57" s="3">
        <f>Table8[[#This Row],[selling_price]]-Table8[[#This Row],[cost_price]]</f>
        <v>58.739999999999995</v>
      </c>
    </row>
    <row r="58" spans="1:6" x14ac:dyDescent="0.3">
      <c r="A58">
        <v>67</v>
      </c>
      <c r="B58" t="s">
        <v>847</v>
      </c>
      <c r="C58" t="s">
        <v>904</v>
      </c>
      <c r="D58" s="3">
        <v>32.479999999999997</v>
      </c>
      <c r="E58" s="3">
        <v>41.9</v>
      </c>
      <c r="F58" s="3">
        <f>Table8[[#This Row],[selling_price]]-Table8[[#This Row],[cost_price]]</f>
        <v>9.4200000000000017</v>
      </c>
    </row>
    <row r="59" spans="1:6" x14ac:dyDescent="0.3">
      <c r="A59">
        <v>68</v>
      </c>
      <c r="B59" t="s">
        <v>837</v>
      </c>
      <c r="C59" t="s">
        <v>905</v>
      </c>
      <c r="D59" s="3">
        <v>161.43</v>
      </c>
      <c r="E59" s="3">
        <v>198.56</v>
      </c>
      <c r="F59" s="3">
        <f>Table8[[#This Row],[selling_price]]-Table8[[#This Row],[cost_price]]</f>
        <v>37.129999999999995</v>
      </c>
    </row>
    <row r="60" spans="1:6" x14ac:dyDescent="0.3">
      <c r="A60">
        <v>69</v>
      </c>
      <c r="B60" t="s">
        <v>872</v>
      </c>
      <c r="C60" t="s">
        <v>906</v>
      </c>
      <c r="D60" s="3">
        <v>19.54</v>
      </c>
      <c r="E60" s="3">
        <v>22.86</v>
      </c>
      <c r="F60" s="3">
        <f>Table8[[#This Row],[selling_price]]-Table8[[#This Row],[cost_price]]</f>
        <v>3.3200000000000003</v>
      </c>
    </row>
    <row r="61" spans="1:6" x14ac:dyDescent="0.3">
      <c r="A61">
        <v>70</v>
      </c>
      <c r="B61" t="s">
        <v>831</v>
      </c>
      <c r="C61" t="s">
        <v>907</v>
      </c>
      <c r="D61" s="3">
        <v>197.44</v>
      </c>
      <c r="E61" s="3">
        <v>280.36</v>
      </c>
      <c r="F61" s="3">
        <f>Table8[[#This Row],[selling_price]]-Table8[[#This Row],[cost_price]]</f>
        <v>82.920000000000016</v>
      </c>
    </row>
    <row r="62" spans="1:6" x14ac:dyDescent="0.3">
      <c r="A62">
        <v>71</v>
      </c>
      <c r="B62" t="s">
        <v>847</v>
      </c>
      <c r="C62" t="s">
        <v>908</v>
      </c>
      <c r="D62" s="3">
        <v>155.59</v>
      </c>
      <c r="E62" s="3">
        <v>225.61</v>
      </c>
      <c r="F62" s="3">
        <f>Table8[[#This Row],[selling_price]]-Table8[[#This Row],[cost_price]]</f>
        <v>70.02000000000001</v>
      </c>
    </row>
    <row r="63" spans="1:6" x14ac:dyDescent="0.3">
      <c r="A63">
        <v>72</v>
      </c>
      <c r="B63" t="s">
        <v>872</v>
      </c>
      <c r="C63" t="s">
        <v>909</v>
      </c>
      <c r="D63" s="3">
        <v>43.75</v>
      </c>
      <c r="E63" s="3">
        <v>50.75</v>
      </c>
      <c r="F63" s="3">
        <f>Table8[[#This Row],[selling_price]]-Table8[[#This Row],[cost_price]]</f>
        <v>7</v>
      </c>
    </row>
    <row r="64" spans="1:6" x14ac:dyDescent="0.3">
      <c r="A64">
        <v>73</v>
      </c>
      <c r="B64" t="s">
        <v>837</v>
      </c>
      <c r="C64" t="s">
        <v>910</v>
      </c>
      <c r="D64" s="3">
        <v>6.08</v>
      </c>
      <c r="E64" s="3">
        <v>8.39</v>
      </c>
      <c r="F64" s="3">
        <f>Table8[[#This Row],[selling_price]]-Table8[[#This Row],[cost_price]]</f>
        <v>2.3100000000000005</v>
      </c>
    </row>
    <row r="65" spans="1:6" x14ac:dyDescent="0.3">
      <c r="A65">
        <v>74</v>
      </c>
      <c r="B65" t="s">
        <v>847</v>
      </c>
      <c r="C65" t="s">
        <v>911</v>
      </c>
      <c r="D65" s="3">
        <v>164.01</v>
      </c>
      <c r="E65" s="3">
        <v>205.01</v>
      </c>
      <c r="F65" s="3">
        <f>Table8[[#This Row],[selling_price]]-Table8[[#This Row],[cost_price]]</f>
        <v>41</v>
      </c>
    </row>
    <row r="66" spans="1:6" x14ac:dyDescent="0.3">
      <c r="A66">
        <v>75</v>
      </c>
      <c r="B66" t="s">
        <v>839</v>
      </c>
      <c r="C66" t="s">
        <v>912</v>
      </c>
      <c r="D66" s="3">
        <v>142.84</v>
      </c>
      <c r="E66" s="3">
        <v>205.69</v>
      </c>
      <c r="F66" s="3">
        <f>Table8[[#This Row],[selling_price]]-Table8[[#This Row],[cost_price]]</f>
        <v>62.849999999999994</v>
      </c>
    </row>
    <row r="67" spans="1:6" x14ac:dyDescent="0.3">
      <c r="A67">
        <v>76</v>
      </c>
      <c r="B67" t="s">
        <v>831</v>
      </c>
      <c r="C67" t="s">
        <v>913</v>
      </c>
      <c r="D67" s="3">
        <v>147.16</v>
      </c>
      <c r="E67" s="3">
        <v>181.01</v>
      </c>
      <c r="F67" s="3">
        <f>Table8[[#This Row],[selling_price]]-Table8[[#This Row],[cost_price]]</f>
        <v>33.849999999999994</v>
      </c>
    </row>
    <row r="68" spans="1:6" x14ac:dyDescent="0.3">
      <c r="A68">
        <v>77</v>
      </c>
      <c r="B68" t="s">
        <v>833</v>
      </c>
      <c r="C68" t="s">
        <v>914</v>
      </c>
      <c r="D68" s="3">
        <v>155.4</v>
      </c>
      <c r="E68" s="3">
        <v>226.88</v>
      </c>
      <c r="F68" s="3">
        <f>Table8[[#This Row],[selling_price]]-Table8[[#This Row],[cost_price]]</f>
        <v>71.47999999999999</v>
      </c>
    </row>
    <row r="69" spans="1:6" x14ac:dyDescent="0.3">
      <c r="A69">
        <v>78</v>
      </c>
      <c r="B69" t="s">
        <v>833</v>
      </c>
      <c r="C69" t="s">
        <v>915</v>
      </c>
      <c r="D69" s="3">
        <v>19.440000000000001</v>
      </c>
      <c r="E69" s="3">
        <v>25.66</v>
      </c>
      <c r="F69" s="3">
        <f>Table8[[#This Row],[selling_price]]-Table8[[#This Row],[cost_price]]</f>
        <v>6.2199999999999989</v>
      </c>
    </row>
    <row r="70" spans="1:6" x14ac:dyDescent="0.3">
      <c r="A70">
        <v>79</v>
      </c>
      <c r="B70" t="s">
        <v>831</v>
      </c>
      <c r="C70" t="s">
        <v>916</v>
      </c>
      <c r="D70" s="3">
        <v>74.900000000000006</v>
      </c>
      <c r="E70" s="3">
        <v>117.59</v>
      </c>
      <c r="F70" s="3">
        <f>Table8[[#This Row],[selling_price]]-Table8[[#This Row],[cost_price]]</f>
        <v>42.69</v>
      </c>
    </row>
    <row r="71" spans="1:6" x14ac:dyDescent="0.3">
      <c r="A71">
        <v>80</v>
      </c>
      <c r="B71" t="s">
        <v>839</v>
      </c>
      <c r="C71" t="s">
        <v>917</v>
      </c>
      <c r="D71" s="3">
        <v>27.59</v>
      </c>
      <c r="E71" s="3">
        <v>33.380000000000003</v>
      </c>
      <c r="F71" s="3">
        <f>Table8[[#This Row],[selling_price]]-Table8[[#This Row],[cost_price]]</f>
        <v>5.7900000000000027</v>
      </c>
    </row>
    <row r="72" spans="1:6" x14ac:dyDescent="0.3">
      <c r="A72">
        <v>81</v>
      </c>
      <c r="B72" t="s">
        <v>872</v>
      </c>
      <c r="C72" t="s">
        <v>918</v>
      </c>
      <c r="D72" s="3">
        <v>173.31</v>
      </c>
      <c r="E72" s="3">
        <v>225.3</v>
      </c>
      <c r="F72" s="3">
        <f>Table8[[#This Row],[selling_price]]-Table8[[#This Row],[cost_price]]</f>
        <v>51.990000000000009</v>
      </c>
    </row>
    <row r="73" spans="1:6" x14ac:dyDescent="0.3">
      <c r="A73">
        <v>82</v>
      </c>
      <c r="B73" t="s">
        <v>837</v>
      </c>
      <c r="C73" t="s">
        <v>919</v>
      </c>
      <c r="D73" s="3">
        <v>126.54</v>
      </c>
      <c r="E73" s="3">
        <v>151.85</v>
      </c>
      <c r="F73" s="3">
        <f>Table8[[#This Row],[selling_price]]-Table8[[#This Row],[cost_price]]</f>
        <v>25.309999999999988</v>
      </c>
    </row>
    <row r="74" spans="1:6" x14ac:dyDescent="0.3">
      <c r="A74">
        <v>83</v>
      </c>
      <c r="B74" t="s">
        <v>833</v>
      </c>
      <c r="C74" t="s">
        <v>920</v>
      </c>
      <c r="D74" s="3">
        <v>69.53</v>
      </c>
      <c r="E74" s="3">
        <v>109.16</v>
      </c>
      <c r="F74" s="3">
        <f>Table8[[#This Row],[selling_price]]-Table8[[#This Row],[cost_price]]</f>
        <v>39.629999999999995</v>
      </c>
    </row>
    <row r="75" spans="1:6" x14ac:dyDescent="0.3">
      <c r="A75">
        <v>84</v>
      </c>
      <c r="B75" t="s">
        <v>872</v>
      </c>
      <c r="C75" t="s">
        <v>921</v>
      </c>
      <c r="D75" s="3">
        <v>17.39</v>
      </c>
      <c r="E75" s="3">
        <v>26.78</v>
      </c>
      <c r="F75" s="3">
        <f>Table8[[#This Row],[selling_price]]-Table8[[#This Row],[cost_price]]</f>
        <v>9.39</v>
      </c>
    </row>
    <row r="76" spans="1:6" x14ac:dyDescent="0.3">
      <c r="A76">
        <v>85</v>
      </c>
      <c r="B76" t="s">
        <v>839</v>
      </c>
      <c r="C76" t="s">
        <v>922</v>
      </c>
      <c r="D76" s="3">
        <v>65.64</v>
      </c>
      <c r="E76" s="3">
        <v>83.36</v>
      </c>
      <c r="F76" s="3">
        <f>Table8[[#This Row],[selling_price]]-Table8[[#This Row],[cost_price]]</f>
        <v>17.72</v>
      </c>
    </row>
    <row r="77" spans="1:6" x14ac:dyDescent="0.3">
      <c r="A77">
        <v>86</v>
      </c>
      <c r="B77" t="s">
        <v>872</v>
      </c>
      <c r="C77" t="s">
        <v>923</v>
      </c>
      <c r="D77" s="3">
        <v>68.41</v>
      </c>
      <c r="E77" s="3">
        <v>99.19</v>
      </c>
      <c r="F77" s="3">
        <f>Table8[[#This Row],[selling_price]]-Table8[[#This Row],[cost_price]]</f>
        <v>30.78</v>
      </c>
    </row>
    <row r="78" spans="1:6" x14ac:dyDescent="0.3">
      <c r="A78">
        <v>87</v>
      </c>
      <c r="B78" t="s">
        <v>833</v>
      </c>
      <c r="C78" t="s">
        <v>924</v>
      </c>
      <c r="D78" s="3">
        <v>147.27000000000001</v>
      </c>
      <c r="E78" s="3">
        <v>223.85</v>
      </c>
      <c r="F78" s="3">
        <f>Table8[[#This Row],[selling_price]]-Table8[[#This Row],[cost_price]]</f>
        <v>76.579999999999984</v>
      </c>
    </row>
    <row r="79" spans="1:6" x14ac:dyDescent="0.3">
      <c r="A79">
        <v>88</v>
      </c>
      <c r="B79" t="s">
        <v>851</v>
      </c>
      <c r="C79" t="s">
        <v>925</v>
      </c>
      <c r="D79" s="3">
        <v>129.32</v>
      </c>
      <c r="E79" s="3">
        <v>181.05</v>
      </c>
      <c r="F79" s="3">
        <f>Table8[[#This Row],[selling_price]]-Table8[[#This Row],[cost_price]]</f>
        <v>51.730000000000018</v>
      </c>
    </row>
    <row r="80" spans="1:6" x14ac:dyDescent="0.3">
      <c r="A80">
        <v>89</v>
      </c>
      <c r="B80" t="s">
        <v>837</v>
      </c>
      <c r="C80" t="s">
        <v>926</v>
      </c>
      <c r="D80" s="3">
        <v>178.01</v>
      </c>
      <c r="E80" s="3">
        <v>247.43</v>
      </c>
      <c r="F80" s="3">
        <f>Table8[[#This Row],[selling_price]]-Table8[[#This Row],[cost_price]]</f>
        <v>69.420000000000016</v>
      </c>
    </row>
    <row r="81" spans="1:6" x14ac:dyDescent="0.3">
      <c r="A81">
        <v>90</v>
      </c>
      <c r="B81" t="s">
        <v>851</v>
      </c>
      <c r="C81" t="s">
        <v>927</v>
      </c>
      <c r="D81" s="3">
        <v>97.08</v>
      </c>
      <c r="E81" s="3">
        <v>122.32</v>
      </c>
      <c r="F81" s="3">
        <f>Table8[[#This Row],[selling_price]]-Table8[[#This Row],[cost_price]]</f>
        <v>25.239999999999995</v>
      </c>
    </row>
    <row r="82" spans="1:6" x14ac:dyDescent="0.3">
      <c r="A82">
        <v>91</v>
      </c>
      <c r="B82" t="s">
        <v>831</v>
      </c>
      <c r="C82" t="s">
        <v>928</v>
      </c>
      <c r="D82" s="3">
        <v>28.32</v>
      </c>
      <c r="E82" s="3">
        <v>33.700000000000003</v>
      </c>
      <c r="F82" s="3">
        <f>Table8[[#This Row],[selling_price]]-Table8[[#This Row],[cost_price]]</f>
        <v>5.3800000000000026</v>
      </c>
    </row>
    <row r="83" spans="1:6" x14ac:dyDescent="0.3">
      <c r="A83">
        <v>92</v>
      </c>
      <c r="B83" t="s">
        <v>872</v>
      </c>
      <c r="C83" t="s">
        <v>929</v>
      </c>
      <c r="D83" s="3">
        <v>144.08000000000001</v>
      </c>
      <c r="E83" s="3">
        <v>223.32</v>
      </c>
      <c r="F83" s="3">
        <f>Table8[[#This Row],[selling_price]]-Table8[[#This Row],[cost_price]]</f>
        <v>79.239999999999981</v>
      </c>
    </row>
    <row r="84" spans="1:6" x14ac:dyDescent="0.3">
      <c r="A84">
        <v>93</v>
      </c>
      <c r="B84" t="s">
        <v>837</v>
      </c>
      <c r="C84" t="s">
        <v>930</v>
      </c>
      <c r="D84" s="3">
        <v>153.35</v>
      </c>
      <c r="E84" s="3">
        <v>239.23</v>
      </c>
      <c r="F84" s="3">
        <f>Table8[[#This Row],[selling_price]]-Table8[[#This Row],[cost_price]]</f>
        <v>85.88</v>
      </c>
    </row>
    <row r="85" spans="1:6" x14ac:dyDescent="0.3">
      <c r="A85">
        <v>94</v>
      </c>
      <c r="B85" t="s">
        <v>839</v>
      </c>
      <c r="C85" t="s">
        <v>931</v>
      </c>
      <c r="D85" s="3">
        <v>114.45</v>
      </c>
      <c r="E85" s="3">
        <v>163.66</v>
      </c>
      <c r="F85" s="3">
        <f>Table8[[#This Row],[selling_price]]-Table8[[#This Row],[cost_price]]</f>
        <v>49.209999999999994</v>
      </c>
    </row>
    <row r="86" spans="1:6" x14ac:dyDescent="0.3">
      <c r="A86">
        <v>95</v>
      </c>
      <c r="B86" t="s">
        <v>837</v>
      </c>
      <c r="C86" t="s">
        <v>932</v>
      </c>
      <c r="D86" s="3">
        <v>155.34</v>
      </c>
      <c r="E86" s="3">
        <v>201.94</v>
      </c>
      <c r="F86" s="3">
        <f>Table8[[#This Row],[selling_price]]-Table8[[#This Row],[cost_price]]</f>
        <v>46.599999999999994</v>
      </c>
    </row>
    <row r="87" spans="1:6" x14ac:dyDescent="0.3">
      <c r="A87">
        <v>96</v>
      </c>
      <c r="B87" t="s">
        <v>837</v>
      </c>
      <c r="C87" t="s">
        <v>933</v>
      </c>
      <c r="D87" s="3">
        <v>101.29</v>
      </c>
      <c r="E87" s="3">
        <v>132.69</v>
      </c>
      <c r="F87" s="3">
        <f>Table8[[#This Row],[selling_price]]-Table8[[#This Row],[cost_price]]</f>
        <v>31.399999999999991</v>
      </c>
    </row>
    <row r="88" spans="1:6" x14ac:dyDescent="0.3">
      <c r="A88">
        <v>97</v>
      </c>
      <c r="B88" t="s">
        <v>839</v>
      </c>
      <c r="C88" t="s">
        <v>934</v>
      </c>
      <c r="D88" s="3">
        <v>106.93</v>
      </c>
      <c r="E88" s="3">
        <v>158.26</v>
      </c>
      <c r="F88" s="3">
        <f>Table8[[#This Row],[selling_price]]-Table8[[#This Row],[cost_price]]</f>
        <v>51.329999999999984</v>
      </c>
    </row>
    <row r="89" spans="1:6" x14ac:dyDescent="0.3">
      <c r="A89">
        <v>98</v>
      </c>
      <c r="B89" t="s">
        <v>831</v>
      </c>
      <c r="C89" t="s">
        <v>935</v>
      </c>
      <c r="D89" s="3">
        <v>88.37</v>
      </c>
      <c r="E89" s="3">
        <v>136.97</v>
      </c>
      <c r="F89" s="3">
        <f>Table8[[#This Row],[selling_price]]-Table8[[#This Row],[cost_price]]</f>
        <v>48.599999999999994</v>
      </c>
    </row>
    <row r="90" spans="1:6" x14ac:dyDescent="0.3">
      <c r="A90">
        <v>99</v>
      </c>
      <c r="B90" t="s">
        <v>837</v>
      </c>
      <c r="C90" t="s">
        <v>936</v>
      </c>
      <c r="D90" s="3">
        <v>9.9600000000000009</v>
      </c>
      <c r="E90" s="3">
        <v>15.44</v>
      </c>
      <c r="F90" s="3">
        <f>Table8[[#This Row],[selling_price]]-Table8[[#This Row],[cost_price]]</f>
        <v>5.4799999999999986</v>
      </c>
    </row>
    <row r="91" spans="1:6" x14ac:dyDescent="0.3">
      <c r="A91">
        <v>100</v>
      </c>
      <c r="B91" t="s">
        <v>831</v>
      </c>
      <c r="C91" t="s">
        <v>937</v>
      </c>
      <c r="D91" s="3">
        <v>26.04</v>
      </c>
      <c r="E91" s="3">
        <v>39.06</v>
      </c>
      <c r="F91" s="3">
        <f>Table8[[#This Row],[selling_price]]-Table8[[#This Row],[cost_price]]</f>
        <v>13.020000000000003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C64A-5FD7-4717-A026-9D86E354CDF2}">
  <dimension ref="A3:W75"/>
  <sheetViews>
    <sheetView tabSelected="1" topLeftCell="A3" workbookViewId="0">
      <selection activeCell="H51" sqref="H51"/>
    </sheetView>
  </sheetViews>
  <sheetFormatPr defaultRowHeight="14.4" x14ac:dyDescent="0.3"/>
  <cols>
    <col min="1" max="1" width="19.109375" bestFit="1" customWidth="1"/>
    <col min="2" max="2" width="24.109375" bestFit="1" customWidth="1"/>
    <col min="4" max="4" width="15.109375" bestFit="1" customWidth="1"/>
    <col min="5" max="6" width="19.88671875" bestFit="1" customWidth="1"/>
    <col min="7" max="7" width="12.5546875" bestFit="1" customWidth="1"/>
    <col min="8" max="8" width="22.5546875" bestFit="1" customWidth="1"/>
    <col min="9" max="9" width="27.33203125" bestFit="1" customWidth="1"/>
    <col min="10" max="10" width="15.109375" bestFit="1" customWidth="1"/>
    <col min="11" max="11" width="19.88671875" bestFit="1" customWidth="1"/>
    <col min="13" max="13" width="12.5546875" bestFit="1" customWidth="1"/>
    <col min="14" max="14" width="19.88671875" bestFit="1" customWidth="1"/>
    <col min="15" max="15" width="24.109375" bestFit="1" customWidth="1"/>
    <col min="16" max="16" width="12.5546875" bestFit="1" customWidth="1"/>
    <col min="17" max="17" width="19.88671875" bestFit="1" customWidth="1"/>
    <col min="18" max="18" width="19.5546875" bestFit="1" customWidth="1"/>
    <col min="19" max="19" width="15.109375" bestFit="1" customWidth="1"/>
    <col min="20" max="20" width="20.88671875" bestFit="1" customWidth="1"/>
    <col min="21" max="21" width="27.5546875" bestFit="1" customWidth="1"/>
    <col min="22" max="22" width="29.33203125" bestFit="1" customWidth="1"/>
    <col min="23" max="23" width="23.109375" bestFit="1" customWidth="1"/>
  </cols>
  <sheetData>
    <row r="3" spans="1:23" x14ac:dyDescent="0.3">
      <c r="A3" s="53" t="s">
        <v>1367</v>
      </c>
      <c r="B3" s="55" t="s">
        <v>1369</v>
      </c>
      <c r="D3" s="53" t="s">
        <v>1367</v>
      </c>
      <c r="E3" s="55" t="s">
        <v>1369</v>
      </c>
      <c r="G3" s="53" t="s">
        <v>1367</v>
      </c>
      <c r="H3" s="55" t="s">
        <v>1369</v>
      </c>
      <c r="J3" s="57" t="s">
        <v>1367</v>
      </c>
      <c r="K3" s="55" t="s">
        <v>1369</v>
      </c>
      <c r="M3" s="57" t="s">
        <v>1367</v>
      </c>
      <c r="N3" s="55" t="s">
        <v>1397</v>
      </c>
      <c r="O3" s="55" t="s">
        <v>1369</v>
      </c>
      <c r="P3" s="53" t="s">
        <v>1367</v>
      </c>
      <c r="Q3" s="55" t="s">
        <v>1397</v>
      </c>
    </row>
    <row r="4" spans="1:23" x14ac:dyDescent="0.3">
      <c r="A4" s="54" t="s">
        <v>423</v>
      </c>
      <c r="B4" s="55">
        <v>46055.02199999999</v>
      </c>
      <c r="D4" s="54" t="s">
        <v>1379</v>
      </c>
      <c r="E4" s="55">
        <v>18205.103500000005</v>
      </c>
      <c r="G4" s="54" t="s">
        <v>1382</v>
      </c>
      <c r="H4" s="55">
        <v>3395.0540000000001</v>
      </c>
      <c r="J4" s="58" t="s">
        <v>847</v>
      </c>
      <c r="K4" s="55">
        <v>8660.1764999999996</v>
      </c>
      <c r="M4" s="58" t="s">
        <v>435</v>
      </c>
      <c r="N4" s="55">
        <v>11918.316000000001</v>
      </c>
      <c r="O4" s="55">
        <v>31558.983999999993</v>
      </c>
      <c r="P4" s="54">
        <v>2023</v>
      </c>
      <c r="Q4" s="55">
        <v>20282.028999999995</v>
      </c>
      <c r="S4" s="57" t="s">
        <v>1367</v>
      </c>
      <c r="T4" s="55" t="s">
        <v>1409</v>
      </c>
      <c r="U4" s="55" t="s">
        <v>1413</v>
      </c>
      <c r="V4" s="55" t="s">
        <v>1411</v>
      </c>
      <c r="W4" s="55" t="s">
        <v>1412</v>
      </c>
    </row>
    <row r="5" spans="1:23" x14ac:dyDescent="0.3">
      <c r="A5" s="54" t="s">
        <v>420</v>
      </c>
      <c r="B5" s="55">
        <v>44082.313999999998</v>
      </c>
      <c r="D5" s="54" t="s">
        <v>1377</v>
      </c>
      <c r="E5" s="55">
        <v>16683.512499999997</v>
      </c>
      <c r="G5" s="54" t="s">
        <v>1383</v>
      </c>
      <c r="H5" s="55">
        <v>3040.7075000000004</v>
      </c>
      <c r="J5" s="58" t="s">
        <v>837</v>
      </c>
      <c r="K5" s="55">
        <v>19290.311500000003</v>
      </c>
      <c r="M5" s="58" t="s">
        <v>423</v>
      </c>
      <c r="N5" s="55">
        <v>18642.998</v>
      </c>
      <c r="O5" s="55">
        <v>46055.02199999999</v>
      </c>
      <c r="P5" s="54">
        <v>2024</v>
      </c>
      <c r="Q5" s="55">
        <v>18176.669500000004</v>
      </c>
      <c r="S5" s="58" t="s">
        <v>847</v>
      </c>
      <c r="T5">
        <v>58</v>
      </c>
      <c r="U5" s="55">
        <v>78.65517241379311</v>
      </c>
      <c r="V5" s="55">
        <v>104.72189655172414</v>
      </c>
      <c r="W5" s="55">
        <v>43.773508620689647</v>
      </c>
    </row>
    <row r="6" spans="1:23" x14ac:dyDescent="0.3">
      <c r="A6" s="54" t="s">
        <v>437</v>
      </c>
      <c r="B6" s="55">
        <v>35473.128000000004</v>
      </c>
      <c r="D6" s="54" t="s">
        <v>1376</v>
      </c>
      <c r="E6" s="55">
        <v>16488.863000000005</v>
      </c>
      <c r="G6" s="54" t="s">
        <v>1384</v>
      </c>
      <c r="H6" s="55">
        <v>2950.7554999999993</v>
      </c>
      <c r="J6" s="58" t="s">
        <v>954</v>
      </c>
      <c r="K6" s="55">
        <v>42012.250999999997</v>
      </c>
      <c r="M6" s="58" t="s">
        <v>420</v>
      </c>
      <c r="N6" s="55">
        <v>14969.366</v>
      </c>
      <c r="O6" s="55">
        <v>44082.313999999998</v>
      </c>
      <c r="P6" s="54">
        <v>2025</v>
      </c>
      <c r="Q6" s="55">
        <v>19468.853499999994</v>
      </c>
      <c r="S6" s="58" t="s">
        <v>837</v>
      </c>
      <c r="T6">
        <v>58</v>
      </c>
      <c r="U6" s="55">
        <v>206.56896551724137</v>
      </c>
      <c r="V6" s="55">
        <v>258.79379310344831</v>
      </c>
      <c r="W6" s="55">
        <v>92.252215517241396</v>
      </c>
    </row>
    <row r="7" spans="1:23" x14ac:dyDescent="0.3">
      <c r="A7" s="54" t="s">
        <v>435</v>
      </c>
      <c r="B7" s="55">
        <v>31558.983999999993</v>
      </c>
      <c r="D7" s="54" t="s">
        <v>1378</v>
      </c>
      <c r="E7" s="55">
        <v>16194.354499999999</v>
      </c>
      <c r="G7" s="54" t="s">
        <v>1385</v>
      </c>
      <c r="H7" s="55">
        <v>3938.9735000000001</v>
      </c>
      <c r="J7" s="58" t="s">
        <v>872</v>
      </c>
      <c r="K7" s="55">
        <v>6453.5014999999994</v>
      </c>
      <c r="M7" s="58" t="s">
        <v>437</v>
      </c>
      <c r="N7" s="55">
        <v>12396.872000000001</v>
      </c>
      <c r="O7" s="55">
        <v>35473.128000000004</v>
      </c>
      <c r="P7" s="54" t="s">
        <v>1368</v>
      </c>
      <c r="Q7" s="55">
        <v>57927.551999999996</v>
      </c>
      <c r="S7" s="58" t="s">
        <v>954</v>
      </c>
      <c r="T7">
        <v>60</v>
      </c>
      <c r="U7" s="55">
        <v>538.93333333333328</v>
      </c>
      <c r="V7" s="55">
        <v>697.06916666666643</v>
      </c>
      <c r="W7" s="55">
        <v>328.41514999999987</v>
      </c>
    </row>
    <row r="8" spans="1:23" x14ac:dyDescent="0.3">
      <c r="A8" s="54" t="s">
        <v>1368</v>
      </c>
      <c r="B8" s="55">
        <v>157169.44799999997</v>
      </c>
      <c r="D8" s="54" t="s">
        <v>1380</v>
      </c>
      <c r="E8" s="55">
        <v>15678.492500000002</v>
      </c>
      <c r="G8" s="54" t="s">
        <v>1386</v>
      </c>
      <c r="H8" s="55">
        <v>3271.4425000000001</v>
      </c>
      <c r="J8" s="58" t="s">
        <v>1359</v>
      </c>
      <c r="K8" s="55">
        <v>22697.025999999994</v>
      </c>
      <c r="M8" s="58" t="s">
        <v>1368</v>
      </c>
      <c r="N8" s="55">
        <v>57927.552000000003</v>
      </c>
      <c r="O8" s="55">
        <v>157169.44799999997</v>
      </c>
      <c r="S8" s="58" t="s">
        <v>872</v>
      </c>
      <c r="T8">
        <v>49</v>
      </c>
      <c r="U8" s="55">
        <v>76.326530612244895</v>
      </c>
      <c r="V8" s="55">
        <v>100.98714285714284</v>
      </c>
      <c r="W8" s="55">
        <v>34.924867346938782</v>
      </c>
    </row>
    <row r="9" spans="1:23" x14ac:dyDescent="0.3">
      <c r="D9" s="54" t="s">
        <v>1368</v>
      </c>
      <c r="E9" s="55">
        <v>83250.326000000015</v>
      </c>
      <c r="G9" s="54" t="s">
        <v>1387</v>
      </c>
      <c r="H9" s="55">
        <v>3137.1729999999998</v>
      </c>
      <c r="J9" s="58" t="s">
        <v>957</v>
      </c>
      <c r="K9" s="55">
        <v>10945.068500000001</v>
      </c>
      <c r="S9" s="58" t="s">
        <v>1359</v>
      </c>
      <c r="T9">
        <v>49</v>
      </c>
      <c r="U9" s="55">
        <v>350.61224489795916</v>
      </c>
      <c r="V9" s="55">
        <v>448.84673469387758</v>
      </c>
      <c r="W9" s="55">
        <v>204.98355102040816</v>
      </c>
    </row>
    <row r="10" spans="1:23" x14ac:dyDescent="0.3">
      <c r="A10" s="53" t="s">
        <v>1367</v>
      </c>
      <c r="B10" s="55" t="s">
        <v>1369</v>
      </c>
      <c r="G10" s="54" t="s">
        <v>1388</v>
      </c>
      <c r="H10" s="55">
        <v>4288.1399999999994</v>
      </c>
      <c r="J10" s="58" t="s">
        <v>955</v>
      </c>
      <c r="K10" s="55">
        <v>21512.948500000002</v>
      </c>
      <c r="S10" s="58" t="s">
        <v>957</v>
      </c>
      <c r="T10">
        <v>68</v>
      </c>
      <c r="U10" s="55">
        <v>104.64705882352941</v>
      </c>
      <c r="V10" s="55">
        <v>137.52735294117645</v>
      </c>
      <c r="W10" s="55">
        <v>45.387227941176462</v>
      </c>
    </row>
    <row r="11" spans="1:23" x14ac:dyDescent="0.3">
      <c r="A11" s="54" t="s">
        <v>954</v>
      </c>
      <c r="B11" s="55">
        <v>42012.250999999997</v>
      </c>
      <c r="D11" s="53" t="s">
        <v>1367</v>
      </c>
      <c r="E11" s="55" t="s">
        <v>1397</v>
      </c>
      <c r="G11" s="54" t="s">
        <v>1389</v>
      </c>
      <c r="H11" s="55">
        <v>4727.7390000000005</v>
      </c>
      <c r="J11" s="58" t="s">
        <v>831</v>
      </c>
      <c r="K11" s="55">
        <v>14040.186500000003</v>
      </c>
      <c r="M11" s="53" t="s">
        <v>1367</v>
      </c>
      <c r="N11" s="55" t="s">
        <v>1397</v>
      </c>
      <c r="P11" s="53" t="s">
        <v>1367</v>
      </c>
      <c r="Q11" t="s">
        <v>1409</v>
      </c>
      <c r="S11" s="58" t="s">
        <v>955</v>
      </c>
      <c r="T11">
        <v>51</v>
      </c>
      <c r="U11" s="55">
        <v>268.84313725490193</v>
      </c>
      <c r="V11" s="55">
        <v>346.37019607843149</v>
      </c>
      <c r="W11" s="55">
        <v>158.31787254901954</v>
      </c>
    </row>
    <row r="12" spans="1:23" x14ac:dyDescent="0.3">
      <c r="A12" s="54" t="s">
        <v>1359</v>
      </c>
      <c r="B12" s="55">
        <v>22697.025999999994</v>
      </c>
      <c r="D12" s="54" t="s">
        <v>847</v>
      </c>
      <c r="E12" s="55">
        <v>2538.8634999999995</v>
      </c>
      <c r="G12" s="54" t="s">
        <v>1390</v>
      </c>
      <c r="H12" s="55">
        <v>3225.7060000000001</v>
      </c>
      <c r="J12" s="58" t="s">
        <v>851</v>
      </c>
      <c r="K12" s="55">
        <v>11326.557999999995</v>
      </c>
      <c r="M12" s="54" t="s">
        <v>1398</v>
      </c>
      <c r="N12" s="55">
        <v>6248.0649999999996</v>
      </c>
      <c r="P12" s="54">
        <v>2023</v>
      </c>
      <c r="Q12">
        <v>175</v>
      </c>
      <c r="S12" s="58" t="s">
        <v>831</v>
      </c>
      <c r="T12">
        <v>51</v>
      </c>
      <c r="U12" s="55">
        <v>178.74509803921569</v>
      </c>
      <c r="V12" s="55">
        <v>231.19607843137251</v>
      </c>
      <c r="W12" s="55">
        <v>77.94144117647059</v>
      </c>
    </row>
    <row r="13" spans="1:23" x14ac:dyDescent="0.3">
      <c r="A13" s="54" t="s">
        <v>955</v>
      </c>
      <c r="B13" s="55">
        <v>21512.948500000002</v>
      </c>
      <c r="D13" s="54" t="s">
        <v>837</v>
      </c>
      <c r="E13" s="55">
        <v>5350.6285000000007</v>
      </c>
      <c r="G13" s="54" t="s">
        <v>1391</v>
      </c>
      <c r="H13" s="55">
        <v>4110.5524999999998</v>
      </c>
      <c r="J13" s="58" t="s">
        <v>1392</v>
      </c>
      <c r="K13" s="55">
        <v>231.42</v>
      </c>
      <c r="M13" s="56">
        <v>2023</v>
      </c>
      <c r="N13" s="55">
        <v>3872.2064999999993</v>
      </c>
      <c r="P13" s="54">
        <v>2024</v>
      </c>
      <c r="Q13">
        <v>170</v>
      </c>
      <c r="S13" s="58" t="s">
        <v>851</v>
      </c>
      <c r="T13">
        <v>54</v>
      </c>
      <c r="U13" s="55">
        <v>118.51851851851852</v>
      </c>
      <c r="V13" s="55">
        <v>157.64388888888885</v>
      </c>
      <c r="W13" s="55">
        <v>62.764851851851844</v>
      </c>
    </row>
    <row r="14" spans="1:23" x14ac:dyDescent="0.3">
      <c r="A14" s="54" t="s">
        <v>837</v>
      </c>
      <c r="B14" s="55">
        <v>19290.311500000003</v>
      </c>
      <c r="D14" s="54" t="s">
        <v>954</v>
      </c>
      <c r="E14" s="55">
        <v>19704.908999999992</v>
      </c>
      <c r="G14" s="54" t="s">
        <v>1368</v>
      </c>
      <c r="H14" s="55">
        <v>36086.243499999997</v>
      </c>
      <c r="J14" s="58" t="s">
        <v>1368</v>
      </c>
      <c r="K14" s="55">
        <v>157169.448</v>
      </c>
      <c r="M14" s="56">
        <v>2024</v>
      </c>
      <c r="N14" s="55">
        <v>1038.4340000000002</v>
      </c>
      <c r="P14" s="54">
        <v>2025</v>
      </c>
      <c r="Q14">
        <v>154</v>
      </c>
      <c r="S14" s="58" t="s">
        <v>1392</v>
      </c>
      <c r="T14">
        <v>1</v>
      </c>
      <c r="U14" s="55">
        <v>203</v>
      </c>
      <c r="V14" s="55">
        <v>243.6</v>
      </c>
      <c r="W14" s="55">
        <v>52.78</v>
      </c>
    </row>
    <row r="15" spans="1:23" x14ac:dyDescent="0.3">
      <c r="A15" s="54" t="s">
        <v>831</v>
      </c>
      <c r="B15" s="55">
        <v>14040.186500000003</v>
      </c>
      <c r="D15" s="54" t="s">
        <v>872</v>
      </c>
      <c r="E15" s="55">
        <v>1711.3185000000003</v>
      </c>
      <c r="M15" s="56">
        <v>2025</v>
      </c>
      <c r="N15" s="55">
        <v>1337.4244999999999</v>
      </c>
      <c r="P15" s="54" t="s">
        <v>1368</v>
      </c>
      <c r="Q15">
        <v>499</v>
      </c>
      <c r="S15" s="54" t="s">
        <v>1368</v>
      </c>
      <c r="T15">
        <v>499</v>
      </c>
      <c r="U15" s="55">
        <v>213.11623246492985</v>
      </c>
      <c r="V15" s="55">
        <v>275.37881763527048</v>
      </c>
      <c r="W15" s="55">
        <v>116.08727855711413</v>
      </c>
    </row>
    <row r="16" spans="1:23" x14ac:dyDescent="0.3">
      <c r="A16" s="54" t="s">
        <v>851</v>
      </c>
      <c r="B16" s="55">
        <v>11326.557999999995</v>
      </c>
      <c r="D16" s="54" t="s">
        <v>1359</v>
      </c>
      <c r="E16" s="55">
        <v>10044.194</v>
      </c>
      <c r="G16" s="53" t="s">
        <v>1367</v>
      </c>
      <c r="H16" t="s">
        <v>1393</v>
      </c>
      <c r="J16" s="57" t="s">
        <v>1367</v>
      </c>
      <c r="K16" s="55" t="s">
        <v>1397</v>
      </c>
      <c r="M16" s="54" t="s">
        <v>1399</v>
      </c>
      <c r="N16" s="55">
        <v>3195.8150000000001</v>
      </c>
    </row>
    <row r="17" spans="1:18" x14ac:dyDescent="0.3">
      <c r="A17" s="54" t="s">
        <v>957</v>
      </c>
      <c r="B17" s="55">
        <v>10945.068500000001</v>
      </c>
      <c r="D17" s="54" t="s">
        <v>957</v>
      </c>
      <c r="E17" s="55">
        <v>3086.3314999999993</v>
      </c>
      <c r="G17" s="54" t="s">
        <v>1379</v>
      </c>
      <c r="H17">
        <v>78</v>
      </c>
      <c r="J17" s="58" t="s">
        <v>847</v>
      </c>
      <c r="K17" s="55">
        <v>2538.8634999999995</v>
      </c>
      <c r="M17" s="56">
        <v>2023</v>
      </c>
      <c r="N17" s="55">
        <v>951.15300000000013</v>
      </c>
    </row>
    <row r="18" spans="1:18" x14ac:dyDescent="0.3">
      <c r="A18" s="54" t="s">
        <v>847</v>
      </c>
      <c r="B18" s="55">
        <v>8660.1764999999996</v>
      </c>
      <c r="D18" s="54" t="s">
        <v>955</v>
      </c>
      <c r="E18" s="55">
        <v>8074.2114999999967</v>
      </c>
      <c r="G18" s="54" t="s">
        <v>1380</v>
      </c>
      <c r="H18">
        <v>77</v>
      </c>
      <c r="J18" s="58" t="s">
        <v>837</v>
      </c>
      <c r="K18" s="55">
        <v>5350.6285000000007</v>
      </c>
      <c r="M18" s="56">
        <v>2024</v>
      </c>
      <c r="N18" s="55">
        <v>2069.5119999999997</v>
      </c>
      <c r="P18" s="53" t="s">
        <v>1367</v>
      </c>
      <c r="Q18" s="55" t="s">
        <v>1397</v>
      </c>
      <c r="R18" t="s">
        <v>1393</v>
      </c>
    </row>
    <row r="19" spans="1:18" x14ac:dyDescent="0.3">
      <c r="A19" s="54" t="s">
        <v>872</v>
      </c>
      <c r="B19" s="55">
        <v>6453.5014999999994</v>
      </c>
      <c r="D19" s="54" t="s">
        <v>831</v>
      </c>
      <c r="E19" s="55">
        <v>3975.0135</v>
      </c>
      <c r="G19" s="54" t="s">
        <v>1376</v>
      </c>
      <c r="H19">
        <v>68</v>
      </c>
      <c r="J19" s="58" t="s">
        <v>954</v>
      </c>
      <c r="K19" s="55">
        <v>19704.908999999992</v>
      </c>
      <c r="M19" s="56">
        <v>2025</v>
      </c>
      <c r="N19" s="55">
        <v>175.15000000000015</v>
      </c>
      <c r="P19" s="54" t="s">
        <v>1398</v>
      </c>
      <c r="Q19" s="55">
        <v>6248.0649999999996</v>
      </c>
      <c r="R19">
        <v>63</v>
      </c>
    </row>
    <row r="20" spans="1:18" x14ac:dyDescent="0.3">
      <c r="A20" s="54" t="s">
        <v>1392</v>
      </c>
      <c r="B20" s="55">
        <v>231.42</v>
      </c>
      <c r="D20" s="54" t="s">
        <v>851</v>
      </c>
      <c r="E20" s="55">
        <v>3389.3019999999997</v>
      </c>
      <c r="G20" s="54" t="s">
        <v>1373</v>
      </c>
      <c r="H20">
        <v>65</v>
      </c>
      <c r="J20" s="58" t="s">
        <v>872</v>
      </c>
      <c r="K20" s="55">
        <v>1711.3185000000003</v>
      </c>
      <c r="M20" s="54" t="s">
        <v>1400</v>
      </c>
      <c r="N20" s="55">
        <v>2329.4405000000006</v>
      </c>
      <c r="P20" s="56">
        <v>2023</v>
      </c>
      <c r="Q20" s="55">
        <v>3872.2064999999993</v>
      </c>
      <c r="R20">
        <v>39</v>
      </c>
    </row>
    <row r="21" spans="1:18" x14ac:dyDescent="0.3">
      <c r="A21" s="54" t="s">
        <v>1368</v>
      </c>
      <c r="B21" s="55">
        <v>157169.448</v>
      </c>
      <c r="D21" s="54" t="s">
        <v>1392</v>
      </c>
      <c r="E21" s="55">
        <v>52.78</v>
      </c>
      <c r="G21" s="54" t="s">
        <v>1377</v>
      </c>
      <c r="H21">
        <v>62</v>
      </c>
      <c r="J21" s="58" t="s">
        <v>1359</v>
      </c>
      <c r="K21" s="55">
        <v>10044.194</v>
      </c>
      <c r="M21" s="56">
        <v>2023</v>
      </c>
      <c r="N21" s="55">
        <v>194.06650000000002</v>
      </c>
      <c r="P21" s="56">
        <v>2024</v>
      </c>
      <c r="Q21" s="55">
        <v>1038.4340000000002</v>
      </c>
      <c r="R21">
        <v>9</v>
      </c>
    </row>
    <row r="22" spans="1:18" x14ac:dyDescent="0.3">
      <c r="D22" s="54" t="s">
        <v>1368</v>
      </c>
      <c r="E22" s="55">
        <v>57927.551999999996</v>
      </c>
      <c r="G22" s="54" t="s">
        <v>1378</v>
      </c>
      <c r="H22">
        <v>57</v>
      </c>
      <c r="J22" s="58" t="s">
        <v>957</v>
      </c>
      <c r="K22" s="55">
        <v>3086.3314999999993</v>
      </c>
      <c r="M22" s="56">
        <v>2024</v>
      </c>
      <c r="N22" s="55">
        <v>1999.2300000000002</v>
      </c>
      <c r="P22" s="56">
        <v>2025</v>
      </c>
      <c r="Q22" s="55">
        <v>1337.4244999999999</v>
      </c>
      <c r="R22">
        <v>15</v>
      </c>
    </row>
    <row r="23" spans="1:18" x14ac:dyDescent="0.3">
      <c r="A23" s="53" t="s">
        <v>1367</v>
      </c>
      <c r="B23" s="55" t="s">
        <v>1369</v>
      </c>
      <c r="G23" s="54" t="s">
        <v>1375</v>
      </c>
      <c r="H23">
        <v>55</v>
      </c>
      <c r="J23" s="58" t="s">
        <v>955</v>
      </c>
      <c r="K23" s="55">
        <v>8074.2114999999967</v>
      </c>
      <c r="M23" s="56">
        <v>2025</v>
      </c>
      <c r="N23" s="55">
        <v>136.14400000000006</v>
      </c>
      <c r="P23" s="54" t="s">
        <v>1399</v>
      </c>
      <c r="Q23" s="55">
        <v>3195.8150000000001</v>
      </c>
      <c r="R23">
        <v>31</v>
      </c>
    </row>
    <row r="24" spans="1:18" x14ac:dyDescent="0.3">
      <c r="A24" s="54" t="s">
        <v>1379</v>
      </c>
      <c r="B24" s="55">
        <v>18205.103499999997</v>
      </c>
      <c r="G24" s="54" t="s">
        <v>1372</v>
      </c>
      <c r="H24">
        <v>54</v>
      </c>
      <c r="J24" s="58" t="s">
        <v>831</v>
      </c>
      <c r="K24" s="55">
        <v>3975.0135</v>
      </c>
      <c r="M24" s="54" t="s">
        <v>1401</v>
      </c>
      <c r="N24" s="55">
        <v>7305.8639999999996</v>
      </c>
      <c r="P24" s="56">
        <v>2023</v>
      </c>
      <c r="Q24" s="55">
        <v>951.15300000000013</v>
      </c>
      <c r="R24">
        <v>15</v>
      </c>
    </row>
    <row r="25" spans="1:18" x14ac:dyDescent="0.3">
      <c r="A25" s="56" t="s">
        <v>847</v>
      </c>
      <c r="B25" s="55">
        <v>965.18399999999997</v>
      </c>
      <c r="D25" s="53" t="s">
        <v>1367</v>
      </c>
      <c r="E25" t="s">
        <v>1394</v>
      </c>
      <c r="G25" s="54" t="s">
        <v>1374</v>
      </c>
      <c r="H25">
        <v>52</v>
      </c>
      <c r="J25" s="58" t="s">
        <v>851</v>
      </c>
      <c r="K25" s="55">
        <v>3389.3019999999997</v>
      </c>
      <c r="M25" s="56">
        <v>2023</v>
      </c>
      <c r="N25" s="55">
        <v>1839.395</v>
      </c>
      <c r="P25" s="56">
        <v>2024</v>
      </c>
      <c r="Q25" s="55">
        <v>2069.5119999999997</v>
      </c>
      <c r="R25">
        <v>11</v>
      </c>
    </row>
    <row r="26" spans="1:18" x14ac:dyDescent="0.3">
      <c r="A26" s="56" t="s">
        <v>837</v>
      </c>
      <c r="B26" s="55">
        <v>519.17100000000005</v>
      </c>
      <c r="D26" s="54" t="s">
        <v>425</v>
      </c>
      <c r="E26">
        <v>221</v>
      </c>
      <c r="G26" s="54" t="s">
        <v>1370</v>
      </c>
      <c r="H26">
        <v>44</v>
      </c>
      <c r="J26" s="58" t="s">
        <v>1392</v>
      </c>
      <c r="K26" s="55">
        <v>52.78</v>
      </c>
      <c r="M26" s="56">
        <v>2024</v>
      </c>
      <c r="N26" s="55">
        <v>2412.4810000000002</v>
      </c>
      <c r="P26" s="56">
        <v>2025</v>
      </c>
      <c r="Q26" s="55">
        <v>175.15000000000015</v>
      </c>
      <c r="R26">
        <v>5</v>
      </c>
    </row>
    <row r="27" spans="1:18" x14ac:dyDescent="0.3">
      <c r="A27" s="56" t="s">
        <v>954</v>
      </c>
      <c r="B27" s="55">
        <v>8412.5709999999999</v>
      </c>
      <c r="D27" s="54" t="s">
        <v>433</v>
      </c>
      <c r="E27">
        <v>114</v>
      </c>
      <c r="G27" s="54" t="s">
        <v>1371</v>
      </c>
      <c r="H27">
        <v>35</v>
      </c>
      <c r="J27" s="58" t="s">
        <v>1368</v>
      </c>
      <c r="K27" s="55">
        <v>57927.551999999996</v>
      </c>
      <c r="M27" s="56">
        <v>2025</v>
      </c>
      <c r="N27" s="55">
        <v>3053.9879999999998</v>
      </c>
      <c r="P27" s="54" t="s">
        <v>1400</v>
      </c>
      <c r="Q27" s="55">
        <v>2329.4405000000006</v>
      </c>
      <c r="R27">
        <v>36</v>
      </c>
    </row>
    <row r="28" spans="1:18" x14ac:dyDescent="0.3">
      <c r="A28" s="56" t="s">
        <v>872</v>
      </c>
      <c r="B28" s="55">
        <v>1010.552</v>
      </c>
      <c r="D28" s="54" t="s">
        <v>446</v>
      </c>
      <c r="E28">
        <v>31</v>
      </c>
      <c r="G28" s="54" t="s">
        <v>1381</v>
      </c>
      <c r="H28">
        <v>25</v>
      </c>
      <c r="M28" s="54" t="s">
        <v>1374</v>
      </c>
      <c r="N28" s="55">
        <v>4724.7435000000005</v>
      </c>
      <c r="P28" s="56">
        <v>2023</v>
      </c>
      <c r="Q28" s="55">
        <v>194.06650000000002</v>
      </c>
      <c r="R28">
        <v>3</v>
      </c>
    </row>
    <row r="29" spans="1:18" x14ac:dyDescent="0.3">
      <c r="A29" s="56" t="s">
        <v>1359</v>
      </c>
      <c r="B29" s="55">
        <v>2805.0285000000003</v>
      </c>
      <c r="D29" s="54" t="s">
        <v>421</v>
      </c>
      <c r="E29">
        <v>133</v>
      </c>
      <c r="G29" s="54" t="s">
        <v>1368</v>
      </c>
      <c r="H29">
        <v>672</v>
      </c>
      <c r="M29" s="56">
        <v>2023</v>
      </c>
      <c r="N29" s="55">
        <v>1143.9214999999999</v>
      </c>
      <c r="P29" s="56">
        <v>2024</v>
      </c>
      <c r="Q29" s="55">
        <v>1999.2300000000002</v>
      </c>
      <c r="R29">
        <v>30</v>
      </c>
    </row>
    <row r="30" spans="1:18" x14ac:dyDescent="0.3">
      <c r="A30" s="56" t="s">
        <v>957</v>
      </c>
      <c r="B30" s="55">
        <v>849.27099999999996</v>
      </c>
      <c r="D30" s="54" t="s">
        <v>1368</v>
      </c>
      <c r="E30">
        <v>499</v>
      </c>
      <c r="M30" s="56">
        <v>2024</v>
      </c>
      <c r="N30" s="55">
        <v>2484.7995000000001</v>
      </c>
      <c r="P30" s="56">
        <v>2025</v>
      </c>
      <c r="Q30" s="55">
        <v>136.14400000000006</v>
      </c>
      <c r="R30">
        <v>3</v>
      </c>
    </row>
    <row r="31" spans="1:18" x14ac:dyDescent="0.3">
      <c r="A31" s="56" t="s">
        <v>955</v>
      </c>
      <c r="B31" s="55">
        <v>911.11649999999986</v>
      </c>
      <c r="M31" s="56">
        <v>2025</v>
      </c>
      <c r="N31" s="55">
        <v>1096.0225</v>
      </c>
      <c r="P31" s="54" t="s">
        <v>1401</v>
      </c>
      <c r="Q31" s="55">
        <v>7305.8639999999996</v>
      </c>
      <c r="R31">
        <v>104</v>
      </c>
    </row>
    <row r="32" spans="1:18" x14ac:dyDescent="0.3">
      <c r="A32" s="56" t="s">
        <v>831</v>
      </c>
      <c r="B32" s="55">
        <v>1607.4665</v>
      </c>
      <c r="M32" s="54" t="s">
        <v>1402</v>
      </c>
      <c r="N32" s="55">
        <v>7991.6120000000001</v>
      </c>
      <c r="P32" s="56">
        <v>2023</v>
      </c>
      <c r="Q32" s="55">
        <v>1839.395</v>
      </c>
      <c r="R32">
        <v>27</v>
      </c>
    </row>
    <row r="33" spans="1:18" x14ac:dyDescent="0.3">
      <c r="A33" s="56" t="s">
        <v>851</v>
      </c>
      <c r="B33" s="55">
        <v>1124.7429999999999</v>
      </c>
      <c r="D33" s="55" t="s">
        <v>1410</v>
      </c>
      <c r="E33" s="55" t="s">
        <v>1369</v>
      </c>
      <c r="F33" s="55" t="s">
        <v>1397</v>
      </c>
      <c r="G33" s="57" t="s">
        <v>1367</v>
      </c>
      <c r="H33" t="s">
        <v>1396</v>
      </c>
      <c r="I33" s="55" t="s">
        <v>1395</v>
      </c>
      <c r="M33" s="56">
        <v>2023</v>
      </c>
      <c r="N33" s="55">
        <v>2597.4869999999992</v>
      </c>
      <c r="P33" s="56">
        <v>2024</v>
      </c>
      <c r="Q33" s="55">
        <v>2412.4810000000002</v>
      </c>
      <c r="R33">
        <v>39</v>
      </c>
    </row>
    <row r="34" spans="1:18" x14ac:dyDescent="0.3">
      <c r="A34" s="54" t="s">
        <v>1377</v>
      </c>
      <c r="B34" s="55">
        <v>16683.512500000001</v>
      </c>
      <c r="D34" s="55">
        <v>106345</v>
      </c>
      <c r="E34" s="55">
        <v>157169.448</v>
      </c>
      <c r="F34" s="55">
        <v>57927.551999999974</v>
      </c>
      <c r="G34" s="58" t="s">
        <v>425</v>
      </c>
      <c r="H34">
        <v>221</v>
      </c>
      <c r="I34" s="55">
        <v>331.05114932126719</v>
      </c>
      <c r="M34" s="56">
        <v>2024</v>
      </c>
      <c r="N34" s="55">
        <v>3039.4230000000002</v>
      </c>
      <c r="P34" s="56">
        <v>2025</v>
      </c>
      <c r="Q34" s="55">
        <v>3053.9879999999998</v>
      </c>
      <c r="R34">
        <v>38</v>
      </c>
    </row>
    <row r="35" spans="1:18" x14ac:dyDescent="0.3">
      <c r="A35" s="56" t="s">
        <v>847</v>
      </c>
      <c r="B35" s="55">
        <v>165.95999999999998</v>
      </c>
      <c r="G35" s="58" t="s">
        <v>433</v>
      </c>
      <c r="H35">
        <v>114</v>
      </c>
      <c r="I35" s="55">
        <v>292.74518859649123</v>
      </c>
      <c r="M35" s="56">
        <v>2025</v>
      </c>
      <c r="N35" s="55">
        <v>2354.7020000000002</v>
      </c>
      <c r="P35" s="54" t="s">
        <v>1374</v>
      </c>
      <c r="Q35" s="55">
        <v>4724.7435000000005</v>
      </c>
      <c r="R35">
        <v>69</v>
      </c>
    </row>
    <row r="36" spans="1:18" x14ac:dyDescent="0.3">
      <c r="A36" s="56" t="s">
        <v>837</v>
      </c>
      <c r="B36" s="55">
        <v>2199.1805000000004</v>
      </c>
      <c r="G36" s="58" t="s">
        <v>446</v>
      </c>
      <c r="H36">
        <v>31</v>
      </c>
      <c r="I36" s="55">
        <v>272.86961290322586</v>
      </c>
      <c r="M36" s="54" t="s">
        <v>1403</v>
      </c>
      <c r="N36" s="55">
        <v>5757.491</v>
      </c>
      <c r="P36" s="56">
        <v>2023</v>
      </c>
      <c r="Q36" s="55">
        <v>1143.9214999999999</v>
      </c>
      <c r="R36">
        <v>13</v>
      </c>
    </row>
    <row r="37" spans="1:18" x14ac:dyDescent="0.3">
      <c r="A37" s="56" t="s">
        <v>954</v>
      </c>
      <c r="B37" s="55">
        <v>3603.8220000000001</v>
      </c>
      <c r="G37" s="58" t="s">
        <v>421</v>
      </c>
      <c r="H37">
        <v>133</v>
      </c>
      <c r="I37" s="55">
        <v>317.10702631578948</v>
      </c>
      <c r="M37" s="56">
        <v>2023</v>
      </c>
      <c r="N37" s="55">
        <v>3189.9589999999989</v>
      </c>
      <c r="P37" s="56">
        <v>2024</v>
      </c>
      <c r="Q37" s="55">
        <v>2484.7995000000001</v>
      </c>
      <c r="R37">
        <v>42</v>
      </c>
    </row>
    <row r="38" spans="1:18" x14ac:dyDescent="0.3">
      <c r="A38" s="56" t="s">
        <v>872</v>
      </c>
      <c r="B38" s="55">
        <v>969.69399999999996</v>
      </c>
      <c r="G38" s="58" t="s">
        <v>1368</v>
      </c>
      <c r="H38">
        <v>499</v>
      </c>
      <c r="I38" s="55">
        <v>314.96883366733499</v>
      </c>
      <c r="M38" s="56">
        <v>2024</v>
      </c>
      <c r="N38" s="55">
        <v>2030.9495000000004</v>
      </c>
      <c r="P38" s="56">
        <v>2025</v>
      </c>
      <c r="Q38" s="55">
        <v>1096.0225</v>
      </c>
      <c r="R38">
        <v>14</v>
      </c>
    </row>
    <row r="39" spans="1:18" x14ac:dyDescent="0.3">
      <c r="A39" s="56" t="s">
        <v>1359</v>
      </c>
      <c r="B39" s="55">
        <v>2781.16</v>
      </c>
      <c r="M39" s="56">
        <v>2025</v>
      </c>
      <c r="N39" s="55">
        <v>536.58249999999998</v>
      </c>
      <c r="P39" s="54" t="s">
        <v>1402</v>
      </c>
      <c r="Q39" s="55">
        <v>7991.6120000000001</v>
      </c>
      <c r="R39">
        <v>91</v>
      </c>
    </row>
    <row r="40" spans="1:18" x14ac:dyDescent="0.3">
      <c r="A40" s="56" t="s">
        <v>957</v>
      </c>
      <c r="B40" s="55">
        <v>1903.8445000000002</v>
      </c>
      <c r="D40" s="53" t="s">
        <v>1367</v>
      </c>
      <c r="E40" s="55" t="s">
        <v>1397</v>
      </c>
      <c r="M40" s="54" t="s">
        <v>1404</v>
      </c>
      <c r="N40" s="55">
        <v>1826.518</v>
      </c>
      <c r="P40" s="56">
        <v>2023</v>
      </c>
      <c r="Q40" s="55">
        <v>2597.4869999999992</v>
      </c>
      <c r="R40">
        <v>26</v>
      </c>
    </row>
    <row r="41" spans="1:18" x14ac:dyDescent="0.3">
      <c r="A41" s="56" t="s">
        <v>955</v>
      </c>
      <c r="B41" s="55">
        <v>3309.8295000000003</v>
      </c>
      <c r="D41" s="54" t="s">
        <v>435</v>
      </c>
      <c r="E41" s="55">
        <v>11918.316000000001</v>
      </c>
      <c r="M41" s="56">
        <v>2023</v>
      </c>
      <c r="N41" s="55">
        <v>436.17550000000006</v>
      </c>
      <c r="P41" s="56">
        <v>2024</v>
      </c>
      <c r="Q41" s="55">
        <v>3039.4230000000002</v>
      </c>
      <c r="R41">
        <v>43</v>
      </c>
    </row>
    <row r="42" spans="1:18" x14ac:dyDescent="0.3">
      <c r="A42" s="56" t="s">
        <v>831</v>
      </c>
      <c r="B42" s="55">
        <v>820.55849999999998</v>
      </c>
      <c r="D42" s="54" t="s">
        <v>423</v>
      </c>
      <c r="E42" s="55">
        <v>18642.998</v>
      </c>
      <c r="M42" s="56">
        <v>2024</v>
      </c>
      <c r="N42" s="55">
        <v>102.9325</v>
      </c>
      <c r="P42" s="56">
        <v>2025</v>
      </c>
      <c r="Q42" s="55">
        <v>2354.7020000000002</v>
      </c>
      <c r="R42">
        <v>22</v>
      </c>
    </row>
    <row r="43" spans="1:18" x14ac:dyDescent="0.3">
      <c r="A43" s="56" t="s">
        <v>851</v>
      </c>
      <c r="B43" s="55">
        <v>929.46350000000007</v>
      </c>
      <c r="D43" s="54" t="s">
        <v>420</v>
      </c>
      <c r="E43" s="55">
        <v>14969.366</v>
      </c>
      <c r="M43" s="56">
        <v>2025</v>
      </c>
      <c r="N43" s="55">
        <v>1287.4100000000001</v>
      </c>
      <c r="P43" s="54" t="s">
        <v>1403</v>
      </c>
      <c r="Q43" s="55">
        <v>5757.491</v>
      </c>
      <c r="R43">
        <v>74</v>
      </c>
    </row>
    <row r="44" spans="1:18" x14ac:dyDescent="0.3">
      <c r="A44" s="54" t="s">
        <v>1376</v>
      </c>
      <c r="B44" s="55">
        <v>16488.862999999998</v>
      </c>
      <c r="D44" s="54" t="s">
        <v>437</v>
      </c>
      <c r="E44" s="55">
        <v>12396.872000000001</v>
      </c>
      <c r="M44" s="54" t="s">
        <v>1405</v>
      </c>
      <c r="N44" s="55">
        <v>2405.3840000000005</v>
      </c>
      <c r="P44" s="56">
        <v>2023</v>
      </c>
      <c r="Q44" s="55">
        <v>3189.9589999999989</v>
      </c>
      <c r="R44">
        <v>30</v>
      </c>
    </row>
    <row r="45" spans="1:18" x14ac:dyDescent="0.3">
      <c r="A45" s="56" t="s">
        <v>847</v>
      </c>
      <c r="B45" s="55">
        <v>2006.0909999999999</v>
      </c>
      <c r="D45" s="54" t="s">
        <v>1368</v>
      </c>
      <c r="E45" s="55">
        <v>57927.552000000003</v>
      </c>
      <c r="M45" s="56">
        <v>2023</v>
      </c>
      <c r="N45" s="55">
        <v>1819.5500000000006</v>
      </c>
      <c r="P45" s="56">
        <v>2024</v>
      </c>
      <c r="Q45" s="55">
        <v>2030.9495000000004</v>
      </c>
      <c r="R45">
        <v>38</v>
      </c>
    </row>
    <row r="46" spans="1:18" x14ac:dyDescent="0.3">
      <c r="A46" s="56" t="s">
        <v>837</v>
      </c>
      <c r="B46" s="55">
        <v>3385.5374999999999</v>
      </c>
      <c r="M46" s="56">
        <v>2024</v>
      </c>
      <c r="N46" s="55">
        <v>213.17000000000007</v>
      </c>
      <c r="P46" s="56">
        <v>2025</v>
      </c>
      <c r="Q46" s="55">
        <v>536.58249999999998</v>
      </c>
      <c r="R46">
        <v>6</v>
      </c>
    </row>
    <row r="47" spans="1:18" x14ac:dyDescent="0.3">
      <c r="A47" s="56" t="s">
        <v>954</v>
      </c>
      <c r="B47" s="55">
        <v>2442.7080000000001</v>
      </c>
      <c r="M47" s="56">
        <v>2025</v>
      </c>
      <c r="N47" s="55">
        <v>372.66399999999982</v>
      </c>
      <c r="P47" s="54" t="s">
        <v>1404</v>
      </c>
      <c r="Q47" s="55">
        <v>1826.518</v>
      </c>
      <c r="R47">
        <v>24</v>
      </c>
    </row>
    <row r="48" spans="1:18" x14ac:dyDescent="0.3">
      <c r="A48" s="56" t="s">
        <v>872</v>
      </c>
      <c r="B48" s="55">
        <v>305.85000000000002</v>
      </c>
      <c r="M48" s="54" t="s">
        <v>1406</v>
      </c>
      <c r="N48" s="55">
        <v>5050.4804999999997</v>
      </c>
      <c r="P48" s="56">
        <v>2023</v>
      </c>
      <c r="Q48" s="55">
        <v>436.17550000000006</v>
      </c>
      <c r="R48">
        <v>11</v>
      </c>
    </row>
    <row r="49" spans="1:18" x14ac:dyDescent="0.3">
      <c r="A49" s="56" t="s">
        <v>1359</v>
      </c>
      <c r="B49" s="55">
        <v>1060.924</v>
      </c>
      <c r="M49" s="56">
        <v>2023</v>
      </c>
      <c r="N49" s="55">
        <v>1844.0090000000002</v>
      </c>
      <c r="P49" s="56">
        <v>2024</v>
      </c>
      <c r="Q49" s="55">
        <v>102.9325</v>
      </c>
      <c r="R49">
        <v>1</v>
      </c>
    </row>
    <row r="50" spans="1:18" x14ac:dyDescent="0.3">
      <c r="A50" s="56" t="s">
        <v>957</v>
      </c>
      <c r="B50" s="55">
        <v>658.32050000000004</v>
      </c>
      <c r="M50" s="56">
        <v>2024</v>
      </c>
      <c r="N50" s="55">
        <v>47.5</v>
      </c>
      <c r="P50" s="56">
        <v>2025</v>
      </c>
      <c r="Q50" s="55">
        <v>1287.4100000000001</v>
      </c>
      <c r="R50">
        <v>12</v>
      </c>
    </row>
    <row r="51" spans="1:18" x14ac:dyDescent="0.3">
      <c r="A51" s="56" t="s">
        <v>955</v>
      </c>
      <c r="B51" s="55">
        <v>3441.2834999999995</v>
      </c>
      <c r="M51" s="56">
        <v>2025</v>
      </c>
      <c r="N51" s="55">
        <v>3158.9714999999997</v>
      </c>
      <c r="P51" s="54" t="s">
        <v>1405</v>
      </c>
      <c r="Q51" s="55">
        <v>2405.3840000000005</v>
      </c>
      <c r="R51">
        <v>19</v>
      </c>
    </row>
    <row r="52" spans="1:18" x14ac:dyDescent="0.3">
      <c r="A52" s="56" t="s">
        <v>831</v>
      </c>
      <c r="B52" s="55">
        <v>2201.4445000000001</v>
      </c>
      <c r="M52" s="54" t="s">
        <v>1407</v>
      </c>
      <c r="N52" s="55">
        <v>4134.2624999999998</v>
      </c>
      <c r="P52" s="56">
        <v>2023</v>
      </c>
      <c r="Q52" s="55">
        <v>1819.5500000000006</v>
      </c>
      <c r="R52">
        <v>14</v>
      </c>
    </row>
    <row r="53" spans="1:18" x14ac:dyDescent="0.3">
      <c r="A53" s="56" t="s">
        <v>851</v>
      </c>
      <c r="B53" s="55">
        <v>986.70400000000006</v>
      </c>
      <c r="M53" s="56">
        <v>2023</v>
      </c>
      <c r="N53" s="55">
        <v>936.48499999999956</v>
      </c>
      <c r="P53" s="56">
        <v>2024</v>
      </c>
      <c r="Q53" s="55">
        <v>213.17000000000007</v>
      </c>
      <c r="R53">
        <v>2</v>
      </c>
    </row>
    <row r="54" spans="1:18" x14ac:dyDescent="0.3">
      <c r="A54" s="54" t="s">
        <v>1378</v>
      </c>
      <c r="B54" s="55">
        <v>16194.354499999998</v>
      </c>
      <c r="M54" s="56">
        <v>2025</v>
      </c>
      <c r="N54" s="55">
        <v>3197.7775000000006</v>
      </c>
      <c r="P54" s="56">
        <v>2025</v>
      </c>
      <c r="Q54" s="55">
        <v>372.66399999999982</v>
      </c>
      <c r="R54">
        <v>3</v>
      </c>
    </row>
    <row r="55" spans="1:18" x14ac:dyDescent="0.3">
      <c r="A55" s="56" t="s">
        <v>847</v>
      </c>
      <c r="B55" s="55">
        <v>881.72499999999991</v>
      </c>
      <c r="M55" s="54" t="s">
        <v>1408</v>
      </c>
      <c r="N55" s="55">
        <v>6957.8760000000002</v>
      </c>
      <c r="P55" s="54" t="s">
        <v>1406</v>
      </c>
      <c r="Q55" s="55">
        <v>5050.4804999999997</v>
      </c>
      <c r="R55">
        <v>56</v>
      </c>
    </row>
    <row r="56" spans="1:18" x14ac:dyDescent="0.3">
      <c r="A56" s="56" t="s">
        <v>837</v>
      </c>
      <c r="B56" s="55">
        <v>1763.694</v>
      </c>
      <c r="M56" s="56">
        <v>2023</v>
      </c>
      <c r="N56" s="55">
        <v>1457.6209999999999</v>
      </c>
      <c r="P56" s="56">
        <v>2023</v>
      </c>
      <c r="Q56" s="55">
        <v>1844.0090000000002</v>
      </c>
      <c r="R56">
        <v>30</v>
      </c>
    </row>
    <row r="57" spans="1:18" x14ac:dyDescent="0.3">
      <c r="A57" s="56" t="s">
        <v>954</v>
      </c>
      <c r="B57" s="55">
        <v>3778.7669999999998</v>
      </c>
      <c r="M57" s="56">
        <v>2024</v>
      </c>
      <c r="N57" s="55">
        <v>2738.2379999999994</v>
      </c>
      <c r="P57" s="56">
        <v>2024</v>
      </c>
      <c r="Q57" s="55">
        <v>47.5</v>
      </c>
      <c r="R57">
        <v>1</v>
      </c>
    </row>
    <row r="58" spans="1:18" x14ac:dyDescent="0.3">
      <c r="A58" s="56" t="s">
        <v>872</v>
      </c>
      <c r="B58" s="55">
        <v>478.97200000000004</v>
      </c>
      <c r="M58" s="56">
        <v>2025</v>
      </c>
      <c r="N58" s="55">
        <v>2762.0170000000007</v>
      </c>
      <c r="P58" s="56">
        <v>2025</v>
      </c>
      <c r="Q58" s="55">
        <v>3158.9714999999997</v>
      </c>
      <c r="R58">
        <v>25</v>
      </c>
    </row>
    <row r="59" spans="1:18" x14ac:dyDescent="0.3">
      <c r="A59" s="56" t="s">
        <v>1359</v>
      </c>
      <c r="B59" s="55">
        <v>2897.1280000000002</v>
      </c>
      <c r="M59" s="54" t="s">
        <v>1368</v>
      </c>
      <c r="N59" s="55">
        <v>57927.551999999996</v>
      </c>
      <c r="P59" s="54" t="s">
        <v>1407</v>
      </c>
      <c r="Q59" s="55">
        <v>4134.2624999999998</v>
      </c>
      <c r="R59">
        <v>44</v>
      </c>
    </row>
    <row r="60" spans="1:18" x14ac:dyDescent="0.3">
      <c r="A60" s="56" t="s">
        <v>957</v>
      </c>
      <c r="B60" s="55">
        <v>1011.9195</v>
      </c>
      <c r="P60" s="56">
        <v>2023</v>
      </c>
      <c r="Q60" s="55">
        <v>936.48499999999956</v>
      </c>
      <c r="R60">
        <v>12</v>
      </c>
    </row>
    <row r="61" spans="1:18" x14ac:dyDescent="0.3">
      <c r="A61" s="56" t="s">
        <v>955</v>
      </c>
      <c r="B61" s="55">
        <v>2070.2559999999999</v>
      </c>
      <c r="P61" s="56">
        <v>2025</v>
      </c>
      <c r="Q61" s="55">
        <v>3197.7775000000006</v>
      </c>
      <c r="R61">
        <v>32</v>
      </c>
    </row>
    <row r="62" spans="1:18" x14ac:dyDescent="0.3">
      <c r="A62" s="56" t="s">
        <v>831</v>
      </c>
      <c r="B62" s="55">
        <v>1654.1304999999998</v>
      </c>
      <c r="P62" s="54" t="s">
        <v>1408</v>
      </c>
      <c r="Q62" s="55">
        <v>6957.8760000000002</v>
      </c>
      <c r="R62">
        <v>61</v>
      </c>
    </row>
    <row r="63" spans="1:18" x14ac:dyDescent="0.3">
      <c r="A63" s="56" t="s">
        <v>851</v>
      </c>
      <c r="B63" s="55">
        <v>1657.7624999999998</v>
      </c>
      <c r="P63" s="56">
        <v>2023</v>
      </c>
      <c r="Q63" s="55">
        <v>1457.6209999999999</v>
      </c>
      <c r="R63">
        <v>13</v>
      </c>
    </row>
    <row r="64" spans="1:18" x14ac:dyDescent="0.3">
      <c r="A64" s="54" t="s">
        <v>1380</v>
      </c>
      <c r="B64" s="55">
        <v>15678.4925</v>
      </c>
      <c r="P64" s="56">
        <v>2024</v>
      </c>
      <c r="Q64" s="55">
        <v>2738.2379999999994</v>
      </c>
      <c r="R64">
        <v>17</v>
      </c>
    </row>
    <row r="65" spans="1:18" x14ac:dyDescent="0.3">
      <c r="A65" s="56" t="s">
        <v>847</v>
      </c>
      <c r="B65" s="55">
        <v>419.04999999999995</v>
      </c>
      <c r="P65" s="56">
        <v>2025</v>
      </c>
      <c r="Q65" s="55">
        <v>2762.0170000000007</v>
      </c>
      <c r="R65">
        <v>31</v>
      </c>
    </row>
    <row r="66" spans="1:18" x14ac:dyDescent="0.3">
      <c r="A66" s="56" t="s">
        <v>837</v>
      </c>
      <c r="B66" s="55">
        <v>1988.578</v>
      </c>
      <c r="P66" s="54" t="s">
        <v>1368</v>
      </c>
      <c r="Q66" s="55">
        <v>57927.551999999996</v>
      </c>
      <c r="R66">
        <v>672</v>
      </c>
    </row>
    <row r="67" spans="1:18" x14ac:dyDescent="0.3">
      <c r="A67" s="56" t="s">
        <v>954</v>
      </c>
      <c r="B67" s="55">
        <v>4064.2380000000003</v>
      </c>
    </row>
    <row r="68" spans="1:18" x14ac:dyDescent="0.3">
      <c r="A68" s="56" t="s">
        <v>872</v>
      </c>
      <c r="B68" s="55">
        <v>548.45600000000002</v>
      </c>
    </row>
    <row r="69" spans="1:18" x14ac:dyDescent="0.3">
      <c r="A69" s="56" t="s">
        <v>1359</v>
      </c>
      <c r="B69" s="55">
        <v>2086.924</v>
      </c>
    </row>
    <row r="70" spans="1:18" x14ac:dyDescent="0.3">
      <c r="A70" s="56" t="s">
        <v>957</v>
      </c>
      <c r="B70" s="55">
        <v>1572.6554999999998</v>
      </c>
    </row>
    <row r="71" spans="1:18" x14ac:dyDescent="0.3">
      <c r="A71" s="56" t="s">
        <v>955</v>
      </c>
      <c r="B71" s="55">
        <v>3046.8114999999998</v>
      </c>
    </row>
    <row r="72" spans="1:18" x14ac:dyDescent="0.3">
      <c r="A72" s="56" t="s">
        <v>831</v>
      </c>
      <c r="B72" s="55">
        <v>821.43999999999994</v>
      </c>
    </row>
    <row r="73" spans="1:18" x14ac:dyDescent="0.3">
      <c r="A73" s="56" t="s">
        <v>851</v>
      </c>
      <c r="B73" s="55">
        <v>898.91949999999997</v>
      </c>
    </row>
    <row r="74" spans="1:18" x14ac:dyDescent="0.3">
      <c r="A74" s="56" t="s">
        <v>1392</v>
      </c>
      <c r="B74" s="55">
        <v>231.42</v>
      </c>
    </row>
    <row r="75" spans="1:18" x14ac:dyDescent="0.3">
      <c r="A75" s="54" t="s">
        <v>1368</v>
      </c>
      <c r="B75" s="55">
        <v>83250.325999999986</v>
      </c>
    </row>
  </sheetData>
  <pageMargins left="0.7" right="0.7" top="0.75" bottom="0.75" header="0.3" footer="0.3"/>
  <drawing r:id="rId2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34C0-CF90-4DA3-9429-F93ACF56A419}">
  <dimension ref="A1:AJ500"/>
  <sheetViews>
    <sheetView topLeftCell="O1" zoomScale="81" zoomScaleNormal="81" workbookViewId="0">
      <selection activeCell="E486" sqref="E486"/>
    </sheetView>
  </sheetViews>
  <sheetFormatPr defaultRowHeight="14.4" x14ac:dyDescent="0.3"/>
  <cols>
    <col min="1" max="1" width="13.6640625" bestFit="1" customWidth="1"/>
    <col min="2" max="2" width="15" style="10" customWidth="1"/>
    <col min="3" max="3" width="16" style="10" customWidth="1"/>
    <col min="4" max="4" width="16.77734375" style="45" bestFit="1" customWidth="1"/>
    <col min="5" max="5" width="13.44140625" bestFit="1" customWidth="1"/>
    <col min="6" max="6" width="9.109375" bestFit="1" customWidth="1"/>
    <col min="7" max="7" width="8.5546875" bestFit="1" customWidth="1"/>
    <col min="8" max="8" width="29.21875" style="49" bestFit="1" customWidth="1"/>
    <col min="9" max="11" width="13.33203125" style="10" customWidth="1"/>
    <col min="12" max="12" width="14.88671875" customWidth="1"/>
    <col min="13" max="13" width="20.6640625" bestFit="1" customWidth="1"/>
    <col min="14" max="14" width="18.6640625" bestFit="1" customWidth="1"/>
    <col min="15" max="15" width="24" bestFit="1" customWidth="1"/>
    <col min="16" max="16" width="20" style="16" bestFit="1" customWidth="1"/>
    <col min="17" max="17" width="21.77734375" style="16" bestFit="1" customWidth="1"/>
    <col min="18" max="18" width="13.88671875" customWidth="1"/>
    <col min="19" max="19" width="13.77734375" customWidth="1"/>
    <col min="20" max="20" width="29.21875" style="49" bestFit="1" customWidth="1"/>
    <col min="21" max="21" width="16.5546875" bestFit="1" customWidth="1"/>
    <col min="22" max="22" width="18.5546875" style="40" bestFit="1" customWidth="1"/>
    <col min="23" max="23" width="17.33203125" bestFit="1" customWidth="1"/>
    <col min="24" max="24" width="15.109375" bestFit="1" customWidth="1"/>
    <col min="25" max="25" width="12.109375" style="16" bestFit="1" customWidth="1"/>
    <col min="26" max="26" width="15.33203125" style="17" bestFit="1" customWidth="1"/>
    <col min="27" max="27" width="19.77734375" style="16" bestFit="1" customWidth="1"/>
    <col min="28" max="28" width="15.5546875" style="3" bestFit="1" customWidth="1"/>
    <col min="32" max="32" width="17.5546875" bestFit="1" customWidth="1"/>
    <col min="35" max="35" width="12" bestFit="1" customWidth="1"/>
    <col min="36" max="36" width="10.5546875" bestFit="1" customWidth="1"/>
  </cols>
  <sheetData>
    <row r="1" spans="1:36" x14ac:dyDescent="0.3">
      <c r="A1" s="19" t="s">
        <v>3</v>
      </c>
      <c r="B1" s="20" t="s">
        <v>1361</v>
      </c>
      <c r="C1" s="20" t="s">
        <v>1362</v>
      </c>
      <c r="D1" s="41" t="s">
        <v>1360</v>
      </c>
      <c r="E1" s="19" t="s">
        <v>413</v>
      </c>
      <c r="F1" s="19" t="s">
        <v>414</v>
      </c>
      <c r="G1" s="19" t="s">
        <v>415</v>
      </c>
      <c r="H1" s="50" t="s">
        <v>416</v>
      </c>
      <c r="I1" s="51" t="s">
        <v>1365</v>
      </c>
      <c r="J1" s="51" t="s">
        <v>1363</v>
      </c>
      <c r="K1" s="51" t="s">
        <v>1364</v>
      </c>
      <c r="L1" s="19" t="s">
        <v>417</v>
      </c>
      <c r="M1" s="19" t="s">
        <v>939</v>
      </c>
      <c r="N1" s="19" t="s">
        <v>940</v>
      </c>
      <c r="O1" s="19" t="s">
        <v>941</v>
      </c>
      <c r="P1" s="21" t="s">
        <v>942</v>
      </c>
      <c r="Q1" s="21" t="s">
        <v>943</v>
      </c>
      <c r="R1" s="19" t="s">
        <v>944</v>
      </c>
      <c r="S1" s="52" t="s">
        <v>1366</v>
      </c>
      <c r="T1" s="50" t="s">
        <v>945</v>
      </c>
      <c r="U1" s="19" t="s">
        <v>946</v>
      </c>
      <c r="V1" s="36" t="s">
        <v>947</v>
      </c>
      <c r="W1" s="19" t="s">
        <v>948</v>
      </c>
      <c r="X1" s="19" t="s">
        <v>949</v>
      </c>
      <c r="Y1" s="21" t="s">
        <v>950</v>
      </c>
      <c r="Z1" s="22" t="s">
        <v>951</v>
      </c>
      <c r="AA1" s="21" t="s">
        <v>952</v>
      </c>
      <c r="AB1" s="23" t="s">
        <v>953</v>
      </c>
      <c r="AF1" t="str">
        <f ca="1">CHOOSE(RANDBETWEEN(1,4),"West","East","North","South")</f>
        <v>North</v>
      </c>
      <c r="AI1" s="24" t="str">
        <f t="shared" ref="AI1:AI32" si="0">"Customer"&amp;TEXT(ROW(A1),"000")</f>
        <v>Customer001</v>
      </c>
      <c r="AJ1" s="10">
        <f ca="1">DATE(2023,1,1)+RANDBETWEEN(0,1095)</f>
        <v>45260</v>
      </c>
    </row>
    <row r="2" spans="1:36" x14ac:dyDescent="0.3">
      <c r="A2" s="19">
        <v>1</v>
      </c>
      <c r="B2" s="25" cm="1">
        <f t="array" aca="1" ref="B2" ca="1">MIN(IF($E:$E=E2,$H:$H))</f>
        <v>45474</v>
      </c>
      <c r="C2" s="25">
        <f t="shared" ref="C2:C65" ca="1" si="1">DATEDIF(B2,MAX($H:$H),"m")</f>
        <v>17</v>
      </c>
      <c r="D2" s="43">
        <f ca="1">COUNTIF(E:E,combined_tbl!$E2)</f>
        <v>2</v>
      </c>
      <c r="E2" s="29" t="str">
        <f ca="1">IF(RAND()&lt;=0.5,
   "Customer"&amp;TEXT(RANDBETWEEN(1,30),"000"),
IF(RAND()&lt;=0.8,
   "Customer"&amp;TEXT(RANDBETWEEN(31,80),"000"),
   "Customer"&amp;TEXT(RANDBETWEEN(81,139),"000")))</f>
        <v>Customer139</v>
      </c>
      <c r="F2" s="29" t="str" cm="1">
        <f t="array" aca="1" ref="F2" ca="1">INDEX({"Male","Female"}, RANDBETWEEN(1,2))</f>
        <v>Male</v>
      </c>
      <c r="G2" s="29" t="str">
        <f ca="1">_xlfn.XLOOKUP(E2,AI$1:AI$139,AF$1:AF$139)</f>
        <v>West</v>
      </c>
      <c r="H2" s="48">
        <f t="shared" ref="H2:H65" ca="1" si="2">_xlfn.XLOOKUP(E2,AI$1:AI$139,AJ$1:AJ$139)</f>
        <v>45474</v>
      </c>
      <c r="I2" s="24">
        <f ca="1">DAY(H2)</f>
        <v>1</v>
      </c>
      <c r="J2" s="46" t="str">
        <f ca="1">TEXT(H2,"mmmm")</f>
        <v>July</v>
      </c>
      <c r="K2" s="24">
        <f ca="1">YEAR(H2)</f>
        <v>2024</v>
      </c>
      <c r="L2" s="24" t="str">
        <f t="shared" ref="L2:L65" ca="1" si="3">IF(AND(D2&gt;=10,C2&gt;=24),"Platinum",IF(AND(D2&gt;=7,C2&gt;=18),"Gold",IF(AND(D2&gt;=3,C2&gt;=12),"Silver","Bronze")))</f>
        <v>Bronze</v>
      </c>
      <c r="M2" s="29">
        <v>2</v>
      </c>
      <c r="N2" s="29" t="s">
        <v>837</v>
      </c>
      <c r="O2" s="29" t="s">
        <v>834</v>
      </c>
      <c r="P2" s="30">
        <v>301</v>
      </c>
      <c r="Q2" s="30">
        <v>394.31</v>
      </c>
      <c r="R2" s="29">
        <v>2</v>
      </c>
      <c r="S2" s="24" t="str">
        <f t="shared" ref="S2:S65" si="4">TEXT(T2,"MMM")</f>
        <v>Mar</v>
      </c>
      <c r="T2" s="47">
        <v>45009</v>
      </c>
      <c r="U2" s="29">
        <v>3</v>
      </c>
      <c r="V2" s="38">
        <v>152</v>
      </c>
      <c r="W2" s="29">
        <v>24</v>
      </c>
      <c r="X2" s="29">
        <v>1</v>
      </c>
      <c r="Y2" s="30">
        <f>combined_tbl!$Q2*(1-combined_tbl!$Z2)</f>
        <v>374.59449999999998</v>
      </c>
      <c r="Z2" s="31">
        <f>IF(combined_tbl!$Q2&gt;=500,0.2, IF(combined_tbl!$Q2&gt;=200,0.05, IF(combined_tbl!$X2&gt;=2,0.05,0)))</f>
        <v>0.05</v>
      </c>
      <c r="AA2" s="30">
        <f>combined_tbl!$Y2*combined_tbl!$X2</f>
        <v>374.59449999999998</v>
      </c>
      <c r="AB2" s="32">
        <f>(combined_tbl!$Q2*(1+combined_tbl!$Z2)-combined_tbl!$P2)*combined_tbl!$X2</f>
        <v>113.02550000000002</v>
      </c>
      <c r="AF2" t="str">
        <f ca="1">CHOOSE(RANDBETWEEN(1,4),"West","East","North","South")</f>
        <v>South</v>
      </c>
      <c r="AI2" s="24" t="str">
        <f t="shared" si="0"/>
        <v>Customer002</v>
      </c>
      <c r="AJ2" s="10">
        <f t="shared" ref="AJ2:AJ65" ca="1" si="5">DATE(2023,1,1)+RANDBETWEEN(0,1095)</f>
        <v>45582</v>
      </c>
    </row>
    <row r="3" spans="1:36" x14ac:dyDescent="0.3">
      <c r="A3" s="24">
        <v>2</v>
      </c>
      <c r="B3" s="25" cm="1">
        <f t="array" aca="1" ref="B3" ca="1">MIN(IF($E:$E=E3,$H:$H))</f>
        <v>45085</v>
      </c>
      <c r="C3" s="25">
        <f t="shared" ca="1" si="1"/>
        <v>29</v>
      </c>
      <c r="D3" s="42">
        <f ca="1">COUNTIF(E:E,combined_tbl!$E3)</f>
        <v>10</v>
      </c>
      <c r="E3" s="24" t="str">
        <f t="shared" ref="E3:E66" ca="1" si="6">IF(RAND()&lt;=0.5,
   "Customer"&amp;TEXT(RANDBETWEEN(1,30),"000"),
IF(RAND()&lt;=0.8,
   "Customer"&amp;TEXT(RANDBETWEEN(31,80),"000"),
   "Customer"&amp;TEXT(RANDBETWEEN(81,139),"000")))</f>
        <v>Customer007</v>
      </c>
      <c r="F3" s="24" t="str" cm="1">
        <f t="array" aca="1" ref="F3" ca="1">INDEX({"Male","Female"}, RANDBETWEEN(1,2))</f>
        <v>Male</v>
      </c>
      <c r="G3" s="29" t="str">
        <f t="shared" ref="G3:G34" ca="1" si="7">_xlfn.XLOOKUP(E3,AI$1:AI$139,AF$2:AF$140)</f>
        <v>East</v>
      </c>
      <c r="H3" s="48">
        <f t="shared" ca="1" si="2"/>
        <v>45085</v>
      </c>
      <c r="I3" s="24">
        <f t="shared" ref="I3:I65" ca="1" si="8">DAY(H3)</f>
        <v>8</v>
      </c>
      <c r="J3" s="46" t="str">
        <f t="shared" ref="J3:J66" ca="1" si="9">TEXT(H3,"mmmm")</f>
        <v>June</v>
      </c>
      <c r="K3" s="24">
        <f t="shared" ref="K3:K65" ca="1" si="10">YEAR(H3)</f>
        <v>2023</v>
      </c>
      <c r="L3" s="24" t="str">
        <f t="shared" ca="1" si="3"/>
        <v>Platinum</v>
      </c>
      <c r="M3" s="24">
        <v>3</v>
      </c>
      <c r="N3" s="24" t="s">
        <v>837</v>
      </c>
      <c r="O3" s="24" t="s">
        <v>835</v>
      </c>
      <c r="P3" s="26">
        <v>389</v>
      </c>
      <c r="Q3" s="26">
        <v>521.26</v>
      </c>
      <c r="R3" s="24">
        <v>3</v>
      </c>
      <c r="S3" s="24" t="str">
        <f t="shared" si="4"/>
        <v>Aug</v>
      </c>
      <c r="T3" s="46">
        <v>45890</v>
      </c>
      <c r="U3" s="24">
        <v>8</v>
      </c>
      <c r="V3" s="37">
        <v>77</v>
      </c>
      <c r="W3" s="24">
        <v>84</v>
      </c>
      <c r="X3" s="24">
        <v>1</v>
      </c>
      <c r="Y3" s="26">
        <f>combined_tbl!$Q3*(1-combined_tbl!$Z3)</f>
        <v>417.00800000000004</v>
      </c>
      <c r="Z3" s="27">
        <f>IF(combined_tbl!$Q3&gt;=500,0.2, IF(combined_tbl!$Q3&gt;=200,0.05, IF(combined_tbl!$X3&gt;=2,0.05,0)))</f>
        <v>0.2</v>
      </c>
      <c r="AA3" s="26">
        <f>combined_tbl!$Y3*combined_tbl!$X3</f>
        <v>417.00800000000004</v>
      </c>
      <c r="AB3" s="28">
        <f>(combined_tbl!$Q3*(1+combined_tbl!$Z3)-combined_tbl!$P3)*combined_tbl!$X3</f>
        <v>236.51199999999994</v>
      </c>
      <c r="AF3" t="str">
        <f t="shared" ref="AF3:AF66" ca="1" si="11">CHOOSE(RANDBETWEEN(1,4),"West","East","North","South")</f>
        <v>East</v>
      </c>
      <c r="AI3" s="24" t="str">
        <f t="shared" si="0"/>
        <v>Customer003</v>
      </c>
      <c r="AJ3" s="10">
        <f t="shared" ca="1" si="5"/>
        <v>45495</v>
      </c>
    </row>
    <row r="4" spans="1:36" x14ac:dyDescent="0.3">
      <c r="A4" s="29">
        <v>3</v>
      </c>
      <c r="B4" s="25" cm="1">
        <f t="array" aca="1" ref="B4" ca="1">MIN(IF($E:$E=E4,$H:$H))</f>
        <v>45014</v>
      </c>
      <c r="C4" s="25">
        <f t="shared" ca="1" si="1"/>
        <v>32</v>
      </c>
      <c r="D4" s="43">
        <f ca="1">COUNTIF(E:E,combined_tbl!$E4)</f>
        <v>10</v>
      </c>
      <c r="E4" s="29" t="str">
        <f t="shared" ca="1" si="6"/>
        <v>Customer022</v>
      </c>
      <c r="F4" s="29" t="str" cm="1">
        <f t="array" aca="1" ref="F4" ca="1">INDEX({"Male","Female"}, RANDBETWEEN(1,2))</f>
        <v>Female</v>
      </c>
      <c r="G4" s="29" t="str">
        <f t="shared" ca="1" si="7"/>
        <v>South</v>
      </c>
      <c r="H4" s="48">
        <f t="shared" ca="1" si="2"/>
        <v>45014</v>
      </c>
      <c r="I4" s="24">
        <f t="shared" ca="1" si="8"/>
        <v>29</v>
      </c>
      <c r="J4" s="46" t="str">
        <f t="shared" ca="1" si="9"/>
        <v>March</v>
      </c>
      <c r="K4" s="24">
        <f t="shared" ca="1" si="10"/>
        <v>2023</v>
      </c>
      <c r="L4" s="24" t="str">
        <f t="shared" ca="1" si="3"/>
        <v>Platinum</v>
      </c>
      <c r="M4" s="29">
        <v>4</v>
      </c>
      <c r="N4" s="29" t="s">
        <v>955</v>
      </c>
      <c r="O4" s="29" t="s">
        <v>836</v>
      </c>
      <c r="P4" s="30">
        <v>226</v>
      </c>
      <c r="Q4" s="30">
        <v>248.60000000000002</v>
      </c>
      <c r="R4" s="29">
        <v>4</v>
      </c>
      <c r="S4" s="24" t="str">
        <f t="shared" si="4"/>
        <v>Jul</v>
      </c>
      <c r="T4" s="47">
        <v>45496</v>
      </c>
      <c r="U4" s="29">
        <v>3</v>
      </c>
      <c r="V4" s="38">
        <v>123</v>
      </c>
      <c r="W4" s="29">
        <v>97</v>
      </c>
      <c r="X4" s="29">
        <v>5</v>
      </c>
      <c r="Y4" s="30">
        <f>combined_tbl!$Q4*(1-combined_tbl!$Z4)</f>
        <v>236.17000000000002</v>
      </c>
      <c r="Z4" s="31">
        <f>IF(combined_tbl!$Q4&gt;=500,0.2, IF(combined_tbl!$Q4&gt;=200,0.05, IF(combined_tbl!$X4&gt;=2,0.05,0)))</f>
        <v>0.05</v>
      </c>
      <c r="AA4" s="30">
        <f>combined_tbl!$Y4*combined_tbl!$X4</f>
        <v>1180.8500000000001</v>
      </c>
      <c r="AB4" s="32">
        <f>(combined_tbl!$Q4*(1+combined_tbl!$Z4)-combined_tbl!$P4)*combined_tbl!$X4</f>
        <v>175.15000000000015</v>
      </c>
      <c r="AF4" t="str">
        <f t="shared" ca="1" si="11"/>
        <v>East</v>
      </c>
      <c r="AI4" s="24" t="str">
        <f t="shared" si="0"/>
        <v>Customer004</v>
      </c>
      <c r="AJ4" s="10">
        <f t="shared" ca="1" si="5"/>
        <v>45896</v>
      </c>
    </row>
    <row r="5" spans="1:36" x14ac:dyDescent="0.3">
      <c r="A5" s="29">
        <v>4</v>
      </c>
      <c r="B5" s="25" cm="1">
        <f t="array" aca="1" ref="B5" ca="1">MIN(IF($E:$E=E5,$H:$H))</f>
        <v>45406</v>
      </c>
      <c r="C5" s="25">
        <f t="shared" ca="1" si="1"/>
        <v>19</v>
      </c>
      <c r="D5" s="42">
        <f ca="1">COUNTIF(E:E,combined_tbl!$E5)</f>
        <v>2</v>
      </c>
      <c r="E5" s="24" t="str">
        <f t="shared" ca="1" si="6"/>
        <v>Customer057</v>
      </c>
      <c r="F5" s="24" t="str" cm="1">
        <f t="array" aca="1" ref="F5" ca="1">INDEX({"Male","Female"}, RANDBETWEEN(1,2))</f>
        <v>Male</v>
      </c>
      <c r="G5" s="29" t="str">
        <f t="shared" ca="1" si="7"/>
        <v>West</v>
      </c>
      <c r="H5" s="48">
        <f t="shared" ca="1" si="2"/>
        <v>45406</v>
      </c>
      <c r="I5" s="24">
        <f t="shared" ca="1" si="8"/>
        <v>24</v>
      </c>
      <c r="J5" s="46" t="str">
        <f t="shared" ca="1" si="9"/>
        <v>April</v>
      </c>
      <c r="K5" s="24">
        <f t="shared" ca="1" si="10"/>
        <v>2024</v>
      </c>
      <c r="L5" s="24" t="str">
        <f t="shared" ca="1" si="3"/>
        <v>Bronze</v>
      </c>
      <c r="M5" s="24">
        <v>5</v>
      </c>
      <c r="N5" s="24" t="s">
        <v>851</v>
      </c>
      <c r="O5" s="24" t="s">
        <v>838</v>
      </c>
      <c r="P5" s="26">
        <v>211</v>
      </c>
      <c r="Q5" s="26">
        <v>246.86999999999998</v>
      </c>
      <c r="R5" s="24">
        <v>5</v>
      </c>
      <c r="S5" s="24" t="str">
        <f t="shared" si="4"/>
        <v>Jun</v>
      </c>
      <c r="T5" s="46">
        <v>45819</v>
      </c>
      <c r="U5" s="24">
        <v>8</v>
      </c>
      <c r="V5" s="37">
        <v>106</v>
      </c>
      <c r="W5" s="24">
        <v>30</v>
      </c>
      <c r="X5" s="24">
        <v>3</v>
      </c>
      <c r="Y5" s="26">
        <f>combined_tbl!$Q5*(1-combined_tbl!$Z5)</f>
        <v>234.52649999999997</v>
      </c>
      <c r="Z5" s="27">
        <f>IF(combined_tbl!$Q5&gt;=500,0.2, IF(combined_tbl!$Q5&gt;=200,0.05, IF(combined_tbl!$X5&gt;=2,0.05,0)))</f>
        <v>0.05</v>
      </c>
      <c r="AA5" s="26">
        <f>combined_tbl!$Y5*combined_tbl!$X5</f>
        <v>703.57949999999994</v>
      </c>
      <c r="AB5" s="28">
        <f>(combined_tbl!$Q5*(1+combined_tbl!$Z5)-combined_tbl!$P5)*combined_tbl!$X5</f>
        <v>144.64050000000003</v>
      </c>
      <c r="AF5" t="str">
        <f t="shared" ca="1" si="11"/>
        <v>West</v>
      </c>
      <c r="AI5" s="24" t="str">
        <f t="shared" si="0"/>
        <v>Customer005</v>
      </c>
      <c r="AJ5" s="10">
        <f t="shared" ca="1" si="5"/>
        <v>45750</v>
      </c>
    </row>
    <row r="6" spans="1:36" x14ac:dyDescent="0.3">
      <c r="A6" s="29">
        <v>5</v>
      </c>
      <c r="B6" s="25" cm="1">
        <f t="array" aca="1" ref="B6" ca="1">MIN(IF($E:$E=E6,$H:$H))</f>
        <v>45111</v>
      </c>
      <c r="C6" s="25">
        <f t="shared" ca="1" si="1"/>
        <v>29</v>
      </c>
      <c r="D6" s="43">
        <f ca="1">COUNTIF(E:E,combined_tbl!$E6)</f>
        <v>5</v>
      </c>
      <c r="E6" s="29" t="str">
        <f t="shared" ca="1" si="6"/>
        <v>Customer062</v>
      </c>
      <c r="F6" s="29" t="str" cm="1">
        <f t="array" aca="1" ref="F6" ca="1">INDEX({"Male","Female"}, RANDBETWEEN(1,2))</f>
        <v>Male</v>
      </c>
      <c r="G6" s="29" t="str">
        <f t="shared" ca="1" si="7"/>
        <v>South</v>
      </c>
      <c r="H6" s="48">
        <f t="shared" ca="1" si="2"/>
        <v>45111</v>
      </c>
      <c r="I6" s="24">
        <f t="shared" ca="1" si="8"/>
        <v>4</v>
      </c>
      <c r="J6" s="46" t="str">
        <f t="shared" ca="1" si="9"/>
        <v>July</v>
      </c>
      <c r="K6" s="24">
        <f t="shared" ca="1" si="10"/>
        <v>2023</v>
      </c>
      <c r="L6" s="24" t="str">
        <f t="shared" ca="1" si="3"/>
        <v>Silver</v>
      </c>
      <c r="M6" s="29">
        <v>6</v>
      </c>
      <c r="N6" s="29" t="s">
        <v>955</v>
      </c>
      <c r="O6" s="29" t="s">
        <v>840</v>
      </c>
      <c r="P6" s="30">
        <v>86</v>
      </c>
      <c r="Q6" s="30">
        <v>99.759999999999991</v>
      </c>
      <c r="R6" s="29">
        <v>6</v>
      </c>
      <c r="S6" s="24" t="str">
        <f t="shared" si="4"/>
        <v>Jul</v>
      </c>
      <c r="T6" s="47">
        <v>45113</v>
      </c>
      <c r="U6" s="29">
        <v>8</v>
      </c>
      <c r="V6" s="38">
        <v>64</v>
      </c>
      <c r="W6" s="29">
        <v>33</v>
      </c>
      <c r="X6" s="29">
        <v>1</v>
      </c>
      <c r="Y6" s="30">
        <f>combined_tbl!$Q6*(1-combined_tbl!$Z6)</f>
        <v>99.759999999999991</v>
      </c>
      <c r="Z6" s="31">
        <f>IF(combined_tbl!$Q6&gt;=500,0.2, IF(combined_tbl!$Q6&gt;=200,0.05, IF(combined_tbl!$X6&gt;=2,0.05,0)))</f>
        <v>0</v>
      </c>
      <c r="AA6" s="30">
        <f>combined_tbl!$Y6*combined_tbl!$X6</f>
        <v>99.759999999999991</v>
      </c>
      <c r="AB6" s="32">
        <f>(combined_tbl!$Q6*(1+combined_tbl!$Z6)-combined_tbl!$P6)*combined_tbl!$X6</f>
        <v>13.759999999999991</v>
      </c>
      <c r="AF6" t="str">
        <f t="shared" ca="1" si="11"/>
        <v>East</v>
      </c>
      <c r="AI6" s="24" t="str">
        <f t="shared" si="0"/>
        <v>Customer006</v>
      </c>
      <c r="AJ6" s="10">
        <f t="shared" ca="1" si="5"/>
        <v>45787</v>
      </c>
    </row>
    <row r="7" spans="1:36" x14ac:dyDescent="0.3">
      <c r="A7" s="29">
        <v>6</v>
      </c>
      <c r="B7" s="25" cm="1">
        <f t="array" aca="1" ref="B7" ca="1">MIN(IF($E:$E=E7,$H:$H))</f>
        <v>45094</v>
      </c>
      <c r="C7" s="25">
        <f t="shared" ca="1" si="1"/>
        <v>29</v>
      </c>
      <c r="D7" s="42">
        <f ca="1">COUNTIF(E:E,combined_tbl!$E7)</f>
        <v>9</v>
      </c>
      <c r="E7" s="24" t="str">
        <f t="shared" ca="1" si="6"/>
        <v>Customer069</v>
      </c>
      <c r="F7" s="24" t="str" cm="1">
        <f t="array" aca="1" ref="F7" ca="1">INDEX({"Male","Female"}, RANDBETWEEN(1,2))</f>
        <v>Female</v>
      </c>
      <c r="G7" s="29" t="str">
        <f t="shared" ca="1" si="7"/>
        <v>North</v>
      </c>
      <c r="H7" s="48">
        <f t="shared" ca="1" si="2"/>
        <v>45094</v>
      </c>
      <c r="I7" s="24">
        <f t="shared" ca="1" si="8"/>
        <v>17</v>
      </c>
      <c r="J7" s="46" t="str">
        <f t="shared" ca="1" si="9"/>
        <v>June</v>
      </c>
      <c r="K7" s="24">
        <f t="shared" ca="1" si="10"/>
        <v>2023</v>
      </c>
      <c r="L7" s="24" t="str">
        <f t="shared" ca="1" si="3"/>
        <v>Gold</v>
      </c>
      <c r="M7" s="24">
        <v>7</v>
      </c>
      <c r="N7" s="24" t="s">
        <v>954</v>
      </c>
      <c r="O7" s="24" t="s">
        <v>841</v>
      </c>
      <c r="P7" s="26">
        <v>867</v>
      </c>
      <c r="Q7" s="26">
        <v>1283.1600000000001</v>
      </c>
      <c r="R7" s="24">
        <v>7</v>
      </c>
      <c r="S7" s="24" t="str">
        <f t="shared" si="4"/>
        <v>Dec</v>
      </c>
      <c r="T7" s="46">
        <v>45639</v>
      </c>
      <c r="U7" s="24">
        <v>7</v>
      </c>
      <c r="V7" s="37">
        <v>22</v>
      </c>
      <c r="W7" s="24">
        <v>16</v>
      </c>
      <c r="X7" s="24">
        <v>1</v>
      </c>
      <c r="Y7" s="26">
        <f>combined_tbl!$Q7*(1-combined_tbl!$Z7)</f>
        <v>1026.528</v>
      </c>
      <c r="Z7" s="27">
        <f>IF(combined_tbl!$Q7&gt;=500,0.2, IF(combined_tbl!$Q7&gt;=200,0.05, IF(combined_tbl!$X7&gt;=2,0.05,0)))</f>
        <v>0.2</v>
      </c>
      <c r="AA7" s="26">
        <f>combined_tbl!$Y7*combined_tbl!$X7</f>
        <v>1026.528</v>
      </c>
      <c r="AB7" s="28">
        <f>(combined_tbl!$Q7*(1+combined_tbl!$Z7)-combined_tbl!$P7)*combined_tbl!$X7</f>
        <v>672.79200000000014</v>
      </c>
      <c r="AF7" t="str">
        <f t="shared" ca="1" si="11"/>
        <v>North</v>
      </c>
      <c r="AI7" s="24" t="str">
        <f t="shared" si="0"/>
        <v>Customer007</v>
      </c>
      <c r="AJ7" s="10">
        <f t="shared" ca="1" si="5"/>
        <v>45085</v>
      </c>
    </row>
    <row r="8" spans="1:36" x14ac:dyDescent="0.3">
      <c r="A8" s="29">
        <v>7</v>
      </c>
      <c r="B8" s="25" cm="1">
        <f t="array" aca="1" ref="B8" ca="1">MIN(IF($E:$E=E8,$H:$H))</f>
        <v>45587</v>
      </c>
      <c r="C8" s="25">
        <f t="shared" ca="1" si="1"/>
        <v>13</v>
      </c>
      <c r="D8" s="43">
        <f ca="1">COUNTIF(E:E,combined_tbl!$E8)</f>
        <v>2</v>
      </c>
      <c r="E8" s="29" t="str">
        <f t="shared" ca="1" si="6"/>
        <v>Customer120</v>
      </c>
      <c r="F8" s="29" t="str" cm="1">
        <f t="array" aca="1" ref="F8" ca="1">INDEX({"Male","Female"}, RANDBETWEEN(1,2))</f>
        <v>Male</v>
      </c>
      <c r="G8" s="29" t="str">
        <f t="shared" ca="1" si="7"/>
        <v>North</v>
      </c>
      <c r="H8" s="48">
        <f t="shared" ca="1" si="2"/>
        <v>45587</v>
      </c>
      <c r="I8" s="24">
        <f t="shared" ca="1" si="8"/>
        <v>22</v>
      </c>
      <c r="J8" s="46" t="str">
        <f t="shared" ca="1" si="9"/>
        <v>October</v>
      </c>
      <c r="K8" s="24">
        <f t="shared" ca="1" si="10"/>
        <v>2024</v>
      </c>
      <c r="L8" s="24" t="str">
        <f t="shared" ca="1" si="3"/>
        <v>Bronze</v>
      </c>
      <c r="M8" s="29">
        <v>8</v>
      </c>
      <c r="N8" s="29" t="s">
        <v>837</v>
      </c>
      <c r="O8" s="29" t="s">
        <v>842</v>
      </c>
      <c r="P8" s="30">
        <v>56</v>
      </c>
      <c r="Q8" s="30">
        <v>66.08</v>
      </c>
      <c r="R8" s="29">
        <v>8</v>
      </c>
      <c r="S8" s="24" t="str">
        <f t="shared" si="4"/>
        <v>Nov</v>
      </c>
      <c r="T8" s="47">
        <v>45609</v>
      </c>
      <c r="U8" s="29">
        <v>6</v>
      </c>
      <c r="V8" s="38">
        <v>89</v>
      </c>
      <c r="W8" s="29">
        <v>59</v>
      </c>
      <c r="X8" s="29">
        <v>1</v>
      </c>
      <c r="Y8" s="30">
        <f>combined_tbl!$Q8*(1-combined_tbl!$Z8)</f>
        <v>66.08</v>
      </c>
      <c r="Z8" s="31">
        <f>IF(combined_tbl!$Q8&gt;=500,0.2, IF(combined_tbl!$Q8&gt;=200,0.05, IF(combined_tbl!$X8&gt;=2,0.05,0)))</f>
        <v>0</v>
      </c>
      <c r="AA8" s="30">
        <f>combined_tbl!$Y8*combined_tbl!$X8</f>
        <v>66.08</v>
      </c>
      <c r="AB8" s="32">
        <f>(combined_tbl!$Q8*(1+combined_tbl!$Z8)-combined_tbl!$P8)*combined_tbl!$X8</f>
        <v>10.079999999999998</v>
      </c>
      <c r="AF8" t="str">
        <f t="shared" ca="1" si="11"/>
        <v>East</v>
      </c>
      <c r="AI8" s="24" t="str">
        <f t="shared" si="0"/>
        <v>Customer008</v>
      </c>
      <c r="AJ8" s="10">
        <f t="shared" ca="1" si="5"/>
        <v>45115</v>
      </c>
    </row>
    <row r="9" spans="1:36" x14ac:dyDescent="0.3">
      <c r="A9" s="29">
        <v>8</v>
      </c>
      <c r="B9" s="25" cm="1">
        <f t="array" aca="1" ref="B9" ca="1">MIN(IF($E:$E=E9,$H:$H))</f>
        <v>45743</v>
      </c>
      <c r="C9" s="25">
        <f t="shared" ca="1" si="1"/>
        <v>8</v>
      </c>
      <c r="D9" s="42">
        <f ca="1">COUNTIF(E:E,combined_tbl!$E9)</f>
        <v>5</v>
      </c>
      <c r="E9" s="24" t="str">
        <f t="shared" ca="1" si="6"/>
        <v>Customer031</v>
      </c>
      <c r="F9" s="24" t="str" cm="1">
        <f t="array" aca="1" ref="F9" ca="1">INDEX({"Male","Female"}, RANDBETWEEN(1,2))</f>
        <v>Male</v>
      </c>
      <c r="G9" s="29" t="str">
        <f t="shared" ca="1" si="7"/>
        <v>South</v>
      </c>
      <c r="H9" s="48">
        <f t="shared" ca="1" si="2"/>
        <v>45743</v>
      </c>
      <c r="I9" s="24">
        <f t="shared" ca="1" si="8"/>
        <v>27</v>
      </c>
      <c r="J9" s="46" t="str">
        <f t="shared" ca="1" si="9"/>
        <v>March</v>
      </c>
      <c r="K9" s="24">
        <f t="shared" ca="1" si="10"/>
        <v>2025</v>
      </c>
      <c r="L9" s="24" t="str">
        <f t="shared" ca="1" si="3"/>
        <v>Bronze</v>
      </c>
      <c r="M9" s="24">
        <v>9</v>
      </c>
      <c r="N9" s="24" t="s">
        <v>957</v>
      </c>
      <c r="O9" s="24" t="s">
        <v>843</v>
      </c>
      <c r="P9" s="26">
        <v>167</v>
      </c>
      <c r="Q9" s="26">
        <v>240.48</v>
      </c>
      <c r="R9" s="24">
        <v>9</v>
      </c>
      <c r="S9" s="24" t="str">
        <f t="shared" si="4"/>
        <v>Aug</v>
      </c>
      <c r="T9" s="46">
        <v>45141</v>
      </c>
      <c r="U9" s="24">
        <v>3</v>
      </c>
      <c r="V9" s="37">
        <v>50</v>
      </c>
      <c r="W9" s="24">
        <v>30</v>
      </c>
      <c r="X9" s="24">
        <v>1</v>
      </c>
      <c r="Y9" s="26">
        <f>combined_tbl!$Q9*(1-combined_tbl!$Z9)</f>
        <v>228.45599999999999</v>
      </c>
      <c r="Z9" s="27">
        <f>IF(combined_tbl!$Q9&gt;=500,0.2, IF(combined_tbl!$Q9&gt;=200,0.05, IF(combined_tbl!$X9&gt;=2,0.05,0)))</f>
        <v>0.05</v>
      </c>
      <c r="AA9" s="26">
        <f>combined_tbl!$Y9*combined_tbl!$X9</f>
        <v>228.45599999999999</v>
      </c>
      <c r="AB9" s="28">
        <f>(combined_tbl!$Q9*(1+combined_tbl!$Z9)-combined_tbl!$P9)*combined_tbl!$X9</f>
        <v>85.503999999999991</v>
      </c>
      <c r="AF9" t="str">
        <f t="shared" ca="1" si="11"/>
        <v>West</v>
      </c>
      <c r="AI9" s="24" t="str">
        <f t="shared" si="0"/>
        <v>Customer009</v>
      </c>
      <c r="AJ9" s="10">
        <f t="shared" ca="1" si="5"/>
        <v>45761</v>
      </c>
    </row>
    <row r="10" spans="1:36" x14ac:dyDescent="0.3">
      <c r="A10" s="19">
        <v>9</v>
      </c>
      <c r="B10" s="25" cm="1">
        <f t="array" aca="1" ref="B10" ca="1">MIN(IF($E:$E=E10,$H:$H))</f>
        <v>45346</v>
      </c>
      <c r="C10" s="25">
        <f t="shared" ca="1" si="1"/>
        <v>21</v>
      </c>
      <c r="D10" s="43">
        <f ca="1">COUNTIF(E:E,combined_tbl!$E10)</f>
        <v>12</v>
      </c>
      <c r="E10" s="29" t="str">
        <f t="shared" ca="1" si="6"/>
        <v>Customer011</v>
      </c>
      <c r="F10" s="29" t="str" cm="1">
        <f t="array" aca="1" ref="F10" ca="1">INDEX({"Male","Female"}, RANDBETWEEN(1,2))</f>
        <v>Male</v>
      </c>
      <c r="G10" s="29" t="str">
        <f t="shared" ca="1" si="7"/>
        <v>East</v>
      </c>
      <c r="H10" s="48">
        <f t="shared" ca="1" si="2"/>
        <v>45346</v>
      </c>
      <c r="I10" s="24">
        <f t="shared" ca="1" si="8"/>
        <v>24</v>
      </c>
      <c r="J10" s="46" t="str">
        <f t="shared" ca="1" si="9"/>
        <v>February</v>
      </c>
      <c r="K10" s="24">
        <f t="shared" ca="1" si="10"/>
        <v>2024</v>
      </c>
      <c r="L10" s="24" t="str">
        <f t="shared" ca="1" si="3"/>
        <v>Gold</v>
      </c>
      <c r="M10" s="29">
        <v>10</v>
      </c>
      <c r="N10" s="29" t="s">
        <v>872</v>
      </c>
      <c r="O10" s="29" t="s">
        <v>844</v>
      </c>
      <c r="P10" s="30">
        <v>83</v>
      </c>
      <c r="Q10" s="30">
        <v>97.94</v>
      </c>
      <c r="R10" s="29">
        <v>10</v>
      </c>
      <c r="S10" s="24" t="str">
        <f t="shared" si="4"/>
        <v>Nov</v>
      </c>
      <c r="T10" s="47">
        <v>45602</v>
      </c>
      <c r="U10" s="29">
        <v>7</v>
      </c>
      <c r="V10" s="38">
        <v>207</v>
      </c>
      <c r="W10" s="29">
        <v>96</v>
      </c>
      <c r="X10" s="29">
        <v>1</v>
      </c>
      <c r="Y10" s="30">
        <f>combined_tbl!$Q10*(1-combined_tbl!$Z10)</f>
        <v>97.94</v>
      </c>
      <c r="Z10" s="31">
        <f>IF(combined_tbl!$Q10&gt;=500,0.2, IF(combined_tbl!$Q10&gt;=200,0.05, IF(combined_tbl!$X10&gt;=2,0.05,0)))</f>
        <v>0</v>
      </c>
      <c r="AA10" s="30">
        <f>combined_tbl!$Y10*combined_tbl!$X10</f>
        <v>97.94</v>
      </c>
      <c r="AB10" s="32">
        <f>(combined_tbl!$Q10*(1+combined_tbl!$Z10)-combined_tbl!$P10)*combined_tbl!$X10</f>
        <v>14.939999999999998</v>
      </c>
      <c r="AF10" t="str">
        <f t="shared" ca="1" si="11"/>
        <v>East</v>
      </c>
      <c r="AI10" s="24" t="str">
        <f t="shared" si="0"/>
        <v>Customer010</v>
      </c>
      <c r="AJ10" s="10">
        <f t="shared" ca="1" si="5"/>
        <v>45297</v>
      </c>
    </row>
    <row r="11" spans="1:36" x14ac:dyDescent="0.3">
      <c r="A11" s="24">
        <v>10</v>
      </c>
      <c r="B11" s="25" cm="1">
        <f t="array" aca="1" ref="B11" ca="1">MIN(IF($E:$E=E11,$H:$H))</f>
        <v>45115</v>
      </c>
      <c r="C11" s="25">
        <f t="shared" ca="1" si="1"/>
        <v>28</v>
      </c>
      <c r="D11" s="42">
        <f ca="1">COUNTIF(E:E,combined_tbl!$E11)</f>
        <v>8</v>
      </c>
      <c r="E11" s="24" t="str">
        <f t="shared" ca="1" si="6"/>
        <v>Customer008</v>
      </c>
      <c r="F11" s="24" t="str" cm="1">
        <f t="array" aca="1" ref="F11" ca="1">INDEX({"Male","Female"}, RANDBETWEEN(1,2))</f>
        <v>Male</v>
      </c>
      <c r="G11" s="29" t="str">
        <f t="shared" ca="1" si="7"/>
        <v>West</v>
      </c>
      <c r="H11" s="48">
        <f t="shared" ca="1" si="2"/>
        <v>45115</v>
      </c>
      <c r="I11" s="24">
        <f t="shared" ca="1" si="8"/>
        <v>8</v>
      </c>
      <c r="J11" s="46" t="str">
        <f t="shared" ca="1" si="9"/>
        <v>July</v>
      </c>
      <c r="K11" s="24">
        <f t="shared" ca="1" si="10"/>
        <v>2023</v>
      </c>
      <c r="L11" s="24" t="str">
        <f t="shared" ca="1" si="3"/>
        <v>Gold</v>
      </c>
      <c r="M11" s="24">
        <v>11</v>
      </c>
      <c r="N11" s="24" t="s">
        <v>831</v>
      </c>
      <c r="O11" s="24" t="s">
        <v>845</v>
      </c>
      <c r="P11" s="26">
        <v>145</v>
      </c>
      <c r="Q11" s="26">
        <v>210.25</v>
      </c>
      <c r="R11" s="24">
        <v>11</v>
      </c>
      <c r="S11" s="24" t="str">
        <f t="shared" si="4"/>
        <v>Oct</v>
      </c>
      <c r="T11" s="46">
        <v>45941</v>
      </c>
      <c r="U11" s="24">
        <v>5</v>
      </c>
      <c r="V11" s="37">
        <v>80</v>
      </c>
      <c r="W11" s="24">
        <v>48</v>
      </c>
      <c r="X11" s="24">
        <v>1</v>
      </c>
      <c r="Y11" s="26">
        <f>combined_tbl!$Q11*(1-combined_tbl!$Z11)</f>
        <v>199.73749999999998</v>
      </c>
      <c r="Z11" s="27">
        <f>IF(combined_tbl!$Q11&gt;=500,0.2, IF(combined_tbl!$Q11&gt;=200,0.05, IF(combined_tbl!$X11&gt;=2,0.05,0)))</f>
        <v>0.05</v>
      </c>
      <c r="AA11" s="26">
        <f>combined_tbl!$Y11*combined_tbl!$X11</f>
        <v>199.73749999999998</v>
      </c>
      <c r="AB11" s="28">
        <f>(combined_tbl!$Q11*(1+combined_tbl!$Z11)-combined_tbl!$P11)*combined_tbl!$X11</f>
        <v>75.762500000000017</v>
      </c>
      <c r="AF11" t="str">
        <f t="shared" ca="1" si="11"/>
        <v>East</v>
      </c>
      <c r="AI11" s="24" t="str">
        <f t="shared" si="0"/>
        <v>Customer011</v>
      </c>
      <c r="AJ11" s="10">
        <f t="shared" ca="1" si="5"/>
        <v>45346</v>
      </c>
    </row>
    <row r="12" spans="1:36" x14ac:dyDescent="0.3">
      <c r="A12" s="29">
        <v>11</v>
      </c>
      <c r="B12" s="25" cm="1">
        <f t="array" aca="1" ref="B12" ca="1">MIN(IF($E:$E=E12,$H:$H))</f>
        <v>45631</v>
      </c>
      <c r="C12" s="25">
        <f t="shared" ca="1" si="1"/>
        <v>11</v>
      </c>
      <c r="D12" s="43">
        <f ca="1">COUNTIF(E:E,combined_tbl!$E12)</f>
        <v>6</v>
      </c>
      <c r="E12" s="29" t="str">
        <f t="shared" ca="1" si="6"/>
        <v>Customer017</v>
      </c>
      <c r="F12" s="29" t="str" cm="1">
        <f t="array" aca="1" ref="F12" ca="1">INDEX({"Male","Female"}, RANDBETWEEN(1,2))</f>
        <v>Male</v>
      </c>
      <c r="G12" s="29" t="str">
        <f t="shared" ca="1" si="7"/>
        <v>West</v>
      </c>
      <c r="H12" s="48">
        <f t="shared" ca="1" si="2"/>
        <v>45631</v>
      </c>
      <c r="I12" s="24">
        <f t="shared" ca="1" si="8"/>
        <v>5</v>
      </c>
      <c r="J12" s="46" t="str">
        <f t="shared" ca="1" si="9"/>
        <v>December</v>
      </c>
      <c r="K12" s="24">
        <f t="shared" ca="1" si="10"/>
        <v>2024</v>
      </c>
      <c r="L12" s="24" t="str">
        <f t="shared" ca="1" si="3"/>
        <v>Bronze</v>
      </c>
      <c r="M12" s="29">
        <v>12</v>
      </c>
      <c r="N12" s="29" t="s">
        <v>955</v>
      </c>
      <c r="O12" s="29" t="s">
        <v>846</v>
      </c>
      <c r="P12" s="30">
        <v>248</v>
      </c>
      <c r="Q12" s="30">
        <v>342.23999999999995</v>
      </c>
      <c r="R12" s="29">
        <v>12</v>
      </c>
      <c r="S12" s="24" t="str">
        <f t="shared" si="4"/>
        <v>Mar</v>
      </c>
      <c r="T12" s="47">
        <v>45747</v>
      </c>
      <c r="U12" s="29">
        <v>1</v>
      </c>
      <c r="V12" s="38">
        <v>45</v>
      </c>
      <c r="W12" s="29">
        <v>19</v>
      </c>
      <c r="X12" s="29">
        <v>1</v>
      </c>
      <c r="Y12" s="30">
        <f>combined_tbl!$Q12*(1-combined_tbl!$Z12)</f>
        <v>325.12799999999993</v>
      </c>
      <c r="Z12" s="31">
        <f>IF(combined_tbl!$Q12&gt;=500,0.2, IF(combined_tbl!$Q12&gt;=200,0.05, IF(combined_tbl!$X12&gt;=2,0.05,0)))</f>
        <v>0.05</v>
      </c>
      <c r="AA12" s="30">
        <f>combined_tbl!$Y12*combined_tbl!$X12</f>
        <v>325.12799999999993</v>
      </c>
      <c r="AB12" s="32">
        <f>(combined_tbl!$Q12*(1+combined_tbl!$Z12)-combined_tbl!$P12)*combined_tbl!$X12</f>
        <v>111.35199999999998</v>
      </c>
      <c r="AF12" t="str">
        <f t="shared" ca="1" si="11"/>
        <v>East</v>
      </c>
      <c r="AI12" s="24" t="str">
        <f t="shared" si="0"/>
        <v>Customer012</v>
      </c>
      <c r="AJ12" s="10">
        <f t="shared" ca="1" si="5"/>
        <v>45268</v>
      </c>
    </row>
    <row r="13" spans="1:36" x14ac:dyDescent="0.3">
      <c r="A13" s="29">
        <v>12</v>
      </c>
      <c r="B13" s="25" cm="1">
        <f t="array" aca="1" ref="B13" ca="1">MIN(IF($E:$E=E13,$H:$H))</f>
        <v>44960</v>
      </c>
      <c r="C13" s="25">
        <f t="shared" ca="1" si="1"/>
        <v>34</v>
      </c>
      <c r="D13" s="42">
        <f ca="1">COUNTIF(E:E,combined_tbl!$E13)</f>
        <v>6</v>
      </c>
      <c r="E13" s="24" t="str">
        <f t="shared" ca="1" si="6"/>
        <v>Customer042</v>
      </c>
      <c r="F13" s="24" t="str" cm="1">
        <f t="array" aca="1" ref="F13" ca="1">INDEX({"Male","Female"}, RANDBETWEEN(1,2))</f>
        <v>Male</v>
      </c>
      <c r="G13" s="29" t="str">
        <f t="shared" ca="1" si="7"/>
        <v>East</v>
      </c>
      <c r="H13" s="48">
        <f t="shared" ca="1" si="2"/>
        <v>44960</v>
      </c>
      <c r="I13" s="24">
        <f t="shared" ca="1" si="8"/>
        <v>3</v>
      </c>
      <c r="J13" s="46" t="str">
        <f t="shared" ca="1" si="9"/>
        <v>February</v>
      </c>
      <c r="K13" s="24">
        <f t="shared" ca="1" si="10"/>
        <v>2023</v>
      </c>
      <c r="L13" s="24" t="str">
        <f t="shared" ca="1" si="3"/>
        <v>Silver</v>
      </c>
      <c r="M13" s="24">
        <v>13</v>
      </c>
      <c r="N13" s="24" t="s">
        <v>954</v>
      </c>
      <c r="O13" s="24" t="s">
        <v>848</v>
      </c>
      <c r="P13" s="26">
        <v>637</v>
      </c>
      <c r="Q13" s="26">
        <v>777.14</v>
      </c>
      <c r="R13" s="24">
        <v>13</v>
      </c>
      <c r="S13" s="24" t="str">
        <f t="shared" si="4"/>
        <v>Jul</v>
      </c>
      <c r="T13" s="46">
        <v>45858</v>
      </c>
      <c r="U13" s="24">
        <v>2</v>
      </c>
      <c r="V13" s="37">
        <v>177</v>
      </c>
      <c r="W13" s="24">
        <v>26</v>
      </c>
      <c r="X13" s="24">
        <v>2</v>
      </c>
      <c r="Y13" s="26">
        <f>combined_tbl!$Q13*(1-combined_tbl!$Z13)</f>
        <v>621.71199999999999</v>
      </c>
      <c r="Z13" s="27">
        <f>IF(combined_tbl!$Q13&gt;=500,0.2, IF(combined_tbl!$Q13&gt;=200,0.05, IF(combined_tbl!$X13&gt;=2,0.05,0)))</f>
        <v>0.2</v>
      </c>
      <c r="AA13" s="26">
        <f>combined_tbl!$Y13*combined_tbl!$X13</f>
        <v>1243.424</v>
      </c>
      <c r="AB13" s="28">
        <f>(combined_tbl!$Q13*(1+combined_tbl!$Z13)-combined_tbl!$P13)*combined_tbl!$X13</f>
        <v>591.13599999999997</v>
      </c>
      <c r="AF13" t="str">
        <f t="shared" ca="1" si="11"/>
        <v>East</v>
      </c>
      <c r="AI13" s="24" t="str">
        <f t="shared" si="0"/>
        <v>Customer013</v>
      </c>
      <c r="AJ13" s="10">
        <f t="shared" ca="1" si="5"/>
        <v>45995</v>
      </c>
    </row>
    <row r="14" spans="1:36" x14ac:dyDescent="0.3">
      <c r="A14" s="29">
        <v>13</v>
      </c>
      <c r="B14" s="25" cm="1">
        <f t="array" aca="1" ref="B14" ca="1">MIN(IF($E:$E=E14,$H:$H))</f>
        <v>45495</v>
      </c>
      <c r="C14" s="25">
        <f t="shared" ca="1" si="1"/>
        <v>16</v>
      </c>
      <c r="D14" s="43">
        <f ca="1">COUNTIF(E:E,combined_tbl!$E14)</f>
        <v>8</v>
      </c>
      <c r="E14" s="29" t="str">
        <f t="shared" ca="1" si="6"/>
        <v>Customer003</v>
      </c>
      <c r="F14" s="29" t="str" cm="1">
        <f t="array" aca="1" ref="F14" ca="1">INDEX({"Male","Female"}, RANDBETWEEN(1,2))</f>
        <v>Male</v>
      </c>
      <c r="G14" s="29" t="str">
        <f t="shared" ca="1" si="7"/>
        <v>East</v>
      </c>
      <c r="H14" s="48">
        <f t="shared" ca="1" si="2"/>
        <v>45495</v>
      </c>
      <c r="I14" s="24">
        <f t="shared" ca="1" si="8"/>
        <v>22</v>
      </c>
      <c r="J14" s="46" t="str">
        <f t="shared" ca="1" si="9"/>
        <v>July</v>
      </c>
      <c r="K14" s="24">
        <f t="shared" ca="1" si="10"/>
        <v>2024</v>
      </c>
      <c r="L14" s="24" t="str">
        <f t="shared" ca="1" si="3"/>
        <v>Silver</v>
      </c>
      <c r="M14" s="29">
        <v>14</v>
      </c>
      <c r="N14" s="29" t="s">
        <v>847</v>
      </c>
      <c r="O14" s="29" t="s">
        <v>849</v>
      </c>
      <c r="P14" s="30">
        <v>29</v>
      </c>
      <c r="Q14" s="30">
        <v>37.700000000000003</v>
      </c>
      <c r="R14" s="29">
        <v>14</v>
      </c>
      <c r="S14" s="24" t="str">
        <f t="shared" si="4"/>
        <v>Oct</v>
      </c>
      <c r="T14" s="47">
        <v>45571</v>
      </c>
      <c r="U14" s="29">
        <v>5</v>
      </c>
      <c r="V14" s="38">
        <v>172</v>
      </c>
      <c r="W14" s="29">
        <v>66</v>
      </c>
      <c r="X14" s="29">
        <v>2</v>
      </c>
      <c r="Y14" s="30">
        <f>combined_tbl!$Q14*(1-combined_tbl!$Z14)</f>
        <v>35.814999999999998</v>
      </c>
      <c r="Z14" s="31">
        <f>IF(combined_tbl!$Q14&gt;=500,0.2, IF(combined_tbl!$Q14&gt;=200,0.05, IF(combined_tbl!$X14&gt;=2,0.05,0)))</f>
        <v>0.05</v>
      </c>
      <c r="AA14" s="30">
        <f>combined_tbl!$Y14*combined_tbl!$X14</f>
        <v>71.63</v>
      </c>
      <c r="AB14" s="32">
        <f>(combined_tbl!$Q14*(1+combined_tbl!$Z14)-combined_tbl!$P14)*combined_tbl!$X14</f>
        <v>21.170000000000016</v>
      </c>
      <c r="AF14" t="str">
        <f t="shared" ca="1" si="11"/>
        <v>North</v>
      </c>
      <c r="AI14" s="24" t="str">
        <f t="shared" si="0"/>
        <v>Customer014</v>
      </c>
      <c r="AJ14" s="10">
        <f t="shared" ca="1" si="5"/>
        <v>45103</v>
      </c>
    </row>
    <row r="15" spans="1:36" x14ac:dyDescent="0.3">
      <c r="A15" s="29">
        <v>14</v>
      </c>
      <c r="B15" s="25" cm="1">
        <f t="array" aca="1" ref="B15" ca="1">MIN(IF($E:$E=E15,$H:$H))</f>
        <v>45083</v>
      </c>
      <c r="C15" s="25">
        <f t="shared" ca="1" si="1"/>
        <v>29</v>
      </c>
      <c r="D15" s="42">
        <f ca="1">COUNTIF(E:E,combined_tbl!$E15)</f>
        <v>3</v>
      </c>
      <c r="E15" s="24" t="str">
        <f t="shared" ca="1" si="6"/>
        <v>Customer075</v>
      </c>
      <c r="F15" s="24" t="str" cm="1">
        <f t="array" aca="1" ref="F15" ca="1">INDEX({"Male","Female"}, RANDBETWEEN(1,2))</f>
        <v>Female</v>
      </c>
      <c r="G15" s="29" t="str">
        <f t="shared" ca="1" si="7"/>
        <v>West</v>
      </c>
      <c r="H15" s="48">
        <f t="shared" ca="1" si="2"/>
        <v>45083</v>
      </c>
      <c r="I15" s="24">
        <f t="shared" ca="1" si="8"/>
        <v>6</v>
      </c>
      <c r="J15" s="46" t="str">
        <f t="shared" ca="1" si="9"/>
        <v>June</v>
      </c>
      <c r="K15" s="24">
        <f t="shared" ca="1" si="10"/>
        <v>2023</v>
      </c>
      <c r="L15" s="24" t="str">
        <f t="shared" ca="1" si="3"/>
        <v>Silver</v>
      </c>
      <c r="M15" s="24">
        <v>15</v>
      </c>
      <c r="N15" s="24" t="s">
        <v>957</v>
      </c>
      <c r="O15" s="24" t="s">
        <v>850</v>
      </c>
      <c r="P15" s="26">
        <v>158</v>
      </c>
      <c r="Q15" s="26">
        <v>186.44</v>
      </c>
      <c r="R15" s="24">
        <v>15</v>
      </c>
      <c r="S15" s="24" t="str">
        <f t="shared" si="4"/>
        <v>Oct</v>
      </c>
      <c r="T15" s="46">
        <v>45589</v>
      </c>
      <c r="U15" s="24">
        <v>2</v>
      </c>
      <c r="V15" s="37">
        <v>152</v>
      </c>
      <c r="W15" s="24">
        <v>26</v>
      </c>
      <c r="X15" s="24">
        <v>1</v>
      </c>
      <c r="Y15" s="26">
        <f>combined_tbl!$Q15*(1-combined_tbl!$Z15)</f>
        <v>186.44</v>
      </c>
      <c r="Z15" s="27">
        <f>IF(combined_tbl!$Q15&gt;=500,0.2, IF(combined_tbl!$Q15&gt;=200,0.05, IF(combined_tbl!$X15&gt;=2,0.05,0)))</f>
        <v>0</v>
      </c>
      <c r="AA15" s="26">
        <f>combined_tbl!$Y15*combined_tbl!$X15</f>
        <v>186.44</v>
      </c>
      <c r="AB15" s="28">
        <f>(combined_tbl!$Q15*(1+combined_tbl!$Z15)-combined_tbl!$P15)*combined_tbl!$X15</f>
        <v>28.439999999999998</v>
      </c>
      <c r="AF15" t="str">
        <f t="shared" ca="1" si="11"/>
        <v>West</v>
      </c>
      <c r="AI15" s="24" t="str">
        <f t="shared" si="0"/>
        <v>Customer015</v>
      </c>
      <c r="AJ15" s="10">
        <f t="shared" ca="1" si="5"/>
        <v>44976</v>
      </c>
    </row>
    <row r="16" spans="1:36" x14ac:dyDescent="0.3">
      <c r="A16" s="29">
        <v>15</v>
      </c>
      <c r="B16" s="25" cm="1">
        <f t="array" aca="1" ref="B16" ca="1">MIN(IF($E:$E=E16,$H:$H))</f>
        <v>45268</v>
      </c>
      <c r="C16" s="25">
        <f t="shared" ca="1" si="1"/>
        <v>23</v>
      </c>
      <c r="D16" s="43">
        <f ca="1">COUNTIF(E:E,combined_tbl!$E16)</f>
        <v>9</v>
      </c>
      <c r="E16" s="29" t="str">
        <f t="shared" ca="1" si="6"/>
        <v>Customer012</v>
      </c>
      <c r="F16" s="29" t="str" cm="1">
        <f t="array" aca="1" ref="F16" ca="1">INDEX({"Male","Female"}, RANDBETWEEN(1,2))</f>
        <v>Male</v>
      </c>
      <c r="G16" s="29" t="str">
        <f t="shared" ca="1" si="7"/>
        <v>East</v>
      </c>
      <c r="H16" s="48">
        <f t="shared" ca="1" si="2"/>
        <v>45268</v>
      </c>
      <c r="I16" s="24">
        <f t="shared" ca="1" si="8"/>
        <v>8</v>
      </c>
      <c r="J16" s="46" t="str">
        <f t="shared" ca="1" si="9"/>
        <v>December</v>
      </c>
      <c r="K16" s="24">
        <f t="shared" ca="1" si="10"/>
        <v>2023</v>
      </c>
      <c r="L16" s="24" t="str">
        <f t="shared" ca="1" si="3"/>
        <v>Gold</v>
      </c>
      <c r="M16" s="29">
        <v>16</v>
      </c>
      <c r="N16" s="29" t="s">
        <v>1359</v>
      </c>
      <c r="O16" s="29" t="s">
        <v>852</v>
      </c>
      <c r="P16" s="30">
        <v>640</v>
      </c>
      <c r="Q16" s="30">
        <v>768</v>
      </c>
      <c r="R16" s="29">
        <v>16</v>
      </c>
      <c r="S16" s="24" t="str">
        <f t="shared" si="4"/>
        <v>Apr</v>
      </c>
      <c r="T16" s="47">
        <v>45754</v>
      </c>
      <c r="U16" s="29">
        <v>1</v>
      </c>
      <c r="V16" s="38">
        <v>203</v>
      </c>
      <c r="W16" s="29">
        <v>26</v>
      </c>
      <c r="X16" s="29">
        <v>1</v>
      </c>
      <c r="Y16" s="30">
        <f>combined_tbl!$Q16*(1-combined_tbl!$Z16)</f>
        <v>614.40000000000009</v>
      </c>
      <c r="Z16" s="31">
        <f>IF(combined_tbl!$Q16&gt;=500,0.2, IF(combined_tbl!$Q16&gt;=200,0.05, IF(combined_tbl!$X16&gt;=2,0.05,0)))</f>
        <v>0.2</v>
      </c>
      <c r="AA16" s="30">
        <f>combined_tbl!$Y16*combined_tbl!$X16</f>
        <v>614.40000000000009</v>
      </c>
      <c r="AB16" s="32">
        <f>(combined_tbl!$Q16*(1+combined_tbl!$Z16)-combined_tbl!$P16)*combined_tbl!$X16</f>
        <v>281.59999999999991</v>
      </c>
      <c r="AF16" t="str">
        <f t="shared" ca="1" si="11"/>
        <v>East</v>
      </c>
      <c r="AI16" s="24" t="str">
        <f t="shared" si="0"/>
        <v>Customer016</v>
      </c>
      <c r="AJ16" s="10">
        <f t="shared" ca="1" si="5"/>
        <v>45744</v>
      </c>
    </row>
    <row r="17" spans="1:36" x14ac:dyDescent="0.3">
      <c r="A17" s="29">
        <v>16</v>
      </c>
      <c r="B17" s="25" cm="1">
        <f t="array" aca="1" ref="B17" ca="1">MIN(IF($E:$E=E17,$H:$H))</f>
        <v>44939</v>
      </c>
      <c r="C17" s="25">
        <f t="shared" ca="1" si="1"/>
        <v>34</v>
      </c>
      <c r="D17" s="42">
        <f ca="1">COUNTIF(E:E,combined_tbl!$E17)</f>
        <v>4</v>
      </c>
      <c r="E17" s="24" t="str">
        <f t="shared" ca="1" si="6"/>
        <v>Customer079</v>
      </c>
      <c r="F17" s="24" t="str" cm="1">
        <f t="array" aca="1" ref="F17" ca="1">INDEX({"Male","Female"}, RANDBETWEEN(1,2))</f>
        <v>Female</v>
      </c>
      <c r="G17" s="29" t="str">
        <f t="shared" ca="1" si="7"/>
        <v>South</v>
      </c>
      <c r="H17" s="48">
        <f t="shared" ca="1" si="2"/>
        <v>44939</v>
      </c>
      <c r="I17" s="24">
        <f t="shared" ca="1" si="8"/>
        <v>13</v>
      </c>
      <c r="J17" s="46" t="str">
        <f t="shared" ca="1" si="9"/>
        <v>January</v>
      </c>
      <c r="K17" s="24">
        <f t="shared" ca="1" si="10"/>
        <v>2023</v>
      </c>
      <c r="L17" s="24" t="str">
        <f t="shared" ca="1" si="3"/>
        <v>Silver</v>
      </c>
      <c r="M17" s="24">
        <v>17</v>
      </c>
      <c r="N17" s="24" t="s">
        <v>872</v>
      </c>
      <c r="O17" s="24" t="s">
        <v>853</v>
      </c>
      <c r="P17" s="26">
        <v>109</v>
      </c>
      <c r="Q17" s="26">
        <v>153.69</v>
      </c>
      <c r="R17" s="24">
        <v>17</v>
      </c>
      <c r="S17" s="24" t="str">
        <f t="shared" si="4"/>
        <v>Aug</v>
      </c>
      <c r="T17" s="46">
        <v>45873</v>
      </c>
      <c r="U17" s="24">
        <v>7</v>
      </c>
      <c r="V17" s="37">
        <v>40</v>
      </c>
      <c r="W17" s="24">
        <v>26</v>
      </c>
      <c r="X17" s="24">
        <v>1</v>
      </c>
      <c r="Y17" s="26">
        <f>combined_tbl!$Q17*(1-combined_tbl!$Z17)</f>
        <v>153.69</v>
      </c>
      <c r="Z17" s="27">
        <f>IF(combined_tbl!$Q17&gt;=500,0.2, IF(combined_tbl!$Q17&gt;=200,0.05, IF(combined_tbl!$X17&gt;=2,0.05,0)))</f>
        <v>0</v>
      </c>
      <c r="AA17" s="26">
        <f>combined_tbl!$Y17*combined_tbl!$X17</f>
        <v>153.69</v>
      </c>
      <c r="AB17" s="28">
        <f>(combined_tbl!$Q17*(1+combined_tbl!$Z17)-combined_tbl!$P17)*combined_tbl!$X17</f>
        <v>44.69</v>
      </c>
      <c r="AF17" t="str">
        <f t="shared" ca="1" si="11"/>
        <v>North</v>
      </c>
      <c r="AI17" s="24" t="str">
        <f t="shared" si="0"/>
        <v>Customer017</v>
      </c>
      <c r="AJ17" s="10">
        <f t="shared" ca="1" si="5"/>
        <v>45631</v>
      </c>
    </row>
    <row r="18" spans="1:36" x14ac:dyDescent="0.3">
      <c r="A18" s="19">
        <v>17</v>
      </c>
      <c r="B18" s="25" cm="1">
        <f t="array" aca="1" ref="B18" ca="1">MIN(IF($E:$E=E18,$H:$H))</f>
        <v>45955</v>
      </c>
      <c r="C18" s="25">
        <f t="shared" ca="1" si="1"/>
        <v>1</v>
      </c>
      <c r="D18" s="43">
        <f ca="1">COUNTIF(E:E,combined_tbl!$E18)</f>
        <v>9</v>
      </c>
      <c r="E18" s="29" t="str">
        <f t="shared" ca="1" si="6"/>
        <v>Customer080</v>
      </c>
      <c r="F18" s="29" t="str" cm="1">
        <f t="array" aca="1" ref="F18" ca="1">INDEX({"Male","Female"}, RANDBETWEEN(1,2))</f>
        <v>Female</v>
      </c>
      <c r="G18" s="29" t="str">
        <f t="shared" ca="1" si="7"/>
        <v>West</v>
      </c>
      <c r="H18" s="48">
        <f t="shared" ca="1" si="2"/>
        <v>45955</v>
      </c>
      <c r="I18" s="24">
        <f t="shared" ca="1" si="8"/>
        <v>25</v>
      </c>
      <c r="J18" s="46" t="str">
        <f t="shared" ca="1" si="9"/>
        <v>October</v>
      </c>
      <c r="K18" s="24">
        <f t="shared" ca="1" si="10"/>
        <v>2025</v>
      </c>
      <c r="L18" s="24" t="str">
        <f t="shared" ca="1" si="3"/>
        <v>Bronze</v>
      </c>
      <c r="M18" s="29">
        <v>18</v>
      </c>
      <c r="N18" s="29" t="s">
        <v>1359</v>
      </c>
      <c r="O18" s="29" t="s">
        <v>854</v>
      </c>
      <c r="P18" s="30">
        <v>468</v>
      </c>
      <c r="Q18" s="30">
        <v>533.5200000000001</v>
      </c>
      <c r="R18" s="29">
        <v>18</v>
      </c>
      <c r="S18" s="24" t="str">
        <f t="shared" si="4"/>
        <v>Apr</v>
      </c>
      <c r="T18" s="47">
        <v>45038</v>
      </c>
      <c r="U18" s="29">
        <v>4</v>
      </c>
      <c r="V18" s="38">
        <v>3</v>
      </c>
      <c r="W18" s="29">
        <v>47</v>
      </c>
      <c r="X18" s="29">
        <v>1</v>
      </c>
      <c r="Y18" s="30">
        <f>combined_tbl!$Q18*(1-combined_tbl!$Z18)</f>
        <v>426.81600000000009</v>
      </c>
      <c r="Z18" s="31">
        <f>IF(combined_tbl!$Q18&gt;=500,0.2, IF(combined_tbl!$Q18&gt;=200,0.05, IF(combined_tbl!$X18&gt;=2,0.05,0)))</f>
        <v>0.2</v>
      </c>
      <c r="AA18" s="30">
        <f>combined_tbl!$Y18*combined_tbl!$X18</f>
        <v>426.81600000000009</v>
      </c>
      <c r="AB18" s="32">
        <f>(combined_tbl!$Q18*(1+combined_tbl!$Z18)-combined_tbl!$P18)*combined_tbl!$X18</f>
        <v>172.22400000000005</v>
      </c>
      <c r="AF18" t="str">
        <f t="shared" ca="1" si="11"/>
        <v>West</v>
      </c>
      <c r="AI18" s="24" t="str">
        <f t="shared" si="0"/>
        <v>Customer018</v>
      </c>
      <c r="AJ18" s="10">
        <f t="shared" ca="1" si="5"/>
        <v>45439</v>
      </c>
    </row>
    <row r="19" spans="1:36" x14ac:dyDescent="0.3">
      <c r="A19" s="24">
        <v>18</v>
      </c>
      <c r="B19" s="25" cm="1">
        <f t="array" aca="1" ref="B19" ca="1">MIN(IF($E:$E=E19,$H:$H))</f>
        <v>45812</v>
      </c>
      <c r="C19" s="25">
        <f t="shared" ca="1" si="1"/>
        <v>6</v>
      </c>
      <c r="D19" s="42">
        <f ca="1">COUNTIF(E:E,combined_tbl!$E19)</f>
        <v>10</v>
      </c>
      <c r="E19" s="24" t="str">
        <f t="shared" ca="1" si="6"/>
        <v>Customer026</v>
      </c>
      <c r="F19" s="24" t="str" cm="1">
        <f t="array" aca="1" ref="F19" ca="1">INDEX({"Male","Female"}, RANDBETWEEN(1,2))</f>
        <v>Female</v>
      </c>
      <c r="G19" s="29" t="str">
        <f t="shared" ca="1" si="7"/>
        <v>North</v>
      </c>
      <c r="H19" s="48">
        <f t="shared" ca="1" si="2"/>
        <v>45812</v>
      </c>
      <c r="I19" s="24">
        <f t="shared" ca="1" si="8"/>
        <v>4</v>
      </c>
      <c r="J19" s="46" t="str">
        <f t="shared" ca="1" si="9"/>
        <v>June</v>
      </c>
      <c r="K19" s="24">
        <f t="shared" ca="1" si="10"/>
        <v>2025</v>
      </c>
      <c r="L19" s="24" t="str">
        <f t="shared" ca="1" si="3"/>
        <v>Bronze</v>
      </c>
      <c r="M19" s="24">
        <v>19</v>
      </c>
      <c r="N19" s="24" t="s">
        <v>851</v>
      </c>
      <c r="O19" s="24" t="s">
        <v>855</v>
      </c>
      <c r="P19" s="26">
        <v>68</v>
      </c>
      <c r="Q19" s="26">
        <v>95.88</v>
      </c>
      <c r="R19" s="24">
        <v>19</v>
      </c>
      <c r="S19" s="24" t="str">
        <f t="shared" si="4"/>
        <v>Jan</v>
      </c>
      <c r="T19" s="46">
        <v>45667</v>
      </c>
      <c r="U19" s="24">
        <v>8</v>
      </c>
      <c r="V19" s="37">
        <v>32</v>
      </c>
      <c r="W19" s="24">
        <v>81</v>
      </c>
      <c r="X19" s="24">
        <v>1</v>
      </c>
      <c r="Y19" s="26">
        <f>combined_tbl!$Q19*(1-combined_tbl!$Z19)</f>
        <v>95.88</v>
      </c>
      <c r="Z19" s="27">
        <f>IF(combined_tbl!$Q19&gt;=500,0.2, IF(combined_tbl!$Q19&gt;=200,0.05, IF(combined_tbl!$X19&gt;=2,0.05,0)))</f>
        <v>0</v>
      </c>
      <c r="AA19" s="26">
        <f>combined_tbl!$Y19*combined_tbl!$X19</f>
        <v>95.88</v>
      </c>
      <c r="AB19" s="28">
        <f>(combined_tbl!$Q19*(1+combined_tbl!$Z19)-combined_tbl!$P19)*combined_tbl!$X19</f>
        <v>27.879999999999995</v>
      </c>
      <c r="AF19" t="str">
        <f t="shared" ca="1" si="11"/>
        <v>East</v>
      </c>
      <c r="AI19" s="24" t="str">
        <f t="shared" si="0"/>
        <v>Customer019</v>
      </c>
      <c r="AJ19" s="10">
        <f t="shared" ca="1" si="5"/>
        <v>45809</v>
      </c>
    </row>
    <row r="20" spans="1:36" x14ac:dyDescent="0.3">
      <c r="A20" s="29">
        <v>19</v>
      </c>
      <c r="B20" s="25" cm="1">
        <f t="array" aca="1" ref="B20" ca="1">MIN(IF($E:$E=E20,$H:$H))</f>
        <v>45918</v>
      </c>
      <c r="C20" s="25">
        <f t="shared" ca="1" si="1"/>
        <v>2</v>
      </c>
      <c r="D20" s="43">
        <f ca="1">COUNTIF(E:E,combined_tbl!$E20)</f>
        <v>1</v>
      </c>
      <c r="E20" s="29" t="str">
        <f t="shared" ca="1" si="6"/>
        <v>Customer097</v>
      </c>
      <c r="F20" s="29" t="str" cm="1">
        <f t="array" aca="1" ref="F20" ca="1">INDEX({"Male","Female"}, RANDBETWEEN(1,2))</f>
        <v>Female</v>
      </c>
      <c r="G20" s="29" t="str">
        <f t="shared" ca="1" si="7"/>
        <v>West</v>
      </c>
      <c r="H20" s="48">
        <f t="shared" ca="1" si="2"/>
        <v>45918</v>
      </c>
      <c r="I20" s="24">
        <f t="shared" ca="1" si="8"/>
        <v>18</v>
      </c>
      <c r="J20" s="46" t="str">
        <f t="shared" ca="1" si="9"/>
        <v>September</v>
      </c>
      <c r="K20" s="24">
        <f t="shared" ca="1" si="10"/>
        <v>2025</v>
      </c>
      <c r="L20" s="24" t="str">
        <f t="shared" ca="1" si="3"/>
        <v>Bronze</v>
      </c>
      <c r="M20" s="29">
        <v>20</v>
      </c>
      <c r="N20" s="29" t="s">
        <v>957</v>
      </c>
      <c r="O20" s="29" t="s">
        <v>856</v>
      </c>
      <c r="P20" s="30">
        <v>126</v>
      </c>
      <c r="Q20" s="30">
        <v>161.28</v>
      </c>
      <c r="R20" s="29">
        <v>20</v>
      </c>
      <c r="S20" s="24" t="str">
        <f t="shared" si="4"/>
        <v>Jun</v>
      </c>
      <c r="T20" s="47">
        <v>45832</v>
      </c>
      <c r="U20" s="29">
        <v>1</v>
      </c>
      <c r="V20" s="38">
        <v>60</v>
      </c>
      <c r="W20" s="29">
        <v>71</v>
      </c>
      <c r="X20" s="29">
        <v>1</v>
      </c>
      <c r="Y20" s="30">
        <f>combined_tbl!$Q20*(1-combined_tbl!$Z20)</f>
        <v>161.28</v>
      </c>
      <c r="Z20" s="31">
        <f>IF(combined_tbl!$Q20&gt;=500,0.2, IF(combined_tbl!$Q20&gt;=200,0.05, IF(combined_tbl!$X20&gt;=2,0.05,0)))</f>
        <v>0</v>
      </c>
      <c r="AA20" s="30">
        <f>combined_tbl!$Y20*combined_tbl!$X20</f>
        <v>161.28</v>
      </c>
      <c r="AB20" s="32">
        <f>(combined_tbl!$Q20*(1+combined_tbl!$Z20)-combined_tbl!$P20)*combined_tbl!$X20</f>
        <v>35.28</v>
      </c>
      <c r="AF20" t="str">
        <f t="shared" ca="1" si="11"/>
        <v>North</v>
      </c>
      <c r="AI20" s="24" t="str">
        <f t="shared" si="0"/>
        <v>Customer020</v>
      </c>
      <c r="AJ20" s="10">
        <f t="shared" ca="1" si="5"/>
        <v>44992</v>
      </c>
    </row>
    <row r="21" spans="1:36" x14ac:dyDescent="0.3">
      <c r="A21" s="29">
        <v>20</v>
      </c>
      <c r="B21" s="25" cm="1">
        <f t="array" aca="1" ref="B21" ca="1">MIN(IF($E:$E=E21,$H:$H))</f>
        <v>45085</v>
      </c>
      <c r="C21" s="25">
        <f t="shared" ca="1" si="1"/>
        <v>29</v>
      </c>
      <c r="D21" s="42">
        <f ca="1">COUNTIF(E:E,combined_tbl!$E21)</f>
        <v>10</v>
      </c>
      <c r="E21" s="24" t="str">
        <f t="shared" ca="1" si="6"/>
        <v>Customer007</v>
      </c>
      <c r="F21" s="24" t="str" cm="1">
        <f t="array" aca="1" ref="F21" ca="1">INDEX({"Male","Female"}, RANDBETWEEN(1,2))</f>
        <v>Male</v>
      </c>
      <c r="G21" s="29" t="str">
        <f t="shared" ca="1" si="7"/>
        <v>East</v>
      </c>
      <c r="H21" s="48">
        <f t="shared" ca="1" si="2"/>
        <v>45085</v>
      </c>
      <c r="I21" s="24">
        <f t="shared" ca="1" si="8"/>
        <v>8</v>
      </c>
      <c r="J21" s="46" t="str">
        <f t="shared" ca="1" si="9"/>
        <v>June</v>
      </c>
      <c r="K21" s="24">
        <f t="shared" ca="1" si="10"/>
        <v>2023</v>
      </c>
      <c r="L21" s="24" t="str">
        <f t="shared" ca="1" si="3"/>
        <v>Platinum</v>
      </c>
      <c r="M21" s="24">
        <v>21</v>
      </c>
      <c r="N21" s="24" t="s">
        <v>955</v>
      </c>
      <c r="O21" s="24" t="s">
        <v>857</v>
      </c>
      <c r="P21" s="26">
        <v>396</v>
      </c>
      <c r="Q21" s="26">
        <v>590.04</v>
      </c>
      <c r="R21" s="24">
        <v>21</v>
      </c>
      <c r="S21" s="24" t="str">
        <f t="shared" si="4"/>
        <v>Feb</v>
      </c>
      <c r="T21" s="46">
        <v>45343</v>
      </c>
      <c r="U21" s="24">
        <v>5</v>
      </c>
      <c r="V21" s="37">
        <v>144</v>
      </c>
      <c r="W21" s="24">
        <v>58</v>
      </c>
      <c r="X21" s="24">
        <v>1</v>
      </c>
      <c r="Y21" s="26">
        <f>combined_tbl!$Q21*(1-combined_tbl!$Z21)</f>
        <v>472.03199999999998</v>
      </c>
      <c r="Z21" s="27">
        <f>IF(combined_tbl!$Q21&gt;=500,0.2, IF(combined_tbl!$Q21&gt;=200,0.05, IF(combined_tbl!$X21&gt;=2,0.05,0)))</f>
        <v>0.2</v>
      </c>
      <c r="AA21" s="26">
        <f>combined_tbl!$Y21*combined_tbl!$X21</f>
        <v>472.03199999999998</v>
      </c>
      <c r="AB21" s="28">
        <f>(combined_tbl!$Q21*(1+combined_tbl!$Z21)-combined_tbl!$P21)*combined_tbl!$X21</f>
        <v>312.04799999999989</v>
      </c>
      <c r="AF21" t="str">
        <f t="shared" ca="1" si="11"/>
        <v>South</v>
      </c>
      <c r="AI21" s="24" t="str">
        <f t="shared" si="0"/>
        <v>Customer021</v>
      </c>
      <c r="AJ21" s="10">
        <f t="shared" ca="1" si="5"/>
        <v>45560</v>
      </c>
    </row>
    <row r="22" spans="1:36" x14ac:dyDescent="0.3">
      <c r="A22" s="29">
        <v>21</v>
      </c>
      <c r="B22" s="25" cm="1">
        <f t="array" aca="1" ref="B22" ca="1">MIN(IF($E:$E=E22,$H:$H))</f>
        <v>45205</v>
      </c>
      <c r="C22" s="25">
        <f t="shared" ca="1" si="1"/>
        <v>25</v>
      </c>
      <c r="D22" s="43">
        <f ca="1">COUNTIF(E:E,combined_tbl!$E22)</f>
        <v>5</v>
      </c>
      <c r="E22" s="29" t="str">
        <f t="shared" ca="1" si="6"/>
        <v>Customer051</v>
      </c>
      <c r="F22" s="29" t="str" cm="1">
        <f t="array" aca="1" ref="F22" ca="1">INDEX({"Male","Female"}, RANDBETWEEN(1,2))</f>
        <v>Male</v>
      </c>
      <c r="G22" s="29" t="str">
        <f t="shared" ca="1" si="7"/>
        <v>East</v>
      </c>
      <c r="H22" s="48">
        <f t="shared" ca="1" si="2"/>
        <v>45205</v>
      </c>
      <c r="I22" s="24">
        <f t="shared" ca="1" si="8"/>
        <v>6</v>
      </c>
      <c r="J22" s="46" t="str">
        <f t="shared" ca="1" si="9"/>
        <v>October</v>
      </c>
      <c r="K22" s="24">
        <f t="shared" ca="1" si="10"/>
        <v>2023</v>
      </c>
      <c r="L22" s="24" t="str">
        <f t="shared" ca="1" si="3"/>
        <v>Silver</v>
      </c>
      <c r="M22" s="29">
        <v>22</v>
      </c>
      <c r="N22" s="29" t="s">
        <v>837</v>
      </c>
      <c r="O22" s="29" t="s">
        <v>858</v>
      </c>
      <c r="P22" s="30">
        <v>190</v>
      </c>
      <c r="Q22" s="30">
        <v>245.1</v>
      </c>
      <c r="R22" s="29">
        <v>22</v>
      </c>
      <c r="S22" s="24" t="str">
        <f t="shared" si="4"/>
        <v>Sep</v>
      </c>
      <c r="T22" s="47">
        <v>45195</v>
      </c>
      <c r="U22" s="29">
        <v>5</v>
      </c>
      <c r="V22" s="38">
        <v>21</v>
      </c>
      <c r="W22" s="29">
        <v>61</v>
      </c>
      <c r="X22" s="29">
        <v>1</v>
      </c>
      <c r="Y22" s="30">
        <f>combined_tbl!$Q22*(1-combined_tbl!$Z22)</f>
        <v>232.84499999999997</v>
      </c>
      <c r="Z22" s="31">
        <f>IF(combined_tbl!$Q22&gt;=500,0.2, IF(combined_tbl!$Q22&gt;=200,0.05, IF(combined_tbl!$X22&gt;=2,0.05,0)))</f>
        <v>0.05</v>
      </c>
      <c r="AA22" s="30">
        <f>combined_tbl!$Y22*combined_tbl!$X22</f>
        <v>232.84499999999997</v>
      </c>
      <c r="AB22" s="32">
        <f>(combined_tbl!$Q22*(1+combined_tbl!$Z22)-combined_tbl!$P22)*combined_tbl!$X22</f>
        <v>67.355000000000018</v>
      </c>
      <c r="AF22" t="str">
        <f t="shared" ca="1" si="11"/>
        <v>South</v>
      </c>
      <c r="AI22" s="24" t="str">
        <f t="shared" si="0"/>
        <v>Customer022</v>
      </c>
      <c r="AJ22" s="10">
        <f t="shared" ca="1" si="5"/>
        <v>45014</v>
      </c>
    </row>
    <row r="23" spans="1:36" x14ac:dyDescent="0.3">
      <c r="A23" s="29">
        <v>22</v>
      </c>
      <c r="B23" s="25" cm="1">
        <f t="array" aca="1" ref="B23" ca="1">MIN(IF($E:$E=E23,$H:$H))</f>
        <v>45143</v>
      </c>
      <c r="C23" s="25">
        <f t="shared" ca="1" si="1"/>
        <v>27</v>
      </c>
      <c r="D23" s="42">
        <f ca="1">COUNTIF(E:E,combined_tbl!$E23)</f>
        <v>1</v>
      </c>
      <c r="E23" s="24" t="str">
        <f t="shared" ca="1" si="6"/>
        <v>Customer052</v>
      </c>
      <c r="F23" s="24" t="str" cm="1">
        <f t="array" aca="1" ref="F23" ca="1">INDEX({"Male","Female"}, RANDBETWEEN(1,2))</f>
        <v>Male</v>
      </c>
      <c r="G23" s="29" t="str">
        <f t="shared" ca="1" si="7"/>
        <v>South</v>
      </c>
      <c r="H23" s="48">
        <f t="shared" ca="1" si="2"/>
        <v>45143</v>
      </c>
      <c r="I23" s="24">
        <f t="shared" ca="1" si="8"/>
        <v>5</v>
      </c>
      <c r="J23" s="46" t="str">
        <f t="shared" ca="1" si="9"/>
        <v>August</v>
      </c>
      <c r="K23" s="24">
        <f t="shared" ca="1" si="10"/>
        <v>2023</v>
      </c>
      <c r="L23" s="24" t="str">
        <f t="shared" ca="1" si="3"/>
        <v>Bronze</v>
      </c>
      <c r="M23" s="24">
        <v>23</v>
      </c>
      <c r="N23" s="24" t="s">
        <v>954</v>
      </c>
      <c r="O23" s="24" t="s">
        <v>859</v>
      </c>
      <c r="P23" s="26">
        <v>795</v>
      </c>
      <c r="Q23" s="26">
        <v>1128.8999999999999</v>
      </c>
      <c r="R23" s="24">
        <v>23</v>
      </c>
      <c r="S23" s="24" t="str">
        <f t="shared" si="4"/>
        <v>Jun</v>
      </c>
      <c r="T23" s="46">
        <v>45824</v>
      </c>
      <c r="U23" s="24">
        <v>8</v>
      </c>
      <c r="V23" s="37">
        <v>154</v>
      </c>
      <c r="W23" s="24">
        <v>25</v>
      </c>
      <c r="X23" s="24">
        <v>1</v>
      </c>
      <c r="Y23" s="26">
        <f>combined_tbl!$Q23*(1-combined_tbl!$Z23)</f>
        <v>903.11999999999989</v>
      </c>
      <c r="Z23" s="27">
        <f>IF(combined_tbl!$Q23&gt;=500,0.2, IF(combined_tbl!$Q23&gt;=200,0.05, IF(combined_tbl!$X23&gt;=2,0.05,0)))</f>
        <v>0.2</v>
      </c>
      <c r="AA23" s="26">
        <f>combined_tbl!$Y23*combined_tbl!$X23</f>
        <v>903.11999999999989</v>
      </c>
      <c r="AB23" s="28">
        <f>(combined_tbl!$Q23*(1+combined_tbl!$Z23)-combined_tbl!$P23)*combined_tbl!$X23</f>
        <v>559.67999999999984</v>
      </c>
      <c r="AF23" t="str">
        <f t="shared" ca="1" si="11"/>
        <v>South</v>
      </c>
      <c r="AI23" s="24" t="str">
        <f t="shared" si="0"/>
        <v>Customer023</v>
      </c>
      <c r="AJ23" s="10">
        <f t="shared" ca="1" si="5"/>
        <v>45622</v>
      </c>
    </row>
    <row r="24" spans="1:36" x14ac:dyDescent="0.3">
      <c r="A24" s="29">
        <v>23</v>
      </c>
      <c r="B24" s="25" cm="1">
        <f t="array" aca="1" ref="B24" ca="1">MIN(IF($E:$E=E24,$H:$H))</f>
        <v>45492</v>
      </c>
      <c r="C24" s="25">
        <f t="shared" ca="1" si="1"/>
        <v>16</v>
      </c>
      <c r="D24" s="43">
        <f ca="1">COUNTIF(E:E,combined_tbl!$E24)</f>
        <v>5</v>
      </c>
      <c r="E24" s="29" t="str">
        <f t="shared" ca="1" si="6"/>
        <v>Customer047</v>
      </c>
      <c r="F24" s="29" t="str" cm="1">
        <f t="array" aca="1" ref="F24" ca="1">INDEX({"Male","Female"}, RANDBETWEEN(1,2))</f>
        <v>Female</v>
      </c>
      <c r="G24" s="29" t="str">
        <f t="shared" ca="1" si="7"/>
        <v>North</v>
      </c>
      <c r="H24" s="48">
        <f t="shared" ca="1" si="2"/>
        <v>45492</v>
      </c>
      <c r="I24" s="24">
        <f t="shared" ca="1" si="8"/>
        <v>19</v>
      </c>
      <c r="J24" s="46" t="str">
        <f t="shared" ca="1" si="9"/>
        <v>July</v>
      </c>
      <c r="K24" s="24">
        <f t="shared" ca="1" si="10"/>
        <v>2024</v>
      </c>
      <c r="L24" s="24" t="str">
        <f t="shared" ca="1" si="3"/>
        <v>Silver</v>
      </c>
      <c r="M24" s="29">
        <v>24</v>
      </c>
      <c r="N24" s="29" t="s">
        <v>851</v>
      </c>
      <c r="O24" s="29" t="s">
        <v>860</v>
      </c>
      <c r="P24" s="30">
        <v>101</v>
      </c>
      <c r="Q24" s="30">
        <v>140.39000000000001</v>
      </c>
      <c r="R24" s="29">
        <v>24</v>
      </c>
      <c r="S24" s="24" t="str">
        <f t="shared" si="4"/>
        <v>Sep</v>
      </c>
      <c r="T24" s="47">
        <v>45175</v>
      </c>
      <c r="U24" s="29">
        <v>1</v>
      </c>
      <c r="V24" s="38">
        <v>19</v>
      </c>
      <c r="W24" s="29">
        <v>31</v>
      </c>
      <c r="X24" s="29">
        <v>1</v>
      </c>
      <c r="Y24" s="30">
        <f>combined_tbl!$Q24*(1-combined_tbl!$Z24)</f>
        <v>140.39000000000001</v>
      </c>
      <c r="Z24" s="31">
        <f>IF(combined_tbl!$Q24&gt;=500,0.2, IF(combined_tbl!$Q24&gt;=200,0.05, IF(combined_tbl!$X24&gt;=2,0.05,0)))</f>
        <v>0</v>
      </c>
      <c r="AA24" s="30">
        <f>combined_tbl!$Y24*combined_tbl!$X24</f>
        <v>140.39000000000001</v>
      </c>
      <c r="AB24" s="32">
        <f>(combined_tbl!$Q24*(1+combined_tbl!$Z24)-combined_tbl!$P24)*combined_tbl!$X24</f>
        <v>39.390000000000015</v>
      </c>
      <c r="AF24" t="str">
        <f t="shared" ca="1" si="11"/>
        <v>North</v>
      </c>
      <c r="AI24" s="24" t="str">
        <f t="shared" si="0"/>
        <v>Customer024</v>
      </c>
      <c r="AJ24" s="10">
        <f t="shared" ca="1" si="5"/>
        <v>45182</v>
      </c>
    </row>
    <row r="25" spans="1:36" x14ac:dyDescent="0.3">
      <c r="A25" s="29">
        <v>24</v>
      </c>
      <c r="B25" s="25" cm="1">
        <f t="array" aca="1" ref="B25" ca="1">MIN(IF($E:$E=E25,$H:$H))</f>
        <v>45047</v>
      </c>
      <c r="C25" s="25">
        <f t="shared" ca="1" si="1"/>
        <v>31</v>
      </c>
      <c r="D25" s="42">
        <f ca="1">COUNTIF(E:E,combined_tbl!$E25)</f>
        <v>3</v>
      </c>
      <c r="E25" s="24" t="str">
        <f t="shared" ca="1" si="6"/>
        <v>Customer056</v>
      </c>
      <c r="F25" s="24" t="str" cm="1">
        <f t="array" aca="1" ref="F25" ca="1">INDEX({"Male","Female"}, RANDBETWEEN(1,2))</f>
        <v>Male</v>
      </c>
      <c r="G25" s="29" t="str">
        <f t="shared" ca="1" si="7"/>
        <v>East</v>
      </c>
      <c r="H25" s="48">
        <f t="shared" ca="1" si="2"/>
        <v>45047</v>
      </c>
      <c r="I25" s="24">
        <f t="shared" ca="1" si="8"/>
        <v>1</v>
      </c>
      <c r="J25" s="46" t="str">
        <f t="shared" ca="1" si="9"/>
        <v>May</v>
      </c>
      <c r="K25" s="24">
        <f t="shared" ca="1" si="10"/>
        <v>2023</v>
      </c>
      <c r="L25" s="24" t="str">
        <f t="shared" ca="1" si="3"/>
        <v>Silver</v>
      </c>
      <c r="M25" s="24">
        <v>25</v>
      </c>
      <c r="N25" s="24" t="s">
        <v>837</v>
      </c>
      <c r="O25" s="24" t="s">
        <v>861</v>
      </c>
      <c r="P25" s="26">
        <v>81</v>
      </c>
      <c r="Q25" s="26">
        <v>93.149999999999991</v>
      </c>
      <c r="R25" s="24">
        <v>25</v>
      </c>
      <c r="S25" s="24" t="str">
        <f t="shared" si="4"/>
        <v>May</v>
      </c>
      <c r="T25" s="46">
        <v>45417</v>
      </c>
      <c r="U25" s="24">
        <v>3</v>
      </c>
      <c r="V25" s="37">
        <v>90</v>
      </c>
      <c r="W25" s="24">
        <v>17</v>
      </c>
      <c r="X25" s="24">
        <v>1</v>
      </c>
      <c r="Y25" s="26">
        <f>combined_tbl!$Q25*(1-combined_tbl!$Z25)</f>
        <v>93.149999999999991</v>
      </c>
      <c r="Z25" s="27">
        <f>IF(combined_tbl!$Q25&gt;=500,0.2, IF(combined_tbl!$Q25&gt;=200,0.05, IF(combined_tbl!$X25&gt;=2,0.05,0)))</f>
        <v>0</v>
      </c>
      <c r="AA25" s="26">
        <f>combined_tbl!$Y25*combined_tbl!$X25</f>
        <v>93.149999999999991</v>
      </c>
      <c r="AB25" s="28">
        <f>(combined_tbl!$Q25*(1+combined_tbl!$Z25)-combined_tbl!$P25)*combined_tbl!$X25</f>
        <v>12.149999999999991</v>
      </c>
      <c r="AF25" t="str">
        <f t="shared" ca="1" si="11"/>
        <v>East</v>
      </c>
      <c r="AI25" s="24" t="str">
        <f t="shared" si="0"/>
        <v>Customer025</v>
      </c>
      <c r="AJ25" s="10">
        <f t="shared" ca="1" si="5"/>
        <v>45853</v>
      </c>
    </row>
    <row r="26" spans="1:36" x14ac:dyDescent="0.3">
      <c r="A26" s="19">
        <v>25</v>
      </c>
      <c r="B26" s="25" cm="1">
        <f t="array" aca="1" ref="B26" ca="1">MIN(IF($E:$E=E26,$H:$H))</f>
        <v>44990</v>
      </c>
      <c r="C26" s="25">
        <f t="shared" ca="1" si="1"/>
        <v>32</v>
      </c>
      <c r="D26" s="43">
        <f ca="1">COUNTIF(E:E,combined_tbl!$E26)</f>
        <v>5</v>
      </c>
      <c r="E26" s="29" t="str">
        <f t="shared" ca="1" si="6"/>
        <v>Customer076</v>
      </c>
      <c r="F26" s="29" t="str" cm="1">
        <f t="array" aca="1" ref="F26" ca="1">INDEX({"Male","Female"}, RANDBETWEEN(1,2))</f>
        <v>Male</v>
      </c>
      <c r="G26" s="29" t="str">
        <f t="shared" ca="1" si="7"/>
        <v>West</v>
      </c>
      <c r="H26" s="48">
        <f t="shared" ca="1" si="2"/>
        <v>44990</v>
      </c>
      <c r="I26" s="24">
        <f t="shared" ca="1" si="8"/>
        <v>5</v>
      </c>
      <c r="J26" s="46" t="str">
        <f t="shared" ca="1" si="9"/>
        <v>March</v>
      </c>
      <c r="K26" s="24">
        <f t="shared" ca="1" si="10"/>
        <v>2023</v>
      </c>
      <c r="L26" s="24" t="str">
        <f t="shared" ca="1" si="3"/>
        <v>Silver</v>
      </c>
      <c r="M26" s="29">
        <v>26</v>
      </c>
      <c r="N26" s="29" t="s">
        <v>831</v>
      </c>
      <c r="O26" s="29" t="s">
        <v>862</v>
      </c>
      <c r="P26" s="30">
        <v>194</v>
      </c>
      <c r="Q26" s="30">
        <v>234.73999999999998</v>
      </c>
      <c r="R26" s="29">
        <v>26</v>
      </c>
      <c r="S26" s="24" t="str">
        <f t="shared" si="4"/>
        <v>Sep</v>
      </c>
      <c r="T26" s="47">
        <v>45563</v>
      </c>
      <c r="U26" s="29">
        <v>1</v>
      </c>
      <c r="V26" s="38">
        <v>179</v>
      </c>
      <c r="W26" s="29">
        <v>74</v>
      </c>
      <c r="X26" s="29">
        <v>1</v>
      </c>
      <c r="Y26" s="30">
        <f>combined_tbl!$Q26*(1-combined_tbl!$Z26)</f>
        <v>223.00299999999996</v>
      </c>
      <c r="Z26" s="31">
        <f>IF(combined_tbl!$Q26&gt;=500,0.2, IF(combined_tbl!$Q26&gt;=200,0.05, IF(combined_tbl!$X26&gt;=2,0.05,0)))</f>
        <v>0.05</v>
      </c>
      <c r="AA26" s="30">
        <f>combined_tbl!$Y26*combined_tbl!$X26</f>
        <v>223.00299999999996</v>
      </c>
      <c r="AB26" s="32">
        <f>(combined_tbl!$Q26*(1+combined_tbl!$Z26)-combined_tbl!$P26)*combined_tbl!$X26</f>
        <v>52.477000000000004</v>
      </c>
      <c r="AF26" t="str">
        <f t="shared" ca="1" si="11"/>
        <v>West</v>
      </c>
      <c r="AI26" s="24" t="str">
        <f t="shared" si="0"/>
        <v>Customer026</v>
      </c>
      <c r="AJ26" s="10">
        <f t="shared" ca="1" si="5"/>
        <v>45812</v>
      </c>
    </row>
    <row r="27" spans="1:36" x14ac:dyDescent="0.3">
      <c r="A27" s="24">
        <v>26</v>
      </c>
      <c r="B27" s="25" cm="1">
        <f t="array" aca="1" ref="B27" ca="1">MIN(IF($E:$E=E27,$H:$H))</f>
        <v>45809</v>
      </c>
      <c r="C27" s="25">
        <f t="shared" ca="1" si="1"/>
        <v>6</v>
      </c>
      <c r="D27" s="42">
        <f ca="1">COUNTIF(E:E,combined_tbl!$E27)</f>
        <v>10</v>
      </c>
      <c r="E27" s="24" t="str">
        <f t="shared" ca="1" si="6"/>
        <v>Customer019</v>
      </c>
      <c r="F27" s="24" t="str" cm="1">
        <f t="array" aca="1" ref="F27" ca="1">INDEX({"Male","Female"}, RANDBETWEEN(1,2))</f>
        <v>Male</v>
      </c>
      <c r="G27" s="29" t="str">
        <f t="shared" ca="1" si="7"/>
        <v>North</v>
      </c>
      <c r="H27" s="48">
        <f t="shared" ca="1" si="2"/>
        <v>45809</v>
      </c>
      <c r="I27" s="24">
        <f t="shared" ca="1" si="8"/>
        <v>1</v>
      </c>
      <c r="J27" s="46" t="str">
        <f t="shared" ca="1" si="9"/>
        <v>June</v>
      </c>
      <c r="K27" s="24">
        <f t="shared" ca="1" si="10"/>
        <v>2025</v>
      </c>
      <c r="L27" s="24" t="str">
        <f t="shared" ca="1" si="3"/>
        <v>Bronze</v>
      </c>
      <c r="M27" s="24">
        <v>27</v>
      </c>
      <c r="N27" s="24" t="s">
        <v>957</v>
      </c>
      <c r="O27" s="24" t="s">
        <v>863</v>
      </c>
      <c r="P27" s="26">
        <v>14</v>
      </c>
      <c r="Q27" s="26">
        <v>19.46</v>
      </c>
      <c r="R27" s="24">
        <v>27</v>
      </c>
      <c r="S27" s="24" t="str">
        <f t="shared" si="4"/>
        <v>Apr</v>
      </c>
      <c r="T27" s="46">
        <v>45762</v>
      </c>
      <c r="U27" s="24">
        <v>2</v>
      </c>
      <c r="V27" s="37">
        <v>201</v>
      </c>
      <c r="W27" s="24">
        <v>57</v>
      </c>
      <c r="X27" s="24">
        <v>3</v>
      </c>
      <c r="Y27" s="26">
        <f>combined_tbl!$Q27*(1-combined_tbl!$Z27)</f>
        <v>18.486999999999998</v>
      </c>
      <c r="Z27" s="27">
        <f>IF(combined_tbl!$Q27&gt;=500,0.2, IF(combined_tbl!$Q27&gt;=200,0.05, IF(combined_tbl!$X27&gt;=2,0.05,0)))</f>
        <v>0.05</v>
      </c>
      <c r="AA27" s="26">
        <f>combined_tbl!$Y27*combined_tbl!$X27</f>
        <v>55.460999999999999</v>
      </c>
      <c r="AB27" s="28">
        <f>(combined_tbl!$Q27*(1+combined_tbl!$Z27)-combined_tbl!$P27)*combined_tbl!$X27</f>
        <v>19.29900000000001</v>
      </c>
      <c r="AF27" t="str">
        <f t="shared" ca="1" si="11"/>
        <v>North</v>
      </c>
      <c r="AI27" s="24" t="str">
        <f t="shared" si="0"/>
        <v>Customer027</v>
      </c>
      <c r="AJ27" s="10">
        <f t="shared" ca="1" si="5"/>
        <v>45027</v>
      </c>
    </row>
    <row r="28" spans="1:36" x14ac:dyDescent="0.3">
      <c r="A28" s="29">
        <v>27</v>
      </c>
      <c r="B28" s="25" cm="1">
        <f t="array" aca="1" ref="B28" ca="1">MIN(IF($E:$E=E28,$H:$H))</f>
        <v>45995</v>
      </c>
      <c r="C28" s="25">
        <f t="shared" ca="1" si="1"/>
        <v>0</v>
      </c>
      <c r="D28" s="43">
        <f ca="1">COUNTIF(E:E,combined_tbl!$E28)</f>
        <v>8</v>
      </c>
      <c r="E28" s="29" t="str">
        <f t="shared" ca="1" si="6"/>
        <v>Customer013</v>
      </c>
      <c r="F28" s="29" t="str" cm="1">
        <f t="array" aca="1" ref="F28" ca="1">INDEX({"Male","Female"}, RANDBETWEEN(1,2))</f>
        <v>Male</v>
      </c>
      <c r="G28" s="29" t="str">
        <f t="shared" ca="1" si="7"/>
        <v>North</v>
      </c>
      <c r="H28" s="48">
        <f t="shared" ca="1" si="2"/>
        <v>45995</v>
      </c>
      <c r="I28" s="24">
        <f t="shared" ca="1" si="8"/>
        <v>4</v>
      </c>
      <c r="J28" s="46" t="str">
        <f t="shared" ca="1" si="9"/>
        <v>December</v>
      </c>
      <c r="K28" s="24">
        <f t="shared" ca="1" si="10"/>
        <v>2025</v>
      </c>
      <c r="L28" s="24" t="str">
        <f t="shared" ca="1" si="3"/>
        <v>Bronze</v>
      </c>
      <c r="M28" s="29">
        <v>28</v>
      </c>
      <c r="N28" s="29" t="s">
        <v>847</v>
      </c>
      <c r="O28" s="29" t="s">
        <v>864</v>
      </c>
      <c r="P28" s="30">
        <v>75</v>
      </c>
      <c r="Q28" s="30">
        <v>103.49999999999999</v>
      </c>
      <c r="R28" s="29">
        <v>28</v>
      </c>
      <c r="S28" s="24" t="str">
        <f t="shared" si="4"/>
        <v>Apr</v>
      </c>
      <c r="T28" s="47">
        <v>45387</v>
      </c>
      <c r="U28" s="29">
        <v>2</v>
      </c>
      <c r="V28" s="38">
        <v>112</v>
      </c>
      <c r="W28" s="29">
        <v>95</v>
      </c>
      <c r="X28" s="29">
        <v>2</v>
      </c>
      <c r="Y28" s="30">
        <f>combined_tbl!$Q28*(1-combined_tbl!$Z28)</f>
        <v>98.324999999999989</v>
      </c>
      <c r="Z28" s="31">
        <f>IF(combined_tbl!$Q28&gt;=500,0.2, IF(combined_tbl!$Q28&gt;=200,0.05, IF(combined_tbl!$X28&gt;=2,0.05,0)))</f>
        <v>0.05</v>
      </c>
      <c r="AA28" s="30">
        <f>combined_tbl!$Y28*combined_tbl!$X28</f>
        <v>196.64999999999998</v>
      </c>
      <c r="AB28" s="32">
        <f>(combined_tbl!$Q28*(1+combined_tbl!$Z28)-combined_tbl!$P28)*combined_tbl!$X28</f>
        <v>67.349999999999966</v>
      </c>
      <c r="AF28" t="str">
        <f t="shared" ca="1" si="11"/>
        <v>East</v>
      </c>
      <c r="AI28" s="24" t="str">
        <f t="shared" si="0"/>
        <v>Customer028</v>
      </c>
      <c r="AJ28" s="10">
        <f t="shared" ca="1" si="5"/>
        <v>45382</v>
      </c>
    </row>
    <row r="29" spans="1:36" x14ac:dyDescent="0.3">
      <c r="A29" s="29">
        <v>28</v>
      </c>
      <c r="B29" s="25" cm="1">
        <f t="array" aca="1" ref="B29" ca="1">MIN(IF($E:$E=E29,$H:$H))</f>
        <v>45592</v>
      </c>
      <c r="C29" s="25">
        <f t="shared" ca="1" si="1"/>
        <v>13</v>
      </c>
      <c r="D29" s="42">
        <f ca="1">COUNTIF(E:E,combined_tbl!$E29)</f>
        <v>1</v>
      </c>
      <c r="E29" s="24" t="str">
        <f t="shared" ca="1" si="6"/>
        <v>Customer102</v>
      </c>
      <c r="F29" s="24" t="str" cm="1">
        <f t="array" aca="1" ref="F29" ca="1">INDEX({"Male","Female"}, RANDBETWEEN(1,2))</f>
        <v>Male</v>
      </c>
      <c r="G29" s="29" t="str">
        <f t="shared" ca="1" si="7"/>
        <v>East</v>
      </c>
      <c r="H29" s="48">
        <f t="shared" ca="1" si="2"/>
        <v>45592</v>
      </c>
      <c r="I29" s="24">
        <f t="shared" ca="1" si="8"/>
        <v>27</v>
      </c>
      <c r="J29" s="46" t="str">
        <f t="shared" ca="1" si="9"/>
        <v>October</v>
      </c>
      <c r="K29" s="24">
        <f t="shared" ca="1" si="10"/>
        <v>2024</v>
      </c>
      <c r="L29" s="24" t="str">
        <f t="shared" ca="1" si="3"/>
        <v>Bronze</v>
      </c>
      <c r="M29" s="24">
        <v>29</v>
      </c>
      <c r="N29" s="24" t="s">
        <v>851</v>
      </c>
      <c r="O29" s="24" t="s">
        <v>865</v>
      </c>
      <c r="P29" s="26">
        <v>237</v>
      </c>
      <c r="Q29" s="26">
        <v>353.13</v>
      </c>
      <c r="R29" s="24">
        <v>29</v>
      </c>
      <c r="S29" s="24" t="str">
        <f t="shared" si="4"/>
        <v>Aug</v>
      </c>
      <c r="T29" s="46">
        <v>45872</v>
      </c>
      <c r="U29" s="24">
        <v>2</v>
      </c>
      <c r="V29" s="37">
        <v>76</v>
      </c>
      <c r="W29" s="24">
        <v>95</v>
      </c>
      <c r="X29" s="24">
        <v>1</v>
      </c>
      <c r="Y29" s="26">
        <f>combined_tbl!$Q29*(1-combined_tbl!$Z29)</f>
        <v>335.4735</v>
      </c>
      <c r="Z29" s="27">
        <f>IF(combined_tbl!$Q29&gt;=500,0.2, IF(combined_tbl!$Q29&gt;=200,0.05, IF(combined_tbl!$X29&gt;=2,0.05,0)))</f>
        <v>0.05</v>
      </c>
      <c r="AA29" s="26">
        <f>combined_tbl!$Y29*combined_tbl!$X29</f>
        <v>335.4735</v>
      </c>
      <c r="AB29" s="28">
        <f>(combined_tbl!$Q29*(1+combined_tbl!$Z29)-combined_tbl!$P29)*combined_tbl!$X29</f>
        <v>133.78649999999999</v>
      </c>
      <c r="AF29" t="str">
        <f t="shared" ca="1" si="11"/>
        <v>East</v>
      </c>
      <c r="AI29" s="24" t="str">
        <f t="shared" si="0"/>
        <v>Customer029</v>
      </c>
      <c r="AJ29" s="10">
        <f t="shared" ca="1" si="5"/>
        <v>45991</v>
      </c>
    </row>
    <row r="30" spans="1:36" x14ac:dyDescent="0.3">
      <c r="A30" s="29">
        <v>29</v>
      </c>
      <c r="B30" s="25" cm="1">
        <f t="array" aca="1" ref="B30" ca="1">MIN(IF($E:$E=E30,$H:$H))</f>
        <v>45094</v>
      </c>
      <c r="C30" s="25">
        <f t="shared" ca="1" si="1"/>
        <v>29</v>
      </c>
      <c r="D30" s="43">
        <f ca="1">COUNTIF(E:E,combined_tbl!$E30)</f>
        <v>9</v>
      </c>
      <c r="E30" s="29" t="str">
        <f t="shared" ca="1" si="6"/>
        <v>Customer069</v>
      </c>
      <c r="F30" s="29" t="str" cm="1">
        <f t="array" aca="1" ref="F30" ca="1">INDEX({"Male","Female"}, RANDBETWEEN(1,2))</f>
        <v>Male</v>
      </c>
      <c r="G30" s="29" t="str">
        <f t="shared" ca="1" si="7"/>
        <v>North</v>
      </c>
      <c r="H30" s="48">
        <f t="shared" ca="1" si="2"/>
        <v>45094</v>
      </c>
      <c r="I30" s="24">
        <f t="shared" ca="1" si="8"/>
        <v>17</v>
      </c>
      <c r="J30" s="46" t="str">
        <f t="shared" ca="1" si="9"/>
        <v>June</v>
      </c>
      <c r="K30" s="24">
        <f t="shared" ca="1" si="10"/>
        <v>2023</v>
      </c>
      <c r="L30" s="24" t="str">
        <f t="shared" ca="1" si="3"/>
        <v>Gold</v>
      </c>
      <c r="M30" s="29">
        <v>30</v>
      </c>
      <c r="N30" s="29" t="s">
        <v>954</v>
      </c>
      <c r="O30" s="29" t="s">
        <v>866</v>
      </c>
      <c r="P30" s="30">
        <v>668</v>
      </c>
      <c r="Q30" s="30">
        <v>841.68</v>
      </c>
      <c r="R30" s="29">
        <v>30</v>
      </c>
      <c r="S30" s="24" t="str">
        <f t="shared" si="4"/>
        <v>Nov</v>
      </c>
      <c r="T30" s="47">
        <v>45242</v>
      </c>
      <c r="U30" s="29">
        <v>8</v>
      </c>
      <c r="V30" s="38">
        <v>108</v>
      </c>
      <c r="W30" s="29">
        <v>57</v>
      </c>
      <c r="X30" s="29">
        <v>1</v>
      </c>
      <c r="Y30" s="30">
        <f>combined_tbl!$Q30*(1-combined_tbl!$Z30)</f>
        <v>673.34400000000005</v>
      </c>
      <c r="Z30" s="31">
        <f>IF(combined_tbl!$Q30&gt;=500,0.2, IF(combined_tbl!$Q30&gt;=200,0.05, IF(combined_tbl!$X30&gt;=2,0.05,0)))</f>
        <v>0.2</v>
      </c>
      <c r="AA30" s="30">
        <f>combined_tbl!$Y30*combined_tbl!$X30</f>
        <v>673.34400000000005</v>
      </c>
      <c r="AB30" s="32">
        <f>(combined_tbl!$Q30*(1+combined_tbl!$Z30)-combined_tbl!$P30)*combined_tbl!$X30</f>
        <v>342.01599999999985</v>
      </c>
      <c r="AF30" t="str">
        <f t="shared" ca="1" si="11"/>
        <v>East</v>
      </c>
      <c r="AI30" s="24" t="str">
        <f t="shared" si="0"/>
        <v>Customer030</v>
      </c>
      <c r="AJ30" s="10">
        <f t="shared" ca="1" si="5"/>
        <v>45400</v>
      </c>
    </row>
    <row r="31" spans="1:36" x14ac:dyDescent="0.3">
      <c r="A31" s="29">
        <v>30</v>
      </c>
      <c r="B31" s="25" cm="1">
        <f t="array" aca="1" ref="B31" ca="1">MIN(IF($E:$E=E31,$H:$H))</f>
        <v>45826</v>
      </c>
      <c r="C31" s="25">
        <f t="shared" ca="1" si="1"/>
        <v>5</v>
      </c>
      <c r="D31" s="42">
        <f ca="1">COUNTIF(E:E,combined_tbl!$E31)</f>
        <v>7</v>
      </c>
      <c r="E31" s="24" t="str">
        <f t="shared" ca="1" si="6"/>
        <v>Customer049</v>
      </c>
      <c r="F31" s="24" t="str" cm="1">
        <f t="array" aca="1" ref="F31" ca="1">INDEX({"Male","Female"}, RANDBETWEEN(1,2))</f>
        <v>Male</v>
      </c>
      <c r="G31" s="29" t="str">
        <f t="shared" ca="1" si="7"/>
        <v>West</v>
      </c>
      <c r="H31" s="48">
        <f t="shared" ca="1" si="2"/>
        <v>45826</v>
      </c>
      <c r="I31" s="24">
        <f t="shared" ca="1" si="8"/>
        <v>18</v>
      </c>
      <c r="J31" s="46" t="str">
        <f t="shared" ca="1" si="9"/>
        <v>June</v>
      </c>
      <c r="K31" s="24">
        <f t="shared" ca="1" si="10"/>
        <v>2025</v>
      </c>
      <c r="L31" s="24" t="str">
        <f t="shared" ca="1" si="3"/>
        <v>Bronze</v>
      </c>
      <c r="M31" s="24">
        <v>31</v>
      </c>
      <c r="N31" s="24" t="s">
        <v>957</v>
      </c>
      <c r="O31" s="24" t="s">
        <v>867</v>
      </c>
      <c r="P31" s="26">
        <v>120</v>
      </c>
      <c r="Q31" s="26">
        <v>144</v>
      </c>
      <c r="R31" s="24">
        <v>31</v>
      </c>
      <c r="S31" s="24" t="str">
        <f t="shared" si="4"/>
        <v>Aug</v>
      </c>
      <c r="T31" s="46">
        <v>45524</v>
      </c>
      <c r="U31" s="24">
        <v>5</v>
      </c>
      <c r="V31" s="37">
        <v>160</v>
      </c>
      <c r="W31" s="24">
        <v>43</v>
      </c>
      <c r="X31" s="24">
        <v>1</v>
      </c>
      <c r="Y31" s="26">
        <f>combined_tbl!$Q31*(1-combined_tbl!$Z31)</f>
        <v>144</v>
      </c>
      <c r="Z31" s="27">
        <f>IF(combined_tbl!$Q31&gt;=500,0.2, IF(combined_tbl!$Q31&gt;=200,0.05, IF(combined_tbl!$X31&gt;=2,0.05,0)))</f>
        <v>0</v>
      </c>
      <c r="AA31" s="26">
        <f>combined_tbl!$Y31*combined_tbl!$X31</f>
        <v>144</v>
      </c>
      <c r="AB31" s="28">
        <f>(combined_tbl!$Q31*(1+combined_tbl!$Z31)-combined_tbl!$P31)*combined_tbl!$X31</f>
        <v>24</v>
      </c>
      <c r="AF31" t="str">
        <f t="shared" ca="1" si="11"/>
        <v>South</v>
      </c>
      <c r="AI31" s="24" t="str">
        <f t="shared" si="0"/>
        <v>Customer031</v>
      </c>
      <c r="AJ31" s="10">
        <f t="shared" ca="1" si="5"/>
        <v>45743</v>
      </c>
    </row>
    <row r="32" spans="1:36" x14ac:dyDescent="0.3">
      <c r="A32" s="29">
        <v>31</v>
      </c>
      <c r="B32" s="25" cm="1">
        <f t="array" aca="1" ref="B32" ca="1">MIN(IF($E:$E=E32,$H:$H))</f>
        <v>45094</v>
      </c>
      <c r="C32" s="25">
        <f t="shared" ca="1" si="1"/>
        <v>29</v>
      </c>
      <c r="D32" s="43">
        <f ca="1">COUNTIF(E:E,combined_tbl!$E32)</f>
        <v>9</v>
      </c>
      <c r="E32" s="29" t="str">
        <f t="shared" ca="1" si="6"/>
        <v>Customer069</v>
      </c>
      <c r="F32" s="29" t="str" cm="1">
        <f t="array" aca="1" ref="F32" ca="1">INDEX({"Male","Female"}, RANDBETWEEN(1,2))</f>
        <v>Female</v>
      </c>
      <c r="G32" s="29" t="str">
        <f t="shared" ca="1" si="7"/>
        <v>North</v>
      </c>
      <c r="H32" s="48">
        <f t="shared" ca="1" si="2"/>
        <v>45094</v>
      </c>
      <c r="I32" s="24">
        <f t="shared" ca="1" si="8"/>
        <v>17</v>
      </c>
      <c r="J32" s="46" t="str">
        <f t="shared" ca="1" si="9"/>
        <v>June</v>
      </c>
      <c r="K32" s="24">
        <f t="shared" ca="1" si="10"/>
        <v>2023</v>
      </c>
      <c r="L32" s="24" t="str">
        <f t="shared" ca="1" si="3"/>
        <v>Gold</v>
      </c>
      <c r="M32" s="29">
        <v>32</v>
      </c>
      <c r="N32" s="29" t="s">
        <v>847</v>
      </c>
      <c r="O32" s="29" t="s">
        <v>868</v>
      </c>
      <c r="P32" s="30">
        <v>12</v>
      </c>
      <c r="Q32" s="30">
        <v>16.32</v>
      </c>
      <c r="R32" s="29">
        <v>32</v>
      </c>
      <c r="S32" s="24" t="str">
        <f t="shared" si="4"/>
        <v>Apr</v>
      </c>
      <c r="T32" s="47">
        <v>45777</v>
      </c>
      <c r="U32" s="29">
        <v>8</v>
      </c>
      <c r="V32" s="38">
        <v>208</v>
      </c>
      <c r="W32" s="29">
        <v>72</v>
      </c>
      <c r="X32" s="29">
        <v>2</v>
      </c>
      <c r="Y32" s="30">
        <f>combined_tbl!$Q32*(1-combined_tbl!$Z32)</f>
        <v>15.504</v>
      </c>
      <c r="Z32" s="31">
        <f>IF(combined_tbl!$Q32&gt;=500,0.2, IF(combined_tbl!$Q32&gt;=200,0.05, IF(combined_tbl!$X32&gt;=2,0.05,0)))</f>
        <v>0.05</v>
      </c>
      <c r="AA32" s="30">
        <f>combined_tbl!$Y32*combined_tbl!$X32</f>
        <v>31.007999999999999</v>
      </c>
      <c r="AB32" s="32">
        <f>(combined_tbl!$Q32*(1+combined_tbl!$Z32)-combined_tbl!$P32)*combined_tbl!$X32</f>
        <v>10.272000000000006</v>
      </c>
      <c r="AF32" t="str">
        <f t="shared" ca="1" si="11"/>
        <v>South</v>
      </c>
      <c r="AI32" s="24" t="str">
        <f t="shared" si="0"/>
        <v>Customer032</v>
      </c>
      <c r="AJ32" s="10">
        <f t="shared" ca="1" si="5"/>
        <v>45345</v>
      </c>
    </row>
    <row r="33" spans="1:36" x14ac:dyDescent="0.3">
      <c r="A33" s="29">
        <v>32</v>
      </c>
      <c r="B33" s="25" cm="1">
        <f t="array" aca="1" ref="B33" ca="1">MIN(IF($E:$E=E33,$H:$H))</f>
        <v>44938</v>
      </c>
      <c r="C33" s="25">
        <f t="shared" ca="1" si="1"/>
        <v>34</v>
      </c>
      <c r="D33" s="42">
        <f ca="1">COUNTIF(E:E,combined_tbl!$E33)</f>
        <v>3</v>
      </c>
      <c r="E33" s="24" t="str">
        <f t="shared" ca="1" si="6"/>
        <v>Customer054</v>
      </c>
      <c r="F33" s="24" t="str" cm="1">
        <f t="array" aca="1" ref="F33" ca="1">INDEX({"Male","Female"}, RANDBETWEEN(1,2))</f>
        <v>Female</v>
      </c>
      <c r="G33" s="29" t="str">
        <f t="shared" ca="1" si="7"/>
        <v>West</v>
      </c>
      <c r="H33" s="48">
        <f t="shared" ca="1" si="2"/>
        <v>44938</v>
      </c>
      <c r="I33" s="24">
        <f t="shared" ca="1" si="8"/>
        <v>12</v>
      </c>
      <c r="J33" s="46" t="str">
        <f t="shared" ca="1" si="9"/>
        <v>January</v>
      </c>
      <c r="K33" s="24">
        <f t="shared" ca="1" si="10"/>
        <v>2023</v>
      </c>
      <c r="L33" s="24" t="str">
        <f t="shared" ca="1" si="3"/>
        <v>Silver</v>
      </c>
      <c r="M33" s="24">
        <v>33</v>
      </c>
      <c r="N33" s="24" t="s">
        <v>872</v>
      </c>
      <c r="O33" s="24" t="s">
        <v>869</v>
      </c>
      <c r="P33" s="26">
        <v>40</v>
      </c>
      <c r="Q33" s="26">
        <v>52.400000000000006</v>
      </c>
      <c r="R33" s="24">
        <v>33</v>
      </c>
      <c r="S33" s="24" t="str">
        <f t="shared" si="4"/>
        <v>Aug</v>
      </c>
      <c r="T33" s="46">
        <v>45894</v>
      </c>
      <c r="U33" s="24">
        <v>4</v>
      </c>
      <c r="V33" s="37">
        <v>220</v>
      </c>
      <c r="W33" s="24">
        <v>6</v>
      </c>
      <c r="X33" s="24">
        <v>1</v>
      </c>
      <c r="Y33" s="26">
        <f>combined_tbl!$Q33*(1-combined_tbl!$Z33)</f>
        <v>52.400000000000006</v>
      </c>
      <c r="Z33" s="27">
        <f>IF(combined_tbl!$Q33&gt;=500,0.2, IF(combined_tbl!$Q33&gt;=200,0.05, IF(combined_tbl!$X33&gt;=2,0.05,0)))</f>
        <v>0</v>
      </c>
      <c r="AA33" s="26">
        <f>combined_tbl!$Y33*combined_tbl!$X33</f>
        <v>52.400000000000006</v>
      </c>
      <c r="AB33" s="28">
        <f>(combined_tbl!$Q33*(1+combined_tbl!$Z33)-combined_tbl!$P33)*combined_tbl!$X33</f>
        <v>12.400000000000006</v>
      </c>
      <c r="AF33" t="str">
        <f t="shared" ca="1" si="11"/>
        <v>North</v>
      </c>
      <c r="AI33" s="24" t="str">
        <f t="shared" ref="AI33:AI64" si="12">"Customer"&amp;TEXT(ROW(A33),"000")</f>
        <v>Customer033</v>
      </c>
      <c r="AJ33" s="10">
        <f t="shared" ca="1" si="5"/>
        <v>45853</v>
      </c>
    </row>
    <row r="34" spans="1:36" x14ac:dyDescent="0.3">
      <c r="A34" s="19">
        <v>33</v>
      </c>
      <c r="B34" s="25" cm="1">
        <f t="array" aca="1" ref="B34" ca="1">MIN(IF($E:$E=E34,$H:$H))</f>
        <v>45896</v>
      </c>
      <c r="C34" s="25">
        <f t="shared" ca="1" si="1"/>
        <v>3</v>
      </c>
      <c r="D34" s="43">
        <f ca="1">COUNTIF(E:E,combined_tbl!$E34)</f>
        <v>10</v>
      </c>
      <c r="E34" s="29" t="str">
        <f t="shared" ca="1" si="6"/>
        <v>Customer004</v>
      </c>
      <c r="F34" s="29" t="str" cm="1">
        <f t="array" aca="1" ref="F34" ca="1">INDEX({"Male","Female"}, RANDBETWEEN(1,2))</f>
        <v>Male</v>
      </c>
      <c r="G34" s="29" t="str">
        <f t="shared" ca="1" si="7"/>
        <v>West</v>
      </c>
      <c r="H34" s="48">
        <f t="shared" ca="1" si="2"/>
        <v>45896</v>
      </c>
      <c r="I34" s="24">
        <f t="shared" ca="1" si="8"/>
        <v>27</v>
      </c>
      <c r="J34" s="46" t="str">
        <f t="shared" ca="1" si="9"/>
        <v>August</v>
      </c>
      <c r="K34" s="24">
        <f t="shared" ca="1" si="10"/>
        <v>2025</v>
      </c>
      <c r="L34" s="24" t="str">
        <f t="shared" ca="1" si="3"/>
        <v>Bronze</v>
      </c>
      <c r="M34" s="29">
        <v>34</v>
      </c>
      <c r="N34" s="29" t="s">
        <v>872</v>
      </c>
      <c r="O34" s="29" t="s">
        <v>870</v>
      </c>
      <c r="P34" s="30">
        <v>105</v>
      </c>
      <c r="Q34" s="30">
        <v>118.64999999999999</v>
      </c>
      <c r="R34" s="29">
        <v>34</v>
      </c>
      <c r="S34" s="24" t="str">
        <f t="shared" si="4"/>
        <v>Jul</v>
      </c>
      <c r="T34" s="47">
        <v>45862</v>
      </c>
      <c r="U34" s="29">
        <v>3</v>
      </c>
      <c r="V34" s="38">
        <v>118</v>
      </c>
      <c r="W34" s="29">
        <v>33</v>
      </c>
      <c r="X34" s="29">
        <v>1</v>
      </c>
      <c r="Y34" s="30">
        <f>combined_tbl!$Q34*(1-combined_tbl!$Z34)</f>
        <v>118.64999999999999</v>
      </c>
      <c r="Z34" s="31">
        <f>IF(combined_tbl!$Q34&gt;=500,0.2, IF(combined_tbl!$Q34&gt;=200,0.05, IF(combined_tbl!$X34&gt;=2,0.05,0)))</f>
        <v>0</v>
      </c>
      <c r="AA34" s="30">
        <f>combined_tbl!$Y34*combined_tbl!$X34</f>
        <v>118.64999999999999</v>
      </c>
      <c r="AB34" s="32">
        <f>(combined_tbl!$Q34*(1+combined_tbl!$Z34)-combined_tbl!$P34)*combined_tbl!$X34</f>
        <v>13.649999999999991</v>
      </c>
      <c r="AF34" t="str">
        <f t="shared" ca="1" si="11"/>
        <v>West</v>
      </c>
      <c r="AI34" s="24" t="str">
        <f t="shared" si="12"/>
        <v>Customer034</v>
      </c>
      <c r="AJ34" s="10">
        <f t="shared" ca="1" si="5"/>
        <v>45734</v>
      </c>
    </row>
    <row r="35" spans="1:36" x14ac:dyDescent="0.3">
      <c r="A35" s="24">
        <v>34</v>
      </c>
      <c r="B35" s="25" cm="1">
        <f t="array" aca="1" ref="B35" ca="1">MIN(IF($E:$E=E35,$H:$H))</f>
        <v>45582</v>
      </c>
      <c r="C35" s="25">
        <f t="shared" ca="1" si="1"/>
        <v>13</v>
      </c>
      <c r="D35" s="42">
        <f ca="1">COUNTIF(E:E,combined_tbl!$E35)</f>
        <v>11</v>
      </c>
      <c r="E35" s="24" t="str">
        <f t="shared" ca="1" si="6"/>
        <v>Customer002</v>
      </c>
      <c r="F35" s="24" t="str" cm="1">
        <f t="array" aca="1" ref="F35" ca="1">INDEX({"Male","Female"}, RANDBETWEEN(1,2))</f>
        <v>Male</v>
      </c>
      <c r="G35" s="29" t="str">
        <f t="shared" ref="G35:G53" ca="1" si="13">_xlfn.XLOOKUP(E35,AI$1:AI$139,AF$2:AF$140)</f>
        <v>East</v>
      </c>
      <c r="H35" s="48">
        <f t="shared" ca="1" si="2"/>
        <v>45582</v>
      </c>
      <c r="I35" s="24">
        <f t="shared" ca="1" si="8"/>
        <v>17</v>
      </c>
      <c r="J35" s="46" t="str">
        <f t="shared" ca="1" si="9"/>
        <v>October</v>
      </c>
      <c r="K35" s="24">
        <f t="shared" ca="1" si="10"/>
        <v>2024</v>
      </c>
      <c r="L35" s="24" t="str">
        <f t="shared" ca="1" si="3"/>
        <v>Silver</v>
      </c>
      <c r="M35" s="24">
        <v>35</v>
      </c>
      <c r="N35" s="24" t="s">
        <v>831</v>
      </c>
      <c r="O35" s="24" t="s">
        <v>871</v>
      </c>
      <c r="P35" s="26">
        <v>224</v>
      </c>
      <c r="Q35" s="26">
        <v>306.88</v>
      </c>
      <c r="R35" s="24">
        <v>35</v>
      </c>
      <c r="S35" s="24" t="str">
        <f t="shared" si="4"/>
        <v>Feb</v>
      </c>
      <c r="T35" s="46">
        <v>45712</v>
      </c>
      <c r="U35" s="24">
        <v>4</v>
      </c>
      <c r="V35" s="37">
        <v>211</v>
      </c>
      <c r="W35" s="24">
        <v>98</v>
      </c>
      <c r="X35" s="24">
        <v>1</v>
      </c>
      <c r="Y35" s="26">
        <f>combined_tbl!$Q35*(1-combined_tbl!$Z35)</f>
        <v>291.536</v>
      </c>
      <c r="Z35" s="27">
        <f>IF(combined_tbl!$Q35&gt;=500,0.2, IF(combined_tbl!$Q35&gt;=200,0.05, IF(combined_tbl!$X35&gt;=2,0.05,0)))</f>
        <v>0.05</v>
      </c>
      <c r="AA35" s="26">
        <f>combined_tbl!$Y35*combined_tbl!$X35</f>
        <v>291.536</v>
      </c>
      <c r="AB35" s="28">
        <f>(combined_tbl!$Q35*(1+combined_tbl!$Z35)-combined_tbl!$P35)*combined_tbl!$X35</f>
        <v>98.22399999999999</v>
      </c>
      <c r="AF35" t="str">
        <f t="shared" ca="1" si="11"/>
        <v>East</v>
      </c>
      <c r="AI35" s="24" t="str">
        <f t="shared" si="12"/>
        <v>Customer035</v>
      </c>
      <c r="AJ35" s="10">
        <f t="shared" ca="1" si="5"/>
        <v>45318</v>
      </c>
    </row>
    <row r="36" spans="1:36" x14ac:dyDescent="0.3">
      <c r="A36" s="29">
        <v>35</v>
      </c>
      <c r="B36" s="25" cm="1">
        <f t="array" aca="1" ref="B36" ca="1">MIN(IF($E:$E=E36,$H:$H))</f>
        <v>45094</v>
      </c>
      <c r="C36" s="25">
        <f t="shared" ca="1" si="1"/>
        <v>29</v>
      </c>
      <c r="D36" s="43">
        <f ca="1">COUNTIF(E:E,combined_tbl!$E36)</f>
        <v>9</v>
      </c>
      <c r="E36" s="29" t="str">
        <f t="shared" ca="1" si="6"/>
        <v>Customer069</v>
      </c>
      <c r="F36" s="29" t="str" cm="1">
        <f t="array" aca="1" ref="F36" ca="1">INDEX({"Male","Female"}, RANDBETWEEN(1,2))</f>
        <v>Female</v>
      </c>
      <c r="G36" s="29" t="str">
        <f t="shared" ca="1" si="13"/>
        <v>North</v>
      </c>
      <c r="H36" s="48">
        <f t="shared" ca="1" si="2"/>
        <v>45094</v>
      </c>
      <c r="I36" s="24">
        <f t="shared" ca="1" si="8"/>
        <v>17</v>
      </c>
      <c r="J36" s="46" t="str">
        <f t="shared" ca="1" si="9"/>
        <v>June</v>
      </c>
      <c r="K36" s="24">
        <f t="shared" ca="1" si="10"/>
        <v>2023</v>
      </c>
      <c r="L36" s="24" t="str">
        <f t="shared" ca="1" si="3"/>
        <v>Gold</v>
      </c>
      <c r="M36" s="29">
        <v>36</v>
      </c>
      <c r="N36" s="29" t="s">
        <v>957</v>
      </c>
      <c r="O36" s="29" t="s">
        <v>873</v>
      </c>
      <c r="P36" s="30">
        <v>81</v>
      </c>
      <c r="Q36" s="30">
        <v>111.77999999999999</v>
      </c>
      <c r="R36" s="29">
        <v>36</v>
      </c>
      <c r="S36" s="24" t="str">
        <f t="shared" si="4"/>
        <v>Nov</v>
      </c>
      <c r="T36" s="47">
        <v>45967</v>
      </c>
      <c r="U36" s="29">
        <v>3</v>
      </c>
      <c r="V36" s="38">
        <v>187</v>
      </c>
      <c r="W36" s="29">
        <v>52</v>
      </c>
      <c r="X36" s="29">
        <v>2</v>
      </c>
      <c r="Y36" s="30">
        <f>combined_tbl!$Q36*(1-combined_tbl!$Z36)</f>
        <v>106.19099999999999</v>
      </c>
      <c r="Z36" s="31">
        <f>IF(combined_tbl!$Q36&gt;=500,0.2, IF(combined_tbl!$Q36&gt;=200,0.05, IF(combined_tbl!$X36&gt;=2,0.05,0)))</f>
        <v>0.05</v>
      </c>
      <c r="AA36" s="30">
        <f>combined_tbl!$Y36*combined_tbl!$X36</f>
        <v>212.38199999999998</v>
      </c>
      <c r="AB36" s="32">
        <f>(combined_tbl!$Q36*(1+combined_tbl!$Z36)-combined_tbl!$P36)*combined_tbl!$X36</f>
        <v>72.737999999999971</v>
      </c>
      <c r="AF36" t="str">
        <f t="shared" ca="1" si="11"/>
        <v>North</v>
      </c>
      <c r="AI36" s="24" t="str">
        <f t="shared" si="12"/>
        <v>Customer036</v>
      </c>
      <c r="AJ36" s="10">
        <f t="shared" ca="1" si="5"/>
        <v>45148</v>
      </c>
    </row>
    <row r="37" spans="1:36" x14ac:dyDescent="0.3">
      <c r="A37" s="29">
        <v>36</v>
      </c>
      <c r="B37" s="25" cm="1">
        <f t="array" aca="1" ref="B37" ca="1">MIN(IF($E:$E=E37,$H:$H))</f>
        <v>45853</v>
      </c>
      <c r="C37" s="25">
        <f t="shared" ca="1" si="1"/>
        <v>4</v>
      </c>
      <c r="D37" s="42">
        <f ca="1">COUNTIF(E:E,combined_tbl!$E37)</f>
        <v>7</v>
      </c>
      <c r="E37" s="24" t="str">
        <f t="shared" ca="1" si="6"/>
        <v>Customer025</v>
      </c>
      <c r="F37" s="24" t="str" cm="1">
        <f t="array" aca="1" ref="F37" ca="1">INDEX({"Male","Female"}, RANDBETWEEN(1,2))</f>
        <v>Male</v>
      </c>
      <c r="G37" s="29" t="str">
        <f t="shared" ca="1" si="13"/>
        <v>West</v>
      </c>
      <c r="H37" s="48">
        <f t="shared" ca="1" si="2"/>
        <v>45853</v>
      </c>
      <c r="I37" s="24">
        <f t="shared" ca="1" si="8"/>
        <v>15</v>
      </c>
      <c r="J37" s="46" t="str">
        <f t="shared" ca="1" si="9"/>
        <v>July</v>
      </c>
      <c r="K37" s="24">
        <f t="shared" ca="1" si="10"/>
        <v>2025</v>
      </c>
      <c r="L37" s="24" t="str">
        <f t="shared" ca="1" si="3"/>
        <v>Bronze</v>
      </c>
      <c r="M37" s="24">
        <v>37</v>
      </c>
      <c r="N37" s="24" t="s">
        <v>955</v>
      </c>
      <c r="O37" s="24" t="s">
        <v>874</v>
      </c>
      <c r="P37" s="26">
        <v>102</v>
      </c>
      <c r="Q37" s="26">
        <v>116.28000000000002</v>
      </c>
      <c r="R37" s="24">
        <v>37</v>
      </c>
      <c r="S37" s="24" t="str">
        <f t="shared" si="4"/>
        <v>May</v>
      </c>
      <c r="T37" s="46">
        <v>45069</v>
      </c>
      <c r="U37" s="24">
        <v>5</v>
      </c>
      <c r="V37" s="37">
        <v>96</v>
      </c>
      <c r="W37" s="24">
        <v>89</v>
      </c>
      <c r="X37" s="24">
        <v>1</v>
      </c>
      <c r="Y37" s="26">
        <f>combined_tbl!$Q37*(1-combined_tbl!$Z37)</f>
        <v>116.28000000000002</v>
      </c>
      <c r="Z37" s="27">
        <f>IF(combined_tbl!$Q37&gt;=500,0.2, IF(combined_tbl!$Q37&gt;=200,0.05, IF(combined_tbl!$X37&gt;=2,0.05,0)))</f>
        <v>0</v>
      </c>
      <c r="AA37" s="26">
        <f>combined_tbl!$Y37*combined_tbl!$X37</f>
        <v>116.28000000000002</v>
      </c>
      <c r="AB37" s="28">
        <f>(combined_tbl!$Q37*(1+combined_tbl!$Z37)-combined_tbl!$P37)*combined_tbl!$X37</f>
        <v>14.280000000000015</v>
      </c>
      <c r="AF37" t="str">
        <f t="shared" ca="1" si="11"/>
        <v>North</v>
      </c>
      <c r="AI37" s="24" t="str">
        <f t="shared" si="12"/>
        <v>Customer037</v>
      </c>
      <c r="AJ37" s="10">
        <f t="shared" ca="1" si="5"/>
        <v>45881</v>
      </c>
    </row>
    <row r="38" spans="1:36" x14ac:dyDescent="0.3">
      <c r="A38" s="29">
        <v>37</v>
      </c>
      <c r="B38" s="25" cm="1">
        <f t="array" aca="1" ref="B38" ca="1">MIN(IF($E:$E=E38,$H:$H))</f>
        <v>45610</v>
      </c>
      <c r="C38" s="25">
        <f t="shared" ca="1" si="1"/>
        <v>12</v>
      </c>
      <c r="D38" s="43">
        <f ca="1">COUNTIF(E:E,combined_tbl!$E38)</f>
        <v>1</v>
      </c>
      <c r="E38" s="29" t="str">
        <f t="shared" ca="1" si="6"/>
        <v>Customer126</v>
      </c>
      <c r="F38" s="29" t="str" cm="1">
        <f t="array" aca="1" ref="F38" ca="1">INDEX({"Male","Female"}, RANDBETWEEN(1,2))</f>
        <v>Male</v>
      </c>
      <c r="G38" s="29" t="str">
        <f t="shared" ca="1" si="13"/>
        <v>East</v>
      </c>
      <c r="H38" s="48">
        <f t="shared" ca="1" si="2"/>
        <v>45610</v>
      </c>
      <c r="I38" s="24">
        <f t="shared" ca="1" si="8"/>
        <v>14</v>
      </c>
      <c r="J38" s="46" t="str">
        <f t="shared" ca="1" si="9"/>
        <v>November</v>
      </c>
      <c r="K38" s="24">
        <f t="shared" ca="1" si="10"/>
        <v>2024</v>
      </c>
      <c r="L38" s="24" t="str">
        <f t="shared" ca="1" si="3"/>
        <v>Bronze</v>
      </c>
      <c r="M38" s="29">
        <v>38</v>
      </c>
      <c r="N38" s="29" t="s">
        <v>954</v>
      </c>
      <c r="O38" s="29" t="s">
        <v>875</v>
      </c>
      <c r="P38" s="30">
        <v>932</v>
      </c>
      <c r="Q38" s="30">
        <v>1248.8800000000001</v>
      </c>
      <c r="R38" s="29">
        <v>38</v>
      </c>
      <c r="S38" s="24" t="str">
        <f t="shared" si="4"/>
        <v>Apr</v>
      </c>
      <c r="T38" s="47">
        <v>45776</v>
      </c>
      <c r="U38" s="29">
        <v>6</v>
      </c>
      <c r="V38" s="38">
        <v>93</v>
      </c>
      <c r="W38" s="29">
        <v>9</v>
      </c>
      <c r="X38" s="29">
        <v>1</v>
      </c>
      <c r="Y38" s="30">
        <f>combined_tbl!$Q38*(1-combined_tbl!$Z38)</f>
        <v>999.10400000000016</v>
      </c>
      <c r="Z38" s="31">
        <f>IF(combined_tbl!$Q38&gt;=500,0.2, IF(combined_tbl!$Q38&gt;=200,0.05, IF(combined_tbl!$X38&gt;=2,0.05,0)))</f>
        <v>0.2</v>
      </c>
      <c r="AA38" s="30">
        <f>combined_tbl!$Y38*combined_tbl!$X38</f>
        <v>999.10400000000016</v>
      </c>
      <c r="AB38" s="32">
        <f>(combined_tbl!$Q38*(1+combined_tbl!$Z38)-combined_tbl!$P38)*combined_tbl!$X38</f>
        <v>566.65600000000018</v>
      </c>
      <c r="AF38" t="str">
        <f t="shared" ca="1" si="11"/>
        <v>West</v>
      </c>
      <c r="AI38" s="24" t="str">
        <f t="shared" si="12"/>
        <v>Customer038</v>
      </c>
      <c r="AJ38" s="10">
        <f t="shared" ca="1" si="5"/>
        <v>45625</v>
      </c>
    </row>
    <row r="39" spans="1:36" x14ac:dyDescent="0.3">
      <c r="A39" s="29">
        <v>38</v>
      </c>
      <c r="B39" s="25" cm="1">
        <f t="array" aca="1" ref="B39" ca="1">MIN(IF($E:$E=E39,$H:$H))</f>
        <v>45054</v>
      </c>
      <c r="C39" s="25">
        <f t="shared" ca="1" si="1"/>
        <v>30</v>
      </c>
      <c r="D39" s="42">
        <f ca="1">COUNTIF(E:E,combined_tbl!$E39)</f>
        <v>2</v>
      </c>
      <c r="E39" s="24" t="str">
        <f t="shared" ca="1" si="6"/>
        <v>Customer077</v>
      </c>
      <c r="F39" s="24" t="str" cm="1">
        <f t="array" aca="1" ref="F39" ca="1">INDEX({"Male","Female"}, RANDBETWEEN(1,2))</f>
        <v>Male</v>
      </c>
      <c r="G39" s="29" t="str">
        <f t="shared" ca="1" si="13"/>
        <v>North</v>
      </c>
      <c r="H39" s="48">
        <f t="shared" ca="1" si="2"/>
        <v>45054</v>
      </c>
      <c r="I39" s="24">
        <f t="shared" ca="1" si="8"/>
        <v>8</v>
      </c>
      <c r="J39" s="46" t="str">
        <f t="shared" ca="1" si="9"/>
        <v>May</v>
      </c>
      <c r="K39" s="24">
        <f t="shared" ca="1" si="10"/>
        <v>2023</v>
      </c>
      <c r="L39" s="24" t="str">
        <f t="shared" ca="1" si="3"/>
        <v>Bronze</v>
      </c>
      <c r="M39" s="24">
        <v>39</v>
      </c>
      <c r="N39" s="24" t="s">
        <v>1359</v>
      </c>
      <c r="O39" s="24" t="s">
        <v>876</v>
      </c>
      <c r="P39" s="26">
        <v>594</v>
      </c>
      <c r="Q39" s="26">
        <v>677.16000000000008</v>
      </c>
      <c r="R39" s="24">
        <v>39</v>
      </c>
      <c r="S39" s="24" t="str">
        <f t="shared" si="4"/>
        <v>Nov</v>
      </c>
      <c r="T39" s="46">
        <v>45966</v>
      </c>
      <c r="U39" s="24">
        <v>5</v>
      </c>
      <c r="V39" s="37">
        <v>110</v>
      </c>
      <c r="W39" s="24">
        <v>94</v>
      </c>
      <c r="X39" s="24">
        <v>1</v>
      </c>
      <c r="Y39" s="26">
        <f>combined_tbl!$Q39*(1-combined_tbl!$Z39)</f>
        <v>541.72800000000007</v>
      </c>
      <c r="Z39" s="27">
        <f>IF(combined_tbl!$Q39&gt;=500,0.2, IF(combined_tbl!$Q39&gt;=200,0.05, IF(combined_tbl!$X39&gt;=2,0.05,0)))</f>
        <v>0.2</v>
      </c>
      <c r="AA39" s="26">
        <f>combined_tbl!$Y39*combined_tbl!$X39</f>
        <v>541.72800000000007</v>
      </c>
      <c r="AB39" s="28">
        <f>(combined_tbl!$Q39*(1+combined_tbl!$Z39)-combined_tbl!$P39)*combined_tbl!$X39</f>
        <v>218.5920000000001</v>
      </c>
      <c r="AF39" t="str">
        <f t="shared" ca="1" si="11"/>
        <v>West</v>
      </c>
      <c r="AI39" s="24" t="str">
        <f t="shared" si="12"/>
        <v>Customer039</v>
      </c>
      <c r="AJ39" s="10">
        <f t="shared" ca="1" si="5"/>
        <v>45016</v>
      </c>
    </row>
    <row r="40" spans="1:36" x14ac:dyDescent="0.3">
      <c r="A40" s="29">
        <v>39</v>
      </c>
      <c r="B40" s="25" cm="1">
        <f t="array" aca="1" ref="B40" ca="1">MIN(IF($E:$E=E40,$H:$H))</f>
        <v>45788</v>
      </c>
      <c r="C40" s="25">
        <f t="shared" ca="1" si="1"/>
        <v>6</v>
      </c>
      <c r="D40" s="43">
        <f ca="1">COUNTIF(E:E,combined_tbl!$E40)</f>
        <v>4</v>
      </c>
      <c r="E40" s="29" t="str">
        <f t="shared" ca="1" si="6"/>
        <v>Customer060</v>
      </c>
      <c r="F40" s="29" t="str" cm="1">
        <f t="array" aca="1" ref="F40" ca="1">INDEX({"Male","Female"}, RANDBETWEEN(1,2))</f>
        <v>Male</v>
      </c>
      <c r="G40" s="29" t="str">
        <f t="shared" ca="1" si="13"/>
        <v>North</v>
      </c>
      <c r="H40" s="48">
        <f t="shared" ca="1" si="2"/>
        <v>45788</v>
      </c>
      <c r="I40" s="24">
        <f t="shared" ca="1" si="8"/>
        <v>11</v>
      </c>
      <c r="J40" s="46" t="str">
        <f t="shared" ca="1" si="9"/>
        <v>May</v>
      </c>
      <c r="K40" s="24">
        <f t="shared" ca="1" si="10"/>
        <v>2025</v>
      </c>
      <c r="L40" s="24" t="str">
        <f t="shared" ca="1" si="3"/>
        <v>Bronze</v>
      </c>
      <c r="M40" s="29">
        <v>40</v>
      </c>
      <c r="N40" s="29" t="s">
        <v>957</v>
      </c>
      <c r="O40" s="29" t="s">
        <v>877</v>
      </c>
      <c r="P40" s="30">
        <v>135</v>
      </c>
      <c r="Q40" s="30">
        <v>174.15</v>
      </c>
      <c r="R40" s="29">
        <v>40</v>
      </c>
      <c r="S40" s="24" t="str">
        <f t="shared" si="4"/>
        <v>Jan</v>
      </c>
      <c r="T40" s="47">
        <v>44932</v>
      </c>
      <c r="U40" s="29">
        <v>5</v>
      </c>
      <c r="V40" s="38">
        <v>39</v>
      </c>
      <c r="W40" s="29">
        <v>25</v>
      </c>
      <c r="X40" s="29">
        <v>1</v>
      </c>
      <c r="Y40" s="30">
        <f>combined_tbl!$Q40*(1-combined_tbl!$Z40)</f>
        <v>174.15</v>
      </c>
      <c r="Z40" s="31">
        <f>IF(combined_tbl!$Q40&gt;=500,0.2, IF(combined_tbl!$Q40&gt;=200,0.05, IF(combined_tbl!$X40&gt;=2,0.05,0)))</f>
        <v>0</v>
      </c>
      <c r="AA40" s="30">
        <f>combined_tbl!$Y40*combined_tbl!$X40</f>
        <v>174.15</v>
      </c>
      <c r="AB40" s="32">
        <f>(combined_tbl!$Q40*(1+combined_tbl!$Z40)-combined_tbl!$P40)*combined_tbl!$X40</f>
        <v>39.150000000000006</v>
      </c>
      <c r="AF40" t="str">
        <f t="shared" ca="1" si="11"/>
        <v>North</v>
      </c>
      <c r="AI40" s="24" t="str">
        <f t="shared" si="12"/>
        <v>Customer040</v>
      </c>
      <c r="AJ40" s="10">
        <f t="shared" ca="1" si="5"/>
        <v>44980</v>
      </c>
    </row>
    <row r="41" spans="1:36" x14ac:dyDescent="0.3">
      <c r="A41" s="29">
        <v>40</v>
      </c>
      <c r="B41" s="25" cm="1">
        <f t="array" aca="1" ref="B41" ca="1">MIN(IF($E:$E=E41,$H:$H))</f>
        <v>45439</v>
      </c>
      <c r="C41" s="25">
        <f t="shared" ca="1" si="1"/>
        <v>18</v>
      </c>
      <c r="D41" s="42">
        <f ca="1">COUNTIF(E:E,combined_tbl!$E41)</f>
        <v>10</v>
      </c>
      <c r="E41" s="24" t="str">
        <f t="shared" ca="1" si="6"/>
        <v>Customer018</v>
      </c>
      <c r="F41" s="24" t="str" cm="1">
        <f t="array" aca="1" ref="F41" ca="1">INDEX({"Male","Female"}, RANDBETWEEN(1,2))</f>
        <v>Female</v>
      </c>
      <c r="G41" s="29" t="str">
        <f t="shared" ca="1" si="13"/>
        <v>East</v>
      </c>
      <c r="H41" s="48">
        <f t="shared" ca="1" si="2"/>
        <v>45439</v>
      </c>
      <c r="I41" s="24">
        <f t="shared" ca="1" si="8"/>
        <v>27</v>
      </c>
      <c r="J41" s="46" t="str">
        <f t="shared" ca="1" si="9"/>
        <v>May</v>
      </c>
      <c r="K41" s="24">
        <f t="shared" ca="1" si="10"/>
        <v>2024</v>
      </c>
      <c r="L41" s="24" t="str">
        <f t="shared" ca="1" si="3"/>
        <v>Gold</v>
      </c>
      <c r="M41" s="24">
        <v>41</v>
      </c>
      <c r="N41" s="24" t="s">
        <v>851</v>
      </c>
      <c r="O41" s="24" t="s">
        <v>878</v>
      </c>
      <c r="P41" s="26">
        <v>84</v>
      </c>
      <c r="Q41" s="26">
        <v>96.6</v>
      </c>
      <c r="R41" s="24">
        <v>41</v>
      </c>
      <c r="S41" s="24" t="str">
        <f t="shared" si="4"/>
        <v>Sep</v>
      </c>
      <c r="T41" s="46">
        <v>45538</v>
      </c>
      <c r="U41" s="24">
        <v>8</v>
      </c>
      <c r="V41" s="37">
        <v>154</v>
      </c>
      <c r="W41" s="24">
        <v>44</v>
      </c>
      <c r="X41" s="24">
        <v>1</v>
      </c>
      <c r="Y41" s="26">
        <f>combined_tbl!$Q41*(1-combined_tbl!$Z41)</f>
        <v>96.6</v>
      </c>
      <c r="Z41" s="27">
        <f>IF(combined_tbl!$Q41&gt;=500,0.2, IF(combined_tbl!$Q41&gt;=200,0.05, IF(combined_tbl!$X41&gt;=2,0.05,0)))</f>
        <v>0</v>
      </c>
      <c r="AA41" s="26">
        <f>combined_tbl!$Y41*combined_tbl!$X41</f>
        <v>96.6</v>
      </c>
      <c r="AB41" s="28">
        <f>(combined_tbl!$Q41*(1+combined_tbl!$Z41)-combined_tbl!$P41)*combined_tbl!$X41</f>
        <v>12.599999999999994</v>
      </c>
      <c r="AF41" t="str">
        <f t="shared" ca="1" si="11"/>
        <v>West</v>
      </c>
      <c r="AI41" s="24" t="str">
        <f t="shared" si="12"/>
        <v>Customer041</v>
      </c>
      <c r="AJ41" s="10">
        <f t="shared" ca="1" si="5"/>
        <v>45608</v>
      </c>
    </row>
    <row r="42" spans="1:36" x14ac:dyDescent="0.3">
      <c r="A42" s="19">
        <v>41</v>
      </c>
      <c r="B42" s="25" cm="1">
        <f t="array" aca="1" ref="B42" ca="1">MIN(IF($E:$E=E42,$H:$H))</f>
        <v>45439</v>
      </c>
      <c r="C42" s="25">
        <f t="shared" ca="1" si="1"/>
        <v>18</v>
      </c>
      <c r="D42" s="43">
        <f ca="1">COUNTIF(E:E,combined_tbl!$E42)</f>
        <v>10</v>
      </c>
      <c r="E42" s="29" t="str">
        <f t="shared" ca="1" si="6"/>
        <v>Customer018</v>
      </c>
      <c r="F42" s="29" t="str" cm="1">
        <f t="array" aca="1" ref="F42" ca="1">INDEX({"Male","Female"}, RANDBETWEEN(1,2))</f>
        <v>Female</v>
      </c>
      <c r="G42" s="29" t="str">
        <f t="shared" ca="1" si="13"/>
        <v>East</v>
      </c>
      <c r="H42" s="48">
        <f t="shared" ca="1" si="2"/>
        <v>45439</v>
      </c>
      <c r="I42" s="24">
        <f t="shared" ca="1" si="8"/>
        <v>27</v>
      </c>
      <c r="J42" s="46" t="str">
        <f t="shared" ca="1" si="9"/>
        <v>May</v>
      </c>
      <c r="K42" s="24">
        <f t="shared" ca="1" si="10"/>
        <v>2024</v>
      </c>
      <c r="L42" s="24" t="str">
        <f t="shared" ca="1" si="3"/>
        <v>Gold</v>
      </c>
      <c r="M42" s="29">
        <v>42</v>
      </c>
      <c r="N42" s="29" t="s">
        <v>831</v>
      </c>
      <c r="O42" s="29" t="s">
        <v>879</v>
      </c>
      <c r="P42" s="30">
        <v>220</v>
      </c>
      <c r="Q42" s="30">
        <v>261.8</v>
      </c>
      <c r="R42" s="29">
        <v>42</v>
      </c>
      <c r="S42" s="24" t="str">
        <f t="shared" si="4"/>
        <v>Nov</v>
      </c>
      <c r="T42" s="47">
        <v>45231</v>
      </c>
      <c r="U42" s="29">
        <v>8</v>
      </c>
      <c r="V42" s="38">
        <v>143</v>
      </c>
      <c r="W42" s="29">
        <v>25</v>
      </c>
      <c r="X42" s="29">
        <v>1</v>
      </c>
      <c r="Y42" s="30">
        <f>combined_tbl!$Q42*(1-combined_tbl!$Z42)</f>
        <v>248.71</v>
      </c>
      <c r="Z42" s="31">
        <f>IF(combined_tbl!$Q42&gt;=500,0.2, IF(combined_tbl!$Q42&gt;=200,0.05, IF(combined_tbl!$X42&gt;=2,0.05,0)))</f>
        <v>0.05</v>
      </c>
      <c r="AA42" s="30">
        <f>combined_tbl!$Y42*combined_tbl!$X42</f>
        <v>248.71</v>
      </c>
      <c r="AB42" s="32">
        <f>(combined_tbl!$Q42*(1+combined_tbl!$Z42)-combined_tbl!$P42)*combined_tbl!$X42</f>
        <v>54.890000000000043</v>
      </c>
      <c r="AF42" t="str">
        <f t="shared" ca="1" si="11"/>
        <v>West</v>
      </c>
      <c r="AI42" s="24" t="str">
        <f t="shared" si="12"/>
        <v>Customer042</v>
      </c>
      <c r="AJ42" s="10">
        <f t="shared" ca="1" si="5"/>
        <v>44960</v>
      </c>
    </row>
    <row r="43" spans="1:36" x14ac:dyDescent="0.3">
      <c r="A43" s="24">
        <v>42</v>
      </c>
      <c r="B43" s="25" cm="1">
        <f t="array" aca="1" ref="B43" ca="1">MIN(IF($E:$E=E43,$H:$H))</f>
        <v>45995</v>
      </c>
      <c r="C43" s="25">
        <f t="shared" ca="1" si="1"/>
        <v>0</v>
      </c>
      <c r="D43" s="42">
        <f ca="1">COUNTIF(E:E,combined_tbl!$E43)</f>
        <v>1</v>
      </c>
      <c r="E43" s="24" t="str">
        <f t="shared" ca="1" si="6"/>
        <v>Customer118</v>
      </c>
      <c r="F43" s="24" t="str" cm="1">
        <f t="array" aca="1" ref="F43" ca="1">INDEX({"Male","Female"}, RANDBETWEEN(1,2))</f>
        <v>Female</v>
      </c>
      <c r="G43" s="29" t="str">
        <f t="shared" ca="1" si="13"/>
        <v>West</v>
      </c>
      <c r="H43" s="48">
        <f t="shared" ca="1" si="2"/>
        <v>45995</v>
      </c>
      <c r="I43" s="24">
        <f t="shared" ca="1" si="8"/>
        <v>4</v>
      </c>
      <c r="J43" s="46" t="str">
        <f t="shared" ca="1" si="9"/>
        <v>December</v>
      </c>
      <c r="K43" s="24">
        <f t="shared" ca="1" si="10"/>
        <v>2025</v>
      </c>
      <c r="L43" s="24" t="str">
        <f t="shared" ca="1" si="3"/>
        <v>Bronze</v>
      </c>
      <c r="M43" s="24">
        <v>43</v>
      </c>
      <c r="N43" s="24" t="s">
        <v>957</v>
      </c>
      <c r="O43" s="24" t="s">
        <v>880</v>
      </c>
      <c r="P43" s="26">
        <v>169</v>
      </c>
      <c r="Q43" s="26">
        <v>189.28000000000003</v>
      </c>
      <c r="R43" s="24">
        <v>43</v>
      </c>
      <c r="S43" s="24" t="str">
        <f t="shared" si="4"/>
        <v>Sep</v>
      </c>
      <c r="T43" s="46">
        <v>45918</v>
      </c>
      <c r="U43" s="24">
        <v>6</v>
      </c>
      <c r="V43" s="37">
        <v>177</v>
      </c>
      <c r="W43" s="24">
        <v>60</v>
      </c>
      <c r="X43" s="24">
        <v>1</v>
      </c>
      <c r="Y43" s="26">
        <f>combined_tbl!$Q43*(1-combined_tbl!$Z43)</f>
        <v>189.28000000000003</v>
      </c>
      <c r="Z43" s="27">
        <f>IF(combined_tbl!$Q43&gt;=500,0.2, IF(combined_tbl!$Q43&gt;=200,0.05, IF(combined_tbl!$X43&gt;=2,0.05,0)))</f>
        <v>0</v>
      </c>
      <c r="AA43" s="26">
        <f>combined_tbl!$Y43*combined_tbl!$X43</f>
        <v>189.28000000000003</v>
      </c>
      <c r="AB43" s="28">
        <f>(combined_tbl!$Q43*(1+combined_tbl!$Z43)-combined_tbl!$P43)*combined_tbl!$X43</f>
        <v>20.28000000000003</v>
      </c>
      <c r="AF43" t="str">
        <f t="shared" ca="1" si="11"/>
        <v>East</v>
      </c>
      <c r="AI43" s="24" t="str">
        <f t="shared" si="12"/>
        <v>Customer043</v>
      </c>
      <c r="AJ43" s="10">
        <f t="shared" ca="1" si="5"/>
        <v>45713</v>
      </c>
    </row>
    <row r="44" spans="1:36" x14ac:dyDescent="0.3">
      <c r="A44" s="29">
        <v>43</v>
      </c>
      <c r="B44" s="25" cm="1">
        <f t="array" aca="1" ref="B44" ca="1">MIN(IF($E:$E=E44,$H:$H))</f>
        <v>45809</v>
      </c>
      <c r="C44" s="25">
        <f t="shared" ca="1" si="1"/>
        <v>6</v>
      </c>
      <c r="D44" s="43">
        <f ca="1">COUNTIF(E:E,combined_tbl!$E44)</f>
        <v>10</v>
      </c>
      <c r="E44" s="29" t="str">
        <f t="shared" ca="1" si="6"/>
        <v>Customer019</v>
      </c>
      <c r="F44" s="29" t="str" cm="1">
        <f t="array" aca="1" ref="F44" ca="1">INDEX({"Male","Female"}, RANDBETWEEN(1,2))</f>
        <v>Male</v>
      </c>
      <c r="G44" s="29" t="str">
        <f t="shared" ca="1" si="13"/>
        <v>North</v>
      </c>
      <c r="H44" s="48">
        <f t="shared" ca="1" si="2"/>
        <v>45809</v>
      </c>
      <c r="I44" s="24">
        <f t="shared" ca="1" si="8"/>
        <v>1</v>
      </c>
      <c r="J44" s="46" t="str">
        <f t="shared" ca="1" si="9"/>
        <v>June</v>
      </c>
      <c r="K44" s="24">
        <f t="shared" ca="1" si="10"/>
        <v>2025</v>
      </c>
      <c r="L44" s="24" t="str">
        <f t="shared" ca="1" si="3"/>
        <v>Bronze</v>
      </c>
      <c r="M44" s="29">
        <v>44</v>
      </c>
      <c r="N44" s="29" t="s">
        <v>847</v>
      </c>
      <c r="O44" s="29" t="s">
        <v>881</v>
      </c>
      <c r="P44" s="30">
        <v>41</v>
      </c>
      <c r="Q44" s="30">
        <v>51.25</v>
      </c>
      <c r="R44" s="29">
        <v>44</v>
      </c>
      <c r="S44" s="24" t="str">
        <f t="shared" si="4"/>
        <v>Nov</v>
      </c>
      <c r="T44" s="47">
        <v>45607</v>
      </c>
      <c r="U44" s="29">
        <v>7</v>
      </c>
      <c r="V44" s="38">
        <v>37</v>
      </c>
      <c r="W44" s="29">
        <v>93</v>
      </c>
      <c r="X44" s="29">
        <v>1</v>
      </c>
      <c r="Y44" s="30">
        <f>combined_tbl!$Q44*(1-combined_tbl!$Z44)</f>
        <v>51.25</v>
      </c>
      <c r="Z44" s="31">
        <f>IF(combined_tbl!$Q44&gt;=500,0.2, IF(combined_tbl!$Q44&gt;=200,0.05, IF(combined_tbl!$X44&gt;=2,0.05,0)))</f>
        <v>0</v>
      </c>
      <c r="AA44" s="30">
        <f>combined_tbl!$Y44*combined_tbl!$X44</f>
        <v>51.25</v>
      </c>
      <c r="AB44" s="32">
        <f>(combined_tbl!$Q44*(1+combined_tbl!$Z44)-combined_tbl!$P44)*combined_tbl!$X44</f>
        <v>10.25</v>
      </c>
      <c r="AF44" t="str">
        <f t="shared" ca="1" si="11"/>
        <v>West</v>
      </c>
      <c r="AI44" s="24" t="str">
        <f t="shared" si="12"/>
        <v>Customer044</v>
      </c>
      <c r="AJ44" s="10">
        <f t="shared" ca="1" si="5"/>
        <v>45638</v>
      </c>
    </row>
    <row r="45" spans="1:36" x14ac:dyDescent="0.3">
      <c r="A45" s="29">
        <v>44</v>
      </c>
      <c r="B45" s="25" cm="1">
        <f t="array" aca="1" ref="B45" ca="1">MIN(IF($E:$E=E45,$H:$H))</f>
        <v>45495</v>
      </c>
      <c r="C45" s="25">
        <f t="shared" ca="1" si="1"/>
        <v>16</v>
      </c>
      <c r="D45" s="42">
        <f ca="1">COUNTIF(E:E,combined_tbl!$E45)</f>
        <v>8</v>
      </c>
      <c r="E45" s="24" t="str">
        <f t="shared" ca="1" si="6"/>
        <v>Customer003</v>
      </c>
      <c r="F45" s="24" t="str" cm="1">
        <f t="array" aca="1" ref="F45" ca="1">INDEX({"Male","Female"}, RANDBETWEEN(1,2))</f>
        <v>Female</v>
      </c>
      <c r="G45" s="29" t="str">
        <f t="shared" ca="1" si="13"/>
        <v>East</v>
      </c>
      <c r="H45" s="48">
        <f t="shared" ca="1" si="2"/>
        <v>45495</v>
      </c>
      <c r="I45" s="24">
        <f t="shared" ca="1" si="8"/>
        <v>22</v>
      </c>
      <c r="J45" s="46" t="str">
        <f t="shared" ca="1" si="9"/>
        <v>July</v>
      </c>
      <c r="K45" s="24">
        <f t="shared" ca="1" si="10"/>
        <v>2024</v>
      </c>
      <c r="L45" s="24" t="str">
        <f t="shared" ca="1" si="3"/>
        <v>Silver</v>
      </c>
      <c r="M45" s="24">
        <v>45</v>
      </c>
      <c r="N45" s="24" t="s">
        <v>872</v>
      </c>
      <c r="O45" s="24" t="s">
        <v>882</v>
      </c>
      <c r="P45" s="26">
        <v>45</v>
      </c>
      <c r="Q45" s="26">
        <v>52.199999999999996</v>
      </c>
      <c r="R45" s="24">
        <v>45</v>
      </c>
      <c r="S45" s="24" t="str">
        <f t="shared" si="4"/>
        <v>Jul</v>
      </c>
      <c r="T45" s="46">
        <v>45859</v>
      </c>
      <c r="U45" s="24">
        <v>6</v>
      </c>
      <c r="V45" s="37">
        <v>125</v>
      </c>
      <c r="W45" s="24">
        <v>69</v>
      </c>
      <c r="X45" s="24">
        <v>1</v>
      </c>
      <c r="Y45" s="26">
        <f>combined_tbl!$Q45*(1-combined_tbl!$Z45)</f>
        <v>52.199999999999996</v>
      </c>
      <c r="Z45" s="27">
        <f>IF(combined_tbl!$Q45&gt;=500,0.2, IF(combined_tbl!$Q45&gt;=200,0.05, IF(combined_tbl!$X45&gt;=2,0.05,0)))</f>
        <v>0</v>
      </c>
      <c r="AA45" s="26">
        <f>combined_tbl!$Y45*combined_tbl!$X45</f>
        <v>52.199999999999996</v>
      </c>
      <c r="AB45" s="28">
        <f>(combined_tbl!$Q45*(1+combined_tbl!$Z45)-combined_tbl!$P45)*combined_tbl!$X45</f>
        <v>7.1999999999999957</v>
      </c>
      <c r="AF45" t="str">
        <f t="shared" ca="1" si="11"/>
        <v>West</v>
      </c>
      <c r="AI45" s="24" t="str">
        <f t="shared" si="12"/>
        <v>Customer045</v>
      </c>
      <c r="AJ45" s="10">
        <f t="shared" ca="1" si="5"/>
        <v>45069</v>
      </c>
    </row>
    <row r="46" spans="1:36" x14ac:dyDescent="0.3">
      <c r="A46" s="29">
        <v>45</v>
      </c>
      <c r="B46" s="25" cm="1">
        <f t="array" aca="1" ref="B46" ca="1">MIN(IF($E:$E=E46,$H:$H))</f>
        <v>45896</v>
      </c>
      <c r="C46" s="25">
        <f t="shared" ca="1" si="1"/>
        <v>3</v>
      </c>
      <c r="D46" s="43">
        <f ca="1">COUNTIF(E:E,combined_tbl!$E46)</f>
        <v>10</v>
      </c>
      <c r="E46" s="29" t="str">
        <f t="shared" ca="1" si="6"/>
        <v>Customer004</v>
      </c>
      <c r="F46" s="29" t="str" cm="1">
        <f t="array" aca="1" ref="F46" ca="1">INDEX({"Male","Female"}, RANDBETWEEN(1,2))</f>
        <v>Female</v>
      </c>
      <c r="G46" s="29" t="str">
        <f t="shared" ca="1" si="13"/>
        <v>West</v>
      </c>
      <c r="H46" s="48">
        <f t="shared" ca="1" si="2"/>
        <v>45896</v>
      </c>
      <c r="I46" s="24">
        <f t="shared" ca="1" si="8"/>
        <v>27</v>
      </c>
      <c r="J46" s="46" t="str">
        <f t="shared" ca="1" si="9"/>
        <v>August</v>
      </c>
      <c r="K46" s="24">
        <f t="shared" ca="1" si="10"/>
        <v>2025</v>
      </c>
      <c r="L46" s="24" t="str">
        <f t="shared" ca="1" si="3"/>
        <v>Bronze</v>
      </c>
      <c r="M46" s="29">
        <v>46</v>
      </c>
      <c r="N46" s="29" t="s">
        <v>851</v>
      </c>
      <c r="O46" s="29" t="s">
        <v>883</v>
      </c>
      <c r="P46" s="30">
        <v>229</v>
      </c>
      <c r="Q46" s="30">
        <v>327.46999999999997</v>
      </c>
      <c r="R46" s="29">
        <v>46</v>
      </c>
      <c r="S46" s="24" t="str">
        <f t="shared" si="4"/>
        <v>Jan</v>
      </c>
      <c r="T46" s="47">
        <v>45313</v>
      </c>
      <c r="U46" s="29">
        <v>4</v>
      </c>
      <c r="V46" s="38">
        <v>94</v>
      </c>
      <c r="W46" s="29">
        <v>62</v>
      </c>
      <c r="X46" s="29">
        <v>1</v>
      </c>
      <c r="Y46" s="30">
        <f>combined_tbl!$Q46*(1-combined_tbl!$Z46)</f>
        <v>311.09649999999993</v>
      </c>
      <c r="Z46" s="31">
        <f>IF(combined_tbl!$Q46&gt;=500,0.2, IF(combined_tbl!$Q46&gt;=200,0.05, IF(combined_tbl!$X46&gt;=2,0.05,0)))</f>
        <v>0.05</v>
      </c>
      <c r="AA46" s="30">
        <f>combined_tbl!$Y46*combined_tbl!$X46</f>
        <v>311.09649999999993</v>
      </c>
      <c r="AB46" s="32">
        <f>(combined_tbl!$Q46*(1+combined_tbl!$Z46)-combined_tbl!$P46)*combined_tbl!$X46</f>
        <v>114.84350000000001</v>
      </c>
      <c r="AF46" t="str">
        <f t="shared" ca="1" si="11"/>
        <v>East</v>
      </c>
      <c r="AI46" s="24" t="str">
        <f t="shared" si="12"/>
        <v>Customer046</v>
      </c>
      <c r="AJ46" s="10">
        <f t="shared" ca="1" si="5"/>
        <v>45615</v>
      </c>
    </row>
    <row r="47" spans="1:36" x14ac:dyDescent="0.3">
      <c r="A47" s="29">
        <v>46</v>
      </c>
      <c r="B47" s="25" cm="1">
        <f t="array" aca="1" ref="B47" ca="1">MIN(IF($E:$E=E47,$H:$H))</f>
        <v>45582</v>
      </c>
      <c r="C47" s="25">
        <f t="shared" ca="1" si="1"/>
        <v>13</v>
      </c>
      <c r="D47" s="42">
        <f ca="1">COUNTIF(E:E,combined_tbl!$E47)</f>
        <v>11</v>
      </c>
      <c r="E47" s="24" t="str">
        <f t="shared" ca="1" si="6"/>
        <v>Customer002</v>
      </c>
      <c r="F47" s="24" t="str" cm="1">
        <f t="array" aca="1" ref="F47" ca="1">INDEX({"Male","Female"}, RANDBETWEEN(1,2))</f>
        <v>Female</v>
      </c>
      <c r="G47" s="29" t="str">
        <f t="shared" ca="1" si="13"/>
        <v>East</v>
      </c>
      <c r="H47" s="48">
        <f t="shared" ca="1" si="2"/>
        <v>45582</v>
      </c>
      <c r="I47" s="24">
        <f t="shared" ca="1" si="8"/>
        <v>17</v>
      </c>
      <c r="J47" s="46" t="str">
        <f t="shared" ca="1" si="9"/>
        <v>October</v>
      </c>
      <c r="K47" s="24">
        <f t="shared" ca="1" si="10"/>
        <v>2024</v>
      </c>
      <c r="L47" s="24" t="str">
        <f t="shared" ca="1" si="3"/>
        <v>Silver</v>
      </c>
      <c r="M47" s="24">
        <v>47</v>
      </c>
      <c r="N47" s="24" t="s">
        <v>851</v>
      </c>
      <c r="O47" s="24" t="s">
        <v>884</v>
      </c>
      <c r="P47" s="26">
        <v>114</v>
      </c>
      <c r="Q47" s="26">
        <v>139.07999999999998</v>
      </c>
      <c r="R47" s="24">
        <v>47</v>
      </c>
      <c r="S47" s="24" t="str">
        <f t="shared" si="4"/>
        <v>Feb</v>
      </c>
      <c r="T47" s="46">
        <v>45711</v>
      </c>
      <c r="U47" s="24">
        <v>4</v>
      </c>
      <c r="V47" s="37">
        <v>149</v>
      </c>
      <c r="W47" s="24">
        <v>80</v>
      </c>
      <c r="X47" s="24">
        <v>1</v>
      </c>
      <c r="Y47" s="26">
        <f>combined_tbl!$Q47*(1-combined_tbl!$Z47)</f>
        <v>139.07999999999998</v>
      </c>
      <c r="Z47" s="27">
        <f>IF(combined_tbl!$Q47&gt;=500,0.2, IF(combined_tbl!$Q47&gt;=200,0.05, IF(combined_tbl!$X47&gt;=2,0.05,0)))</f>
        <v>0</v>
      </c>
      <c r="AA47" s="26">
        <f>combined_tbl!$Y47*combined_tbl!$X47</f>
        <v>139.07999999999998</v>
      </c>
      <c r="AB47" s="28">
        <f>(combined_tbl!$Q47*(1+combined_tbl!$Z47)-combined_tbl!$P47)*combined_tbl!$X47</f>
        <v>25.079999999999984</v>
      </c>
      <c r="AF47" t="str">
        <f t="shared" ca="1" si="11"/>
        <v>North</v>
      </c>
      <c r="AI47" s="24" t="str">
        <f t="shared" si="12"/>
        <v>Customer047</v>
      </c>
      <c r="AJ47" s="10">
        <f t="shared" ca="1" si="5"/>
        <v>45492</v>
      </c>
    </row>
    <row r="48" spans="1:36" x14ac:dyDescent="0.3">
      <c r="A48" s="29">
        <v>47</v>
      </c>
      <c r="B48" s="25" cm="1">
        <f t="array" aca="1" ref="B48" ca="1">MIN(IF($E:$E=E48,$H:$H))</f>
        <v>45346</v>
      </c>
      <c r="C48" s="25">
        <f t="shared" ca="1" si="1"/>
        <v>21</v>
      </c>
      <c r="D48" s="43">
        <f ca="1">COUNTIF(E:E,combined_tbl!$E48)</f>
        <v>12</v>
      </c>
      <c r="E48" s="29" t="str">
        <f t="shared" ca="1" si="6"/>
        <v>Customer011</v>
      </c>
      <c r="F48" s="29" t="str" cm="1">
        <f t="array" aca="1" ref="F48" ca="1">INDEX({"Male","Female"}, RANDBETWEEN(1,2))</f>
        <v>Female</v>
      </c>
      <c r="G48" s="29" t="str">
        <f t="shared" ca="1" si="13"/>
        <v>East</v>
      </c>
      <c r="H48" s="48">
        <f t="shared" ca="1" si="2"/>
        <v>45346</v>
      </c>
      <c r="I48" s="24">
        <f t="shared" ca="1" si="8"/>
        <v>24</v>
      </c>
      <c r="J48" s="46" t="str">
        <f t="shared" ca="1" si="9"/>
        <v>February</v>
      </c>
      <c r="K48" s="24">
        <f t="shared" ca="1" si="10"/>
        <v>2024</v>
      </c>
      <c r="L48" s="24" t="str">
        <f t="shared" ca="1" si="3"/>
        <v>Gold</v>
      </c>
      <c r="M48" s="29">
        <v>48</v>
      </c>
      <c r="N48" s="29" t="s">
        <v>851</v>
      </c>
      <c r="O48" s="29" t="s">
        <v>885</v>
      </c>
      <c r="P48" s="30">
        <v>44</v>
      </c>
      <c r="Q48" s="30">
        <v>51.919999999999995</v>
      </c>
      <c r="R48" s="29">
        <v>48</v>
      </c>
      <c r="S48" s="24" t="str">
        <f t="shared" si="4"/>
        <v>Apr</v>
      </c>
      <c r="T48" s="47">
        <v>45768</v>
      </c>
      <c r="U48" s="29">
        <v>1</v>
      </c>
      <c r="V48" s="38">
        <v>218</v>
      </c>
      <c r="W48" s="29">
        <v>86</v>
      </c>
      <c r="X48" s="29">
        <v>1</v>
      </c>
      <c r="Y48" s="30">
        <f>combined_tbl!$Q48*(1-combined_tbl!$Z48)</f>
        <v>51.919999999999995</v>
      </c>
      <c r="Z48" s="31">
        <f>IF(combined_tbl!$Q48&gt;=500,0.2, IF(combined_tbl!$Q48&gt;=200,0.05, IF(combined_tbl!$X48&gt;=2,0.05,0)))</f>
        <v>0</v>
      </c>
      <c r="AA48" s="30">
        <f>combined_tbl!$Y48*combined_tbl!$X48</f>
        <v>51.919999999999995</v>
      </c>
      <c r="AB48" s="32">
        <f>(combined_tbl!$Q48*(1+combined_tbl!$Z48)-combined_tbl!$P48)*combined_tbl!$X48</f>
        <v>7.9199999999999946</v>
      </c>
      <c r="AF48" t="str">
        <f t="shared" ca="1" si="11"/>
        <v>North</v>
      </c>
      <c r="AI48" s="24" t="str">
        <f t="shared" si="12"/>
        <v>Customer048</v>
      </c>
      <c r="AJ48" s="10">
        <f t="shared" ca="1" si="5"/>
        <v>45492</v>
      </c>
    </row>
    <row r="49" spans="1:36" x14ac:dyDescent="0.3">
      <c r="A49" s="29">
        <v>48</v>
      </c>
      <c r="B49" s="25" cm="1">
        <f t="array" aca="1" ref="B49" ca="1">MIN(IF($E:$E=E49,$H:$H))</f>
        <v>45896</v>
      </c>
      <c r="C49" s="25">
        <f t="shared" ca="1" si="1"/>
        <v>3</v>
      </c>
      <c r="D49" s="42">
        <f ca="1">COUNTIF(E:E,combined_tbl!$E49)</f>
        <v>10</v>
      </c>
      <c r="E49" s="24" t="str">
        <f t="shared" ca="1" si="6"/>
        <v>Customer004</v>
      </c>
      <c r="F49" s="24" t="str" cm="1">
        <f t="array" aca="1" ref="F49" ca="1">INDEX({"Male","Female"}, RANDBETWEEN(1,2))</f>
        <v>Female</v>
      </c>
      <c r="G49" s="29" t="str">
        <f t="shared" ca="1" si="13"/>
        <v>West</v>
      </c>
      <c r="H49" s="48">
        <f t="shared" ca="1" si="2"/>
        <v>45896</v>
      </c>
      <c r="I49" s="24">
        <f t="shared" ca="1" si="8"/>
        <v>27</v>
      </c>
      <c r="J49" s="46" t="str">
        <f t="shared" ca="1" si="9"/>
        <v>August</v>
      </c>
      <c r="K49" s="24">
        <f t="shared" ca="1" si="10"/>
        <v>2025</v>
      </c>
      <c r="L49" s="24" t="str">
        <f t="shared" ca="1" si="3"/>
        <v>Bronze</v>
      </c>
      <c r="M49" s="24">
        <v>49</v>
      </c>
      <c r="N49" s="24" t="s">
        <v>872</v>
      </c>
      <c r="O49" s="24" t="s">
        <v>886</v>
      </c>
      <c r="P49" s="26">
        <v>113</v>
      </c>
      <c r="Q49" s="26">
        <v>160.45999999999998</v>
      </c>
      <c r="R49" s="24">
        <v>49</v>
      </c>
      <c r="S49" s="24" t="str">
        <f t="shared" si="4"/>
        <v>Oct</v>
      </c>
      <c r="T49" s="46">
        <v>45578</v>
      </c>
      <c r="U49" s="24">
        <v>8</v>
      </c>
      <c r="V49" s="37">
        <v>83</v>
      </c>
      <c r="W49" s="24">
        <v>72</v>
      </c>
      <c r="X49" s="24">
        <v>1</v>
      </c>
      <c r="Y49" s="26">
        <f>combined_tbl!$Q49*(1-combined_tbl!$Z49)</f>
        <v>160.45999999999998</v>
      </c>
      <c r="Z49" s="27">
        <f>IF(combined_tbl!$Q49&gt;=500,0.2, IF(combined_tbl!$Q49&gt;=200,0.05, IF(combined_tbl!$X49&gt;=2,0.05,0)))</f>
        <v>0</v>
      </c>
      <c r="AA49" s="26">
        <f>combined_tbl!$Y49*combined_tbl!$X49</f>
        <v>160.45999999999998</v>
      </c>
      <c r="AB49" s="28">
        <f>(combined_tbl!$Q49*(1+combined_tbl!$Z49)-combined_tbl!$P49)*combined_tbl!$X49</f>
        <v>47.45999999999998</v>
      </c>
      <c r="AF49" t="str">
        <f t="shared" ca="1" si="11"/>
        <v>West</v>
      </c>
      <c r="AI49" s="24" t="str">
        <f t="shared" si="12"/>
        <v>Customer049</v>
      </c>
      <c r="AJ49" s="10">
        <f t="shared" ca="1" si="5"/>
        <v>45826</v>
      </c>
    </row>
    <row r="50" spans="1:36" x14ac:dyDescent="0.3">
      <c r="A50" s="19">
        <v>49</v>
      </c>
      <c r="B50" s="25" cm="1">
        <f t="array" aca="1" ref="B50" ca="1">MIN(IF($E:$E=E50,$H:$H))</f>
        <v>45400</v>
      </c>
      <c r="C50" s="25">
        <f t="shared" ca="1" si="1"/>
        <v>19</v>
      </c>
      <c r="D50" s="43">
        <f ca="1">COUNTIF(E:E,combined_tbl!$E50)</f>
        <v>8</v>
      </c>
      <c r="E50" s="29" t="str">
        <f t="shared" ca="1" si="6"/>
        <v>Customer030</v>
      </c>
      <c r="F50" s="29" t="str" cm="1">
        <f t="array" aca="1" ref="F50" ca="1">INDEX({"Male","Female"}, RANDBETWEEN(1,2))</f>
        <v>Male</v>
      </c>
      <c r="G50" s="29" t="str">
        <f t="shared" ca="1" si="13"/>
        <v>South</v>
      </c>
      <c r="H50" s="48">
        <f t="shared" ca="1" si="2"/>
        <v>45400</v>
      </c>
      <c r="I50" s="24">
        <f t="shared" ca="1" si="8"/>
        <v>18</v>
      </c>
      <c r="J50" s="46" t="str">
        <f t="shared" ca="1" si="9"/>
        <v>April</v>
      </c>
      <c r="K50" s="24">
        <f t="shared" ca="1" si="10"/>
        <v>2024</v>
      </c>
      <c r="L50" s="24" t="str">
        <f t="shared" ca="1" si="3"/>
        <v>Gold</v>
      </c>
      <c r="M50" s="29">
        <v>50</v>
      </c>
      <c r="N50" s="29" t="s">
        <v>837</v>
      </c>
      <c r="O50" s="29" t="s">
        <v>887</v>
      </c>
      <c r="P50" s="30">
        <v>170</v>
      </c>
      <c r="Q50" s="30">
        <v>192.1</v>
      </c>
      <c r="R50" s="29">
        <v>50</v>
      </c>
      <c r="S50" s="24" t="str">
        <f t="shared" si="4"/>
        <v>Feb</v>
      </c>
      <c r="T50" s="47">
        <v>45707</v>
      </c>
      <c r="U50" s="29">
        <v>7</v>
      </c>
      <c r="V50" s="38">
        <v>193</v>
      </c>
      <c r="W50" s="29">
        <v>83</v>
      </c>
      <c r="X50" s="29">
        <v>1</v>
      </c>
      <c r="Y50" s="30">
        <f>combined_tbl!$Q50*(1-combined_tbl!$Z50)</f>
        <v>192.1</v>
      </c>
      <c r="Z50" s="31">
        <f>IF(combined_tbl!$Q50&gt;=500,0.2, IF(combined_tbl!$Q50&gt;=200,0.05, IF(combined_tbl!$X50&gt;=2,0.05,0)))</f>
        <v>0</v>
      </c>
      <c r="AA50" s="30">
        <f>combined_tbl!$Y50*combined_tbl!$X50</f>
        <v>192.1</v>
      </c>
      <c r="AB50" s="32">
        <f>(combined_tbl!$Q50*(1+combined_tbl!$Z50)-combined_tbl!$P50)*combined_tbl!$X50</f>
        <v>22.099999999999994</v>
      </c>
      <c r="AF50" t="str">
        <f t="shared" ca="1" si="11"/>
        <v>West</v>
      </c>
      <c r="AI50" s="24" t="str">
        <f t="shared" si="12"/>
        <v>Customer050</v>
      </c>
      <c r="AJ50" s="10">
        <f t="shared" ca="1" si="5"/>
        <v>45595</v>
      </c>
    </row>
    <row r="51" spans="1:36" x14ac:dyDescent="0.3">
      <c r="A51" s="24">
        <v>50</v>
      </c>
      <c r="B51" s="25" cm="1">
        <f t="array" aca="1" ref="B51" ca="1">MIN(IF($E:$E=E51,$H:$H))</f>
        <v>45016</v>
      </c>
      <c r="C51" s="25">
        <f t="shared" ca="1" si="1"/>
        <v>32</v>
      </c>
      <c r="D51" s="42">
        <f ca="1">COUNTIF(E:E,combined_tbl!$E51)</f>
        <v>1</v>
      </c>
      <c r="E51" s="24" t="str">
        <f t="shared" ca="1" si="6"/>
        <v>Customer039</v>
      </c>
      <c r="F51" s="24" t="str" cm="1">
        <f t="array" aca="1" ref="F51" ca="1">INDEX({"Male","Female"}, RANDBETWEEN(1,2))</f>
        <v>Female</v>
      </c>
      <c r="G51" s="29" t="str">
        <f t="shared" ca="1" si="13"/>
        <v>North</v>
      </c>
      <c r="H51" s="48">
        <f t="shared" ca="1" si="2"/>
        <v>45016</v>
      </c>
      <c r="I51" s="24">
        <f t="shared" ca="1" si="8"/>
        <v>31</v>
      </c>
      <c r="J51" s="46" t="str">
        <f t="shared" ca="1" si="9"/>
        <v>March</v>
      </c>
      <c r="K51" s="24">
        <f t="shared" ca="1" si="10"/>
        <v>2023</v>
      </c>
      <c r="L51" s="24" t="str">
        <f t="shared" ca="1" si="3"/>
        <v>Bronze</v>
      </c>
      <c r="M51" s="24">
        <v>51</v>
      </c>
      <c r="N51" s="24" t="s">
        <v>957</v>
      </c>
      <c r="O51" s="24" t="s">
        <v>888</v>
      </c>
      <c r="P51" s="26">
        <v>53</v>
      </c>
      <c r="Q51" s="26">
        <v>58.830000000000005</v>
      </c>
      <c r="R51" s="24">
        <v>51</v>
      </c>
      <c r="S51" s="24" t="str">
        <f t="shared" si="4"/>
        <v>Nov</v>
      </c>
      <c r="T51" s="46">
        <v>45238</v>
      </c>
      <c r="U51" s="24">
        <v>8</v>
      </c>
      <c r="V51" s="37">
        <v>127</v>
      </c>
      <c r="W51" s="24">
        <v>5</v>
      </c>
      <c r="X51" s="24">
        <v>1</v>
      </c>
      <c r="Y51" s="26">
        <f>combined_tbl!$Q51*(1-combined_tbl!$Z51)</f>
        <v>58.830000000000005</v>
      </c>
      <c r="Z51" s="27">
        <f>IF(combined_tbl!$Q51&gt;=500,0.2, IF(combined_tbl!$Q51&gt;=200,0.05, IF(combined_tbl!$X51&gt;=2,0.05,0)))</f>
        <v>0</v>
      </c>
      <c r="AA51" s="26">
        <f>combined_tbl!$Y51*combined_tbl!$X51</f>
        <v>58.830000000000005</v>
      </c>
      <c r="AB51" s="28">
        <f>(combined_tbl!$Q51*(1+combined_tbl!$Z51)-combined_tbl!$P51)*combined_tbl!$X51</f>
        <v>5.8300000000000054</v>
      </c>
      <c r="AF51" t="str">
        <f t="shared" ca="1" si="11"/>
        <v>North</v>
      </c>
      <c r="AI51" s="24" t="str">
        <f t="shared" si="12"/>
        <v>Customer051</v>
      </c>
      <c r="AJ51" s="10">
        <f t="shared" ca="1" si="5"/>
        <v>45205</v>
      </c>
    </row>
    <row r="52" spans="1:36" x14ac:dyDescent="0.3">
      <c r="A52" s="29">
        <v>51</v>
      </c>
      <c r="B52" s="25" cm="1">
        <f t="array" aca="1" ref="B52" ca="1">MIN(IF($E:$E=E52,$H:$H))</f>
        <v>45560</v>
      </c>
      <c r="C52" s="25">
        <f t="shared" ca="1" si="1"/>
        <v>14</v>
      </c>
      <c r="D52" s="43">
        <f ca="1">COUNTIF(E:E,combined_tbl!$E52)</f>
        <v>8</v>
      </c>
      <c r="E52" s="29" t="str">
        <f t="shared" ca="1" si="6"/>
        <v>Customer021</v>
      </c>
      <c r="F52" s="29" t="str" cm="1">
        <f t="array" aca="1" ref="F52" ca="1">INDEX({"Male","Female"}, RANDBETWEEN(1,2))</f>
        <v>Male</v>
      </c>
      <c r="G52" s="29" t="str">
        <f t="shared" ca="1" si="13"/>
        <v>South</v>
      </c>
      <c r="H52" s="48">
        <f t="shared" ca="1" si="2"/>
        <v>45560</v>
      </c>
      <c r="I52" s="24">
        <f t="shared" ca="1" si="8"/>
        <v>25</v>
      </c>
      <c r="J52" s="46" t="str">
        <f t="shared" ca="1" si="9"/>
        <v>September</v>
      </c>
      <c r="K52" s="24">
        <f t="shared" ca="1" si="10"/>
        <v>2024</v>
      </c>
      <c r="L52" s="24" t="str">
        <f t="shared" ca="1" si="3"/>
        <v>Silver</v>
      </c>
      <c r="M52" s="29">
        <v>52</v>
      </c>
      <c r="N52" s="29" t="s">
        <v>847</v>
      </c>
      <c r="O52" s="29" t="s">
        <v>889</v>
      </c>
      <c r="P52" s="30">
        <v>57</v>
      </c>
      <c r="Q52" s="30">
        <v>68.97</v>
      </c>
      <c r="R52" s="29">
        <v>52</v>
      </c>
      <c r="S52" s="24" t="str">
        <f t="shared" si="4"/>
        <v>Mar</v>
      </c>
      <c r="T52" s="47">
        <v>45002</v>
      </c>
      <c r="U52" s="29">
        <v>3</v>
      </c>
      <c r="V52" s="38">
        <v>217</v>
      </c>
      <c r="W52" s="29">
        <v>71</v>
      </c>
      <c r="X52" s="29">
        <v>1</v>
      </c>
      <c r="Y52" s="30">
        <f>combined_tbl!$Q52*(1-combined_tbl!$Z52)</f>
        <v>68.97</v>
      </c>
      <c r="Z52" s="31">
        <f>IF(combined_tbl!$Q52&gt;=500,0.2, IF(combined_tbl!$Q52&gt;=200,0.05, IF(combined_tbl!$X52&gt;=2,0.05,0)))</f>
        <v>0</v>
      </c>
      <c r="AA52" s="30">
        <f>combined_tbl!$Y52*combined_tbl!$X52</f>
        <v>68.97</v>
      </c>
      <c r="AB52" s="32">
        <f>(combined_tbl!$Q52*(1+combined_tbl!$Z52)-combined_tbl!$P52)*combined_tbl!$X52</f>
        <v>11.969999999999999</v>
      </c>
      <c r="AF52" t="str">
        <f t="shared" ca="1" si="11"/>
        <v>East</v>
      </c>
      <c r="AI52" s="24" t="str">
        <f t="shared" si="12"/>
        <v>Customer052</v>
      </c>
      <c r="AJ52" s="10">
        <f t="shared" ca="1" si="5"/>
        <v>45143</v>
      </c>
    </row>
    <row r="53" spans="1:36" x14ac:dyDescent="0.3">
      <c r="A53" s="29">
        <v>52</v>
      </c>
      <c r="B53" s="25" cm="1">
        <f t="array" aca="1" ref="B53" ca="1">MIN(IF($E:$E=E53,$H:$H))</f>
        <v>45637</v>
      </c>
      <c r="C53" s="25">
        <f t="shared" ca="1" si="1"/>
        <v>11</v>
      </c>
      <c r="D53" s="42">
        <f ca="1">COUNTIF(E:E,combined_tbl!$E53)</f>
        <v>4</v>
      </c>
      <c r="E53" s="24" t="str">
        <f t="shared" ca="1" si="6"/>
        <v>Customer059</v>
      </c>
      <c r="F53" s="24" t="str" cm="1">
        <f t="array" aca="1" ref="F53" ca="1">INDEX({"Male","Female"}, RANDBETWEEN(1,2))</f>
        <v>Male</v>
      </c>
      <c r="G53" s="29" t="str">
        <f t="shared" ca="1" si="13"/>
        <v>East</v>
      </c>
      <c r="H53" s="48">
        <f t="shared" ca="1" si="2"/>
        <v>45637</v>
      </c>
      <c r="I53" s="24">
        <f t="shared" ca="1" si="8"/>
        <v>11</v>
      </c>
      <c r="J53" s="46" t="str">
        <f t="shared" ca="1" si="9"/>
        <v>December</v>
      </c>
      <c r="K53" s="24">
        <f t="shared" ca="1" si="10"/>
        <v>2024</v>
      </c>
      <c r="L53" s="24" t="str">
        <f t="shared" ca="1" si="3"/>
        <v>Bronze</v>
      </c>
      <c r="M53" s="24">
        <v>53</v>
      </c>
      <c r="N53" s="24" t="s">
        <v>1359</v>
      </c>
      <c r="O53" s="24" t="s">
        <v>890</v>
      </c>
      <c r="P53" s="26">
        <v>176</v>
      </c>
      <c r="Q53" s="26">
        <v>235.84</v>
      </c>
      <c r="R53" s="24">
        <v>53</v>
      </c>
      <c r="S53" s="24" t="str">
        <f t="shared" si="4"/>
        <v>Oct</v>
      </c>
      <c r="T53" s="46">
        <v>45955</v>
      </c>
      <c r="U53" s="24">
        <v>6</v>
      </c>
      <c r="V53" s="37">
        <v>195</v>
      </c>
      <c r="W53" s="24">
        <v>4</v>
      </c>
      <c r="X53" s="24">
        <v>1</v>
      </c>
      <c r="Y53" s="26">
        <f>combined_tbl!$Q53*(1-combined_tbl!$Z53)</f>
        <v>224.048</v>
      </c>
      <c r="Z53" s="27">
        <f>IF(combined_tbl!$Q53&gt;=500,0.2, IF(combined_tbl!$Q53&gt;=200,0.05, IF(combined_tbl!$X53&gt;=2,0.05,0)))</f>
        <v>0.05</v>
      </c>
      <c r="AA53" s="26">
        <f>combined_tbl!$Y53*combined_tbl!$X53</f>
        <v>224.048</v>
      </c>
      <c r="AB53" s="28">
        <f>(combined_tbl!$Q53*(1+combined_tbl!$Z53)-combined_tbl!$P53)*combined_tbl!$X53</f>
        <v>71.632000000000005</v>
      </c>
      <c r="AF53" t="str">
        <f t="shared" ca="1" si="11"/>
        <v>South</v>
      </c>
      <c r="AI53" s="24" t="str">
        <f t="shared" si="12"/>
        <v>Customer053</v>
      </c>
      <c r="AJ53" s="10">
        <f t="shared" ca="1" si="5"/>
        <v>45356</v>
      </c>
    </row>
    <row r="54" spans="1:36" x14ac:dyDescent="0.3">
      <c r="A54" s="29">
        <v>53</v>
      </c>
      <c r="B54" s="25" cm="1">
        <f t="array" aca="1" ref="B54" ca="1">MIN(IF($E:$E=E54,$H:$H))</f>
        <v>45991</v>
      </c>
      <c r="C54" s="25">
        <f t="shared" ca="1" si="1"/>
        <v>0</v>
      </c>
      <c r="D54" s="43">
        <f ca="1">COUNTIF(E:E,combined_tbl!$E54)</f>
        <v>9</v>
      </c>
      <c r="E54" s="29" t="str">
        <f t="shared" ca="1" si="6"/>
        <v>Customer029</v>
      </c>
      <c r="F54" s="29" t="str" cm="1">
        <f t="array" aca="1" ref="F54" ca="1">INDEX({"Male","Female"}, RANDBETWEEN(1,2))</f>
        <v>Male</v>
      </c>
      <c r="G54" s="29" t="str">
        <f ca="1">_xlfn.XLOOKUP(E54,AI$1:AI$139,AF$1:AF$139)</f>
        <v>East</v>
      </c>
      <c r="H54" s="48">
        <f t="shared" ca="1" si="2"/>
        <v>45991</v>
      </c>
      <c r="I54" s="24">
        <f t="shared" ca="1" si="8"/>
        <v>30</v>
      </c>
      <c r="J54" s="46" t="str">
        <f t="shared" ca="1" si="9"/>
        <v>November</v>
      </c>
      <c r="K54" s="24">
        <f t="shared" ca="1" si="10"/>
        <v>2025</v>
      </c>
      <c r="L54" s="24" t="str">
        <f t="shared" ca="1" si="3"/>
        <v>Bronze</v>
      </c>
      <c r="M54" s="29">
        <v>54</v>
      </c>
      <c r="N54" s="29" t="s">
        <v>955</v>
      </c>
      <c r="O54" s="29" t="s">
        <v>891</v>
      </c>
      <c r="P54" s="30">
        <v>71</v>
      </c>
      <c r="Q54" s="30">
        <v>95.850000000000009</v>
      </c>
      <c r="R54" s="29">
        <v>54</v>
      </c>
      <c r="S54" s="24" t="str">
        <f t="shared" si="4"/>
        <v>Jul</v>
      </c>
      <c r="T54" s="47">
        <v>45132</v>
      </c>
      <c r="U54" s="29">
        <v>8</v>
      </c>
      <c r="V54" s="38">
        <v>17</v>
      </c>
      <c r="W54" s="29">
        <v>50</v>
      </c>
      <c r="X54" s="29">
        <v>1</v>
      </c>
      <c r="Y54" s="30">
        <f>combined_tbl!$Q54*(1-combined_tbl!$Z54)</f>
        <v>95.850000000000009</v>
      </c>
      <c r="Z54" s="31">
        <f>IF(combined_tbl!$Q54&gt;=500,0.2, IF(combined_tbl!$Q54&gt;=200,0.05, IF(combined_tbl!$X54&gt;=2,0.05,0)))</f>
        <v>0</v>
      </c>
      <c r="AA54" s="30">
        <f>combined_tbl!$Y54*combined_tbl!$X54</f>
        <v>95.850000000000009</v>
      </c>
      <c r="AB54" s="32">
        <f>(combined_tbl!$Q54*(1+combined_tbl!$Z54)-combined_tbl!$P54)*combined_tbl!$X54</f>
        <v>24.850000000000009</v>
      </c>
      <c r="AF54" t="str">
        <f t="shared" ca="1" si="11"/>
        <v>North</v>
      </c>
      <c r="AI54" s="24" t="str">
        <f t="shared" si="12"/>
        <v>Customer054</v>
      </c>
      <c r="AJ54" s="10">
        <f t="shared" ca="1" si="5"/>
        <v>44938</v>
      </c>
    </row>
    <row r="55" spans="1:36" x14ac:dyDescent="0.3">
      <c r="A55" s="29">
        <v>54</v>
      </c>
      <c r="B55" s="25" cm="1">
        <f t="array" aca="1" ref="B55" ca="1">MIN(IF($E:$E=E55,$H:$H))</f>
        <v>45625</v>
      </c>
      <c r="C55" s="25">
        <f t="shared" ca="1" si="1"/>
        <v>12</v>
      </c>
      <c r="D55" s="42">
        <f ca="1">COUNTIF(E:E,combined_tbl!$E55)</f>
        <v>7</v>
      </c>
      <c r="E55" s="24" t="str">
        <f t="shared" ca="1" si="6"/>
        <v>Customer038</v>
      </c>
      <c r="F55" s="24" t="str" cm="1">
        <f t="array" aca="1" ref="F55" ca="1">INDEX({"Male","Female"}, RANDBETWEEN(1,2))</f>
        <v>Female</v>
      </c>
      <c r="G55" s="29" t="str">
        <f t="shared" ref="G55:G118" ca="1" si="14">_xlfn.XLOOKUP(E55,AI$1:AI$139,AF$2:AF$140)</f>
        <v>West</v>
      </c>
      <c r="H55" s="48">
        <f t="shared" ca="1" si="2"/>
        <v>45625</v>
      </c>
      <c r="I55" s="24">
        <f t="shared" ca="1" si="8"/>
        <v>29</v>
      </c>
      <c r="J55" s="46" t="str">
        <f t="shared" ca="1" si="9"/>
        <v>November</v>
      </c>
      <c r="K55" s="24">
        <f t="shared" ca="1" si="10"/>
        <v>2024</v>
      </c>
      <c r="L55" s="24" t="str">
        <f t="shared" ca="1" si="3"/>
        <v>Silver</v>
      </c>
      <c r="M55" s="24">
        <v>55</v>
      </c>
      <c r="N55" s="24" t="s">
        <v>837</v>
      </c>
      <c r="O55" s="24" t="s">
        <v>892</v>
      </c>
      <c r="P55" s="26">
        <v>214</v>
      </c>
      <c r="Q55" s="26">
        <v>291.03999999999996</v>
      </c>
      <c r="R55" s="24">
        <v>55</v>
      </c>
      <c r="S55" s="24" t="str">
        <f t="shared" si="4"/>
        <v>Jul</v>
      </c>
      <c r="T55" s="46">
        <v>45131</v>
      </c>
      <c r="U55" s="24">
        <v>8</v>
      </c>
      <c r="V55" s="37">
        <v>200</v>
      </c>
      <c r="W55" s="24">
        <v>64</v>
      </c>
      <c r="X55" s="24">
        <v>1</v>
      </c>
      <c r="Y55" s="26">
        <f>combined_tbl!$Q55*(1-combined_tbl!$Z55)</f>
        <v>276.48799999999994</v>
      </c>
      <c r="Z55" s="27">
        <f>IF(combined_tbl!$Q55&gt;=500,0.2, IF(combined_tbl!$Q55&gt;=200,0.05, IF(combined_tbl!$X55&gt;=2,0.05,0)))</f>
        <v>0.05</v>
      </c>
      <c r="AA55" s="26">
        <f>combined_tbl!$Y55*combined_tbl!$X55</f>
        <v>276.48799999999994</v>
      </c>
      <c r="AB55" s="28">
        <f>(combined_tbl!$Q55*(1+combined_tbl!$Z55)-combined_tbl!$P55)*combined_tbl!$X55</f>
        <v>91.591999999999985</v>
      </c>
      <c r="AF55" t="str">
        <f t="shared" ca="1" si="11"/>
        <v>West</v>
      </c>
      <c r="AI55" s="24" t="str">
        <f t="shared" si="12"/>
        <v>Customer055</v>
      </c>
      <c r="AJ55" s="10">
        <f t="shared" ca="1" si="5"/>
        <v>45922</v>
      </c>
    </row>
    <row r="56" spans="1:36" x14ac:dyDescent="0.3">
      <c r="A56" s="29">
        <v>55</v>
      </c>
      <c r="B56" s="25" cm="1">
        <f t="array" aca="1" ref="B56" ca="1">MIN(IF($E:$E=E56,$H:$H))</f>
        <v>45237</v>
      </c>
      <c r="C56" s="25">
        <f t="shared" ca="1" si="1"/>
        <v>24</v>
      </c>
      <c r="D56" s="43">
        <f ca="1">COUNTIF(E:E,combined_tbl!$E56)</f>
        <v>1</v>
      </c>
      <c r="E56" s="29" t="str">
        <f t="shared" ca="1" si="6"/>
        <v>Customer083</v>
      </c>
      <c r="F56" s="29" t="str" cm="1">
        <f t="array" aca="1" ref="F56" ca="1">INDEX({"Male","Female"}, RANDBETWEEN(1,2))</f>
        <v>Female</v>
      </c>
      <c r="G56" s="29" t="str">
        <f t="shared" ca="1" si="14"/>
        <v>West</v>
      </c>
      <c r="H56" s="48">
        <f t="shared" ca="1" si="2"/>
        <v>45237</v>
      </c>
      <c r="I56" s="24">
        <f t="shared" ca="1" si="8"/>
        <v>7</v>
      </c>
      <c r="J56" s="46" t="str">
        <f t="shared" ca="1" si="9"/>
        <v>November</v>
      </c>
      <c r="K56" s="24">
        <f t="shared" ca="1" si="10"/>
        <v>2023</v>
      </c>
      <c r="L56" s="24" t="str">
        <f t="shared" ca="1" si="3"/>
        <v>Bronze</v>
      </c>
      <c r="M56" s="29">
        <v>56</v>
      </c>
      <c r="N56" s="29" t="s">
        <v>872</v>
      </c>
      <c r="O56" s="29" t="s">
        <v>893</v>
      </c>
      <c r="P56" s="30">
        <v>118</v>
      </c>
      <c r="Q56" s="30">
        <v>164.02</v>
      </c>
      <c r="R56" s="29">
        <v>56</v>
      </c>
      <c r="S56" s="24" t="str">
        <f t="shared" si="4"/>
        <v>Feb</v>
      </c>
      <c r="T56" s="47">
        <v>44958</v>
      </c>
      <c r="U56" s="29">
        <v>3</v>
      </c>
      <c r="V56" s="38">
        <v>139</v>
      </c>
      <c r="W56" s="29">
        <v>44</v>
      </c>
      <c r="X56" s="29">
        <v>1</v>
      </c>
      <c r="Y56" s="30">
        <f>combined_tbl!$Q56*(1-combined_tbl!$Z56)</f>
        <v>164.02</v>
      </c>
      <c r="Z56" s="31">
        <f>IF(combined_tbl!$Q56&gt;=500,0.2, IF(combined_tbl!$Q56&gt;=200,0.05, IF(combined_tbl!$X56&gt;=2,0.05,0)))</f>
        <v>0</v>
      </c>
      <c r="AA56" s="30">
        <f>combined_tbl!$Y56*combined_tbl!$X56</f>
        <v>164.02</v>
      </c>
      <c r="AB56" s="32">
        <f>(combined_tbl!$Q56*(1+combined_tbl!$Z56)-combined_tbl!$P56)*combined_tbl!$X56</f>
        <v>46.02000000000001</v>
      </c>
      <c r="AF56" t="str">
        <f t="shared" ca="1" si="11"/>
        <v>North</v>
      </c>
      <c r="AI56" s="24" t="str">
        <f t="shared" si="12"/>
        <v>Customer056</v>
      </c>
      <c r="AJ56" s="10">
        <f t="shared" ca="1" si="5"/>
        <v>45047</v>
      </c>
    </row>
    <row r="57" spans="1:36" x14ac:dyDescent="0.3">
      <c r="A57" s="29">
        <v>56</v>
      </c>
      <c r="B57" s="25" cm="1">
        <f t="array" aca="1" ref="B57" ca="1">MIN(IF($E:$E=E57,$H:$H))</f>
        <v>45182</v>
      </c>
      <c r="C57" s="25">
        <f t="shared" ca="1" si="1"/>
        <v>26</v>
      </c>
      <c r="D57" s="42">
        <f ca="1">COUNTIF(E:E,combined_tbl!$E57)</f>
        <v>13</v>
      </c>
      <c r="E57" s="24" t="str">
        <f t="shared" ca="1" si="6"/>
        <v>Customer024</v>
      </c>
      <c r="F57" s="24" t="str" cm="1">
        <f t="array" aca="1" ref="F57" ca="1">INDEX({"Male","Female"}, RANDBETWEEN(1,2))</f>
        <v>Male</v>
      </c>
      <c r="G57" s="29" t="str">
        <f t="shared" ca="1" si="14"/>
        <v>East</v>
      </c>
      <c r="H57" s="48">
        <f t="shared" ca="1" si="2"/>
        <v>45182</v>
      </c>
      <c r="I57" s="24">
        <f t="shared" ca="1" si="8"/>
        <v>13</v>
      </c>
      <c r="J57" s="46" t="str">
        <f t="shared" ca="1" si="9"/>
        <v>September</v>
      </c>
      <c r="K57" s="24">
        <f t="shared" ca="1" si="10"/>
        <v>2023</v>
      </c>
      <c r="L57" s="24" t="str">
        <f t="shared" ca="1" si="3"/>
        <v>Platinum</v>
      </c>
      <c r="M57" s="24">
        <v>57</v>
      </c>
      <c r="N57" s="24" t="s">
        <v>831</v>
      </c>
      <c r="O57" s="24" t="s">
        <v>894</v>
      </c>
      <c r="P57" s="26">
        <v>170</v>
      </c>
      <c r="Q57" s="26">
        <v>209.1</v>
      </c>
      <c r="R57" s="24">
        <v>57</v>
      </c>
      <c r="S57" s="24" t="str">
        <f t="shared" si="4"/>
        <v>Apr</v>
      </c>
      <c r="T57" s="46">
        <v>45766</v>
      </c>
      <c r="U57" s="24">
        <v>3</v>
      </c>
      <c r="V57" s="37">
        <v>190</v>
      </c>
      <c r="W57" s="24">
        <v>47</v>
      </c>
      <c r="X57" s="24">
        <v>1</v>
      </c>
      <c r="Y57" s="26">
        <f>combined_tbl!$Q57*(1-combined_tbl!$Z57)</f>
        <v>198.64499999999998</v>
      </c>
      <c r="Z57" s="27">
        <f>IF(combined_tbl!$Q57&gt;=500,0.2, IF(combined_tbl!$Q57&gt;=200,0.05, IF(combined_tbl!$X57&gt;=2,0.05,0)))</f>
        <v>0.05</v>
      </c>
      <c r="AA57" s="26">
        <f>combined_tbl!$Y57*combined_tbl!$X57</f>
        <v>198.64499999999998</v>
      </c>
      <c r="AB57" s="28">
        <f>(combined_tbl!$Q57*(1+combined_tbl!$Z57)-combined_tbl!$P57)*combined_tbl!$X57</f>
        <v>49.555000000000007</v>
      </c>
      <c r="AF57" t="str">
        <f t="shared" ca="1" si="11"/>
        <v>East</v>
      </c>
      <c r="AI57" s="24" t="str">
        <f t="shared" si="12"/>
        <v>Customer057</v>
      </c>
      <c r="AJ57" s="10">
        <f t="shared" ca="1" si="5"/>
        <v>45406</v>
      </c>
    </row>
    <row r="58" spans="1:36" x14ac:dyDescent="0.3">
      <c r="A58" s="19">
        <v>57</v>
      </c>
      <c r="B58" s="25" cm="1">
        <f t="array" aca="1" ref="B58" ca="1">MIN(IF($E:$E=E58,$H:$H))</f>
        <v>45812</v>
      </c>
      <c r="C58" s="25">
        <f t="shared" ca="1" si="1"/>
        <v>6</v>
      </c>
      <c r="D58" s="43">
        <f ca="1">COUNTIF(E:E,combined_tbl!$E58)</f>
        <v>1</v>
      </c>
      <c r="E58" s="29" t="str">
        <f t="shared" ca="1" si="6"/>
        <v>Customer124</v>
      </c>
      <c r="F58" s="29" t="str" cm="1">
        <f t="array" aca="1" ref="F58" ca="1">INDEX({"Male","Female"}, RANDBETWEEN(1,2))</f>
        <v>Female</v>
      </c>
      <c r="G58" s="29" t="str">
        <f t="shared" ca="1" si="14"/>
        <v>East</v>
      </c>
      <c r="H58" s="48">
        <f t="shared" ca="1" si="2"/>
        <v>45812</v>
      </c>
      <c r="I58" s="24">
        <f t="shared" ca="1" si="8"/>
        <v>4</v>
      </c>
      <c r="J58" s="46" t="str">
        <f t="shared" ca="1" si="9"/>
        <v>June</v>
      </c>
      <c r="K58" s="24">
        <f t="shared" ca="1" si="10"/>
        <v>2025</v>
      </c>
      <c r="L58" s="24" t="str">
        <f t="shared" ca="1" si="3"/>
        <v>Bronze</v>
      </c>
      <c r="M58" s="29">
        <v>58</v>
      </c>
      <c r="N58" s="29" t="s">
        <v>837</v>
      </c>
      <c r="O58" s="29" t="s">
        <v>895</v>
      </c>
      <c r="P58" s="30">
        <v>127</v>
      </c>
      <c r="Q58" s="30">
        <v>148.59</v>
      </c>
      <c r="R58" s="29">
        <v>58</v>
      </c>
      <c r="S58" s="24" t="str">
        <f t="shared" si="4"/>
        <v>Jun</v>
      </c>
      <c r="T58" s="47">
        <v>45080</v>
      </c>
      <c r="U58" s="29">
        <v>8</v>
      </c>
      <c r="V58" s="38">
        <v>87</v>
      </c>
      <c r="W58" s="29">
        <v>29</v>
      </c>
      <c r="X58" s="29">
        <v>1</v>
      </c>
      <c r="Y58" s="30">
        <f>combined_tbl!$Q58*(1-combined_tbl!$Z58)</f>
        <v>148.59</v>
      </c>
      <c r="Z58" s="31">
        <f>IF(combined_tbl!$Q58&gt;=500,0.2, IF(combined_tbl!$Q58&gt;=200,0.05, IF(combined_tbl!$X58&gt;=2,0.05,0)))</f>
        <v>0</v>
      </c>
      <c r="AA58" s="30">
        <f>combined_tbl!$Y58*combined_tbl!$X58</f>
        <v>148.59</v>
      </c>
      <c r="AB58" s="32">
        <f>(combined_tbl!$Q58*(1+combined_tbl!$Z58)-combined_tbl!$P58)*combined_tbl!$X58</f>
        <v>21.590000000000003</v>
      </c>
      <c r="AF58" t="str">
        <f t="shared" ca="1" si="11"/>
        <v>West</v>
      </c>
      <c r="AI58" s="24" t="str">
        <f t="shared" si="12"/>
        <v>Customer058</v>
      </c>
      <c r="AJ58" s="10">
        <f t="shared" ca="1" si="5"/>
        <v>45965</v>
      </c>
    </row>
    <row r="59" spans="1:36" x14ac:dyDescent="0.3">
      <c r="A59" s="24">
        <v>58</v>
      </c>
      <c r="B59" s="25" cm="1">
        <f t="array" aca="1" ref="B59" ca="1">MIN(IF($E:$E=E59,$H:$H))</f>
        <v>45608</v>
      </c>
      <c r="C59" s="25">
        <f t="shared" ca="1" si="1"/>
        <v>12</v>
      </c>
      <c r="D59" s="42">
        <f ca="1">COUNTIF(E:E,combined_tbl!$E59)</f>
        <v>5</v>
      </c>
      <c r="E59" s="24" t="str">
        <f t="shared" ca="1" si="6"/>
        <v>Customer041</v>
      </c>
      <c r="F59" s="24" t="str" cm="1">
        <f t="array" aca="1" ref="F59" ca="1">INDEX({"Male","Female"}, RANDBETWEEN(1,2))</f>
        <v>Male</v>
      </c>
      <c r="G59" s="29" t="str">
        <f t="shared" ca="1" si="14"/>
        <v>West</v>
      </c>
      <c r="H59" s="48">
        <f t="shared" ca="1" si="2"/>
        <v>45608</v>
      </c>
      <c r="I59" s="24">
        <f t="shared" ca="1" si="8"/>
        <v>12</v>
      </c>
      <c r="J59" s="46" t="str">
        <f t="shared" ca="1" si="9"/>
        <v>November</v>
      </c>
      <c r="K59" s="24">
        <f t="shared" ca="1" si="10"/>
        <v>2024</v>
      </c>
      <c r="L59" s="24" t="str">
        <f t="shared" ca="1" si="3"/>
        <v>Silver</v>
      </c>
      <c r="M59" s="24">
        <v>59</v>
      </c>
      <c r="N59" s="24" t="s">
        <v>954</v>
      </c>
      <c r="O59" s="24" t="s">
        <v>896</v>
      </c>
      <c r="P59" s="26">
        <v>528</v>
      </c>
      <c r="Q59" s="26">
        <v>644.16</v>
      </c>
      <c r="R59" s="24">
        <v>59</v>
      </c>
      <c r="S59" s="24" t="str">
        <f t="shared" si="4"/>
        <v>Jun</v>
      </c>
      <c r="T59" s="46">
        <v>45469</v>
      </c>
      <c r="U59" s="24">
        <v>6</v>
      </c>
      <c r="V59" s="37">
        <v>106</v>
      </c>
      <c r="W59" s="24">
        <v>94</v>
      </c>
      <c r="X59" s="24">
        <v>1</v>
      </c>
      <c r="Y59" s="26">
        <f>combined_tbl!$Q59*(1-combined_tbl!$Z59)</f>
        <v>515.32799999999997</v>
      </c>
      <c r="Z59" s="27">
        <f>IF(combined_tbl!$Q59&gt;=500,0.2, IF(combined_tbl!$Q59&gt;=200,0.05, IF(combined_tbl!$X59&gt;=2,0.05,0)))</f>
        <v>0.2</v>
      </c>
      <c r="AA59" s="26">
        <f>combined_tbl!$Y59*combined_tbl!$X59</f>
        <v>515.32799999999997</v>
      </c>
      <c r="AB59" s="28">
        <f>(combined_tbl!$Q59*(1+combined_tbl!$Z59)-combined_tbl!$P59)*combined_tbl!$X59</f>
        <v>244.99199999999996</v>
      </c>
      <c r="AF59" t="str">
        <f t="shared" ca="1" si="11"/>
        <v>North</v>
      </c>
      <c r="AI59" s="24" t="str">
        <f t="shared" si="12"/>
        <v>Customer059</v>
      </c>
      <c r="AJ59" s="10">
        <f t="shared" ca="1" si="5"/>
        <v>45637</v>
      </c>
    </row>
    <row r="60" spans="1:36" x14ac:dyDescent="0.3">
      <c r="A60" s="29">
        <v>59</v>
      </c>
      <c r="B60" s="25" cm="1">
        <f t="array" aca="1" ref="B60" ca="1">MIN(IF($E:$E=E60,$H:$H))</f>
        <v>45812</v>
      </c>
      <c r="C60" s="25">
        <f t="shared" ca="1" si="1"/>
        <v>6</v>
      </c>
      <c r="D60" s="43">
        <f ca="1">COUNTIF(E:E,combined_tbl!$E60)</f>
        <v>10</v>
      </c>
      <c r="E60" s="29" t="str">
        <f t="shared" ca="1" si="6"/>
        <v>Customer026</v>
      </c>
      <c r="F60" s="29" t="str" cm="1">
        <f t="array" aca="1" ref="F60" ca="1">INDEX({"Male","Female"}, RANDBETWEEN(1,2))</f>
        <v>Male</v>
      </c>
      <c r="G60" s="29" t="str">
        <f t="shared" ca="1" si="14"/>
        <v>North</v>
      </c>
      <c r="H60" s="48">
        <f t="shared" ca="1" si="2"/>
        <v>45812</v>
      </c>
      <c r="I60" s="24">
        <f t="shared" ca="1" si="8"/>
        <v>4</v>
      </c>
      <c r="J60" s="46" t="str">
        <f t="shared" ca="1" si="9"/>
        <v>June</v>
      </c>
      <c r="K60" s="24">
        <f t="shared" ca="1" si="10"/>
        <v>2025</v>
      </c>
      <c r="L60" s="24" t="str">
        <f t="shared" ca="1" si="3"/>
        <v>Bronze</v>
      </c>
      <c r="M60" s="29">
        <v>60</v>
      </c>
      <c r="N60" s="29" t="s">
        <v>1359</v>
      </c>
      <c r="O60" s="29" t="s">
        <v>897</v>
      </c>
      <c r="P60" s="30">
        <v>46</v>
      </c>
      <c r="Q60" s="30">
        <v>62.1</v>
      </c>
      <c r="R60" s="29">
        <v>60</v>
      </c>
      <c r="S60" s="24" t="str">
        <f t="shared" si="4"/>
        <v>Mar</v>
      </c>
      <c r="T60" s="47">
        <v>45741</v>
      </c>
      <c r="U60" s="29">
        <v>2</v>
      </c>
      <c r="V60" s="38">
        <v>132</v>
      </c>
      <c r="W60" s="29">
        <v>6</v>
      </c>
      <c r="X60" s="29">
        <v>2</v>
      </c>
      <c r="Y60" s="30">
        <f>combined_tbl!$Q60*(1-combined_tbl!$Z60)</f>
        <v>58.994999999999997</v>
      </c>
      <c r="Z60" s="31">
        <f>IF(combined_tbl!$Q60&gt;=500,0.2, IF(combined_tbl!$Q60&gt;=200,0.05, IF(combined_tbl!$X60&gt;=2,0.05,0)))</f>
        <v>0.05</v>
      </c>
      <c r="AA60" s="30">
        <f>combined_tbl!$Y60*combined_tbl!$X60</f>
        <v>117.99</v>
      </c>
      <c r="AB60" s="32">
        <f>(combined_tbl!$Q60*(1+combined_tbl!$Z60)-combined_tbl!$P60)*combined_tbl!$X60</f>
        <v>38.409999999999997</v>
      </c>
      <c r="AF60" t="str">
        <f t="shared" ca="1" si="11"/>
        <v>East</v>
      </c>
      <c r="AI60" s="24" t="str">
        <f t="shared" si="12"/>
        <v>Customer060</v>
      </c>
      <c r="AJ60" s="10">
        <f t="shared" ca="1" si="5"/>
        <v>45788</v>
      </c>
    </row>
    <row r="61" spans="1:36" x14ac:dyDescent="0.3">
      <c r="A61" s="29">
        <v>60</v>
      </c>
      <c r="B61" s="25" cm="1">
        <f t="array" aca="1" ref="B61" ca="1">MIN(IF($E:$E=E61,$H:$H))</f>
        <v>44960</v>
      </c>
      <c r="C61" s="25">
        <f t="shared" ca="1" si="1"/>
        <v>34</v>
      </c>
      <c r="D61" s="42">
        <f ca="1">COUNTIF(E:E,combined_tbl!$E61)</f>
        <v>6</v>
      </c>
      <c r="E61" s="24" t="str">
        <f t="shared" ca="1" si="6"/>
        <v>Customer042</v>
      </c>
      <c r="F61" s="24" t="str" cm="1">
        <f t="array" aca="1" ref="F61" ca="1">INDEX({"Male","Female"}, RANDBETWEEN(1,2))</f>
        <v>Female</v>
      </c>
      <c r="G61" s="29" t="str">
        <f t="shared" ca="1" si="14"/>
        <v>East</v>
      </c>
      <c r="H61" s="48">
        <f t="shared" ca="1" si="2"/>
        <v>44960</v>
      </c>
      <c r="I61" s="24">
        <f t="shared" ca="1" si="8"/>
        <v>3</v>
      </c>
      <c r="J61" s="46" t="str">
        <f t="shared" ca="1" si="9"/>
        <v>February</v>
      </c>
      <c r="K61" s="24">
        <f t="shared" ca="1" si="10"/>
        <v>2023</v>
      </c>
      <c r="L61" s="24" t="str">
        <f t="shared" ca="1" si="3"/>
        <v>Silver</v>
      </c>
      <c r="M61" s="24">
        <v>61</v>
      </c>
      <c r="N61" s="24" t="s">
        <v>872</v>
      </c>
      <c r="O61" s="24" t="s">
        <v>898</v>
      </c>
      <c r="P61" s="26">
        <v>61</v>
      </c>
      <c r="Q61" s="26">
        <v>77.47</v>
      </c>
      <c r="R61" s="24">
        <v>61</v>
      </c>
      <c r="S61" s="24" t="str">
        <f t="shared" si="4"/>
        <v>Nov</v>
      </c>
      <c r="T61" s="46">
        <v>45599</v>
      </c>
      <c r="U61" s="24">
        <v>7</v>
      </c>
      <c r="V61" s="37">
        <v>43</v>
      </c>
      <c r="W61" s="24">
        <v>72</v>
      </c>
      <c r="X61" s="24">
        <v>1</v>
      </c>
      <c r="Y61" s="26">
        <f>combined_tbl!$Q61*(1-combined_tbl!$Z61)</f>
        <v>77.47</v>
      </c>
      <c r="Z61" s="27">
        <f>IF(combined_tbl!$Q61&gt;=500,0.2, IF(combined_tbl!$Q61&gt;=200,0.05, IF(combined_tbl!$X61&gt;=2,0.05,0)))</f>
        <v>0</v>
      </c>
      <c r="AA61" s="26">
        <f>combined_tbl!$Y61*combined_tbl!$X61</f>
        <v>77.47</v>
      </c>
      <c r="AB61" s="28">
        <f>(combined_tbl!$Q61*(1+combined_tbl!$Z61)-combined_tbl!$P61)*combined_tbl!$X61</f>
        <v>16.47</v>
      </c>
      <c r="AF61" t="str">
        <f t="shared" ca="1" si="11"/>
        <v>North</v>
      </c>
      <c r="AI61" s="24" t="str">
        <f t="shared" si="12"/>
        <v>Customer061</v>
      </c>
      <c r="AJ61" s="10">
        <f t="shared" ca="1" si="5"/>
        <v>45395</v>
      </c>
    </row>
    <row r="62" spans="1:36" x14ac:dyDescent="0.3">
      <c r="A62" s="29">
        <v>61</v>
      </c>
      <c r="B62" s="25" cm="1">
        <f t="array" aca="1" ref="B62" ca="1">MIN(IF($E:$E=E62,$H:$H))</f>
        <v>45439</v>
      </c>
      <c r="C62" s="25">
        <f t="shared" ca="1" si="1"/>
        <v>18</v>
      </c>
      <c r="D62" s="43">
        <f ca="1">COUNTIF(E:E,combined_tbl!$E62)</f>
        <v>10</v>
      </c>
      <c r="E62" s="29" t="str">
        <f t="shared" ca="1" si="6"/>
        <v>Customer018</v>
      </c>
      <c r="F62" s="29" t="str" cm="1">
        <f t="array" aca="1" ref="F62" ca="1">INDEX({"Male","Female"}, RANDBETWEEN(1,2))</f>
        <v>Male</v>
      </c>
      <c r="G62" s="29" t="str">
        <f t="shared" ca="1" si="14"/>
        <v>East</v>
      </c>
      <c r="H62" s="48">
        <f t="shared" ca="1" si="2"/>
        <v>45439</v>
      </c>
      <c r="I62" s="24">
        <f t="shared" ca="1" si="8"/>
        <v>27</v>
      </c>
      <c r="J62" s="46" t="str">
        <f t="shared" ca="1" si="9"/>
        <v>May</v>
      </c>
      <c r="K62" s="24">
        <f t="shared" ca="1" si="10"/>
        <v>2024</v>
      </c>
      <c r="L62" s="24" t="str">
        <f t="shared" ca="1" si="3"/>
        <v>Gold</v>
      </c>
      <c r="M62" s="29">
        <v>62</v>
      </c>
      <c r="N62" s="29" t="s">
        <v>954</v>
      </c>
      <c r="O62" s="29" t="s">
        <v>899</v>
      </c>
      <c r="P62" s="30">
        <v>305</v>
      </c>
      <c r="Q62" s="30">
        <v>445.3</v>
      </c>
      <c r="R62" s="29">
        <v>62</v>
      </c>
      <c r="S62" s="24" t="str">
        <f t="shared" si="4"/>
        <v>Oct</v>
      </c>
      <c r="T62" s="47">
        <v>45575</v>
      </c>
      <c r="U62" s="29">
        <v>8</v>
      </c>
      <c r="V62" s="38">
        <v>47</v>
      </c>
      <c r="W62" s="29">
        <v>1</v>
      </c>
      <c r="X62" s="29">
        <v>1</v>
      </c>
      <c r="Y62" s="30">
        <f>combined_tbl!$Q62*(1-combined_tbl!$Z62)</f>
        <v>423.03499999999997</v>
      </c>
      <c r="Z62" s="31">
        <f>IF(combined_tbl!$Q62&gt;=500,0.2, IF(combined_tbl!$Q62&gt;=200,0.05, IF(combined_tbl!$X62&gt;=2,0.05,0)))</f>
        <v>0.05</v>
      </c>
      <c r="AA62" s="30">
        <f>combined_tbl!$Y62*combined_tbl!$X62</f>
        <v>423.03499999999997</v>
      </c>
      <c r="AB62" s="32">
        <f>(combined_tbl!$Q62*(1+combined_tbl!$Z62)-combined_tbl!$P62)*combined_tbl!$X62</f>
        <v>162.56500000000005</v>
      </c>
      <c r="AF62" t="str">
        <f t="shared" ca="1" si="11"/>
        <v>West</v>
      </c>
      <c r="AI62" s="24" t="str">
        <f t="shared" si="12"/>
        <v>Customer062</v>
      </c>
      <c r="AJ62" s="10">
        <f t="shared" ca="1" si="5"/>
        <v>45111</v>
      </c>
    </row>
    <row r="63" spans="1:36" x14ac:dyDescent="0.3">
      <c r="A63" s="29">
        <v>62</v>
      </c>
      <c r="B63" s="25" cm="1">
        <f t="array" aca="1" ref="B63" ca="1">MIN(IF($E:$E=E63,$H:$H))</f>
        <v>45995</v>
      </c>
      <c r="C63" s="25">
        <f t="shared" ca="1" si="1"/>
        <v>0</v>
      </c>
      <c r="D63" s="42">
        <f ca="1">COUNTIF(E:E,combined_tbl!$E63)</f>
        <v>8</v>
      </c>
      <c r="E63" s="24" t="str">
        <f t="shared" ca="1" si="6"/>
        <v>Customer013</v>
      </c>
      <c r="F63" s="24" t="str" cm="1">
        <f t="array" aca="1" ref="F63" ca="1">INDEX({"Male","Female"}, RANDBETWEEN(1,2))</f>
        <v>Female</v>
      </c>
      <c r="G63" s="29" t="str">
        <f t="shared" ca="1" si="14"/>
        <v>North</v>
      </c>
      <c r="H63" s="48">
        <f t="shared" ca="1" si="2"/>
        <v>45995</v>
      </c>
      <c r="I63" s="24">
        <f t="shared" ca="1" si="8"/>
        <v>4</v>
      </c>
      <c r="J63" s="46" t="str">
        <f t="shared" ca="1" si="9"/>
        <v>December</v>
      </c>
      <c r="K63" s="24">
        <f t="shared" ca="1" si="10"/>
        <v>2025</v>
      </c>
      <c r="L63" s="24" t="str">
        <f t="shared" ca="1" si="3"/>
        <v>Bronze</v>
      </c>
      <c r="M63" s="24">
        <v>63</v>
      </c>
      <c r="N63" s="24" t="s">
        <v>957</v>
      </c>
      <c r="O63" s="24" t="s">
        <v>900</v>
      </c>
      <c r="P63" s="26">
        <v>190</v>
      </c>
      <c r="Q63" s="26">
        <v>241.3</v>
      </c>
      <c r="R63" s="24">
        <v>63</v>
      </c>
      <c r="S63" s="24" t="str">
        <f t="shared" si="4"/>
        <v>Mar</v>
      </c>
      <c r="T63" s="46">
        <v>45000</v>
      </c>
      <c r="U63" s="24">
        <v>2</v>
      </c>
      <c r="V63" s="37">
        <v>165</v>
      </c>
      <c r="W63" s="24">
        <v>70</v>
      </c>
      <c r="X63" s="24">
        <v>1</v>
      </c>
      <c r="Y63" s="26">
        <f>combined_tbl!$Q63*(1-combined_tbl!$Z63)</f>
        <v>229.23500000000001</v>
      </c>
      <c r="Z63" s="27">
        <f>IF(combined_tbl!$Q63&gt;=500,0.2, IF(combined_tbl!$Q63&gt;=200,0.05, IF(combined_tbl!$X63&gt;=2,0.05,0)))</f>
        <v>0.05</v>
      </c>
      <c r="AA63" s="26">
        <f>combined_tbl!$Y63*combined_tbl!$X63</f>
        <v>229.23500000000001</v>
      </c>
      <c r="AB63" s="28">
        <f>(combined_tbl!$Q63*(1+combined_tbl!$Z63)-combined_tbl!$P63)*combined_tbl!$X63</f>
        <v>63.365000000000009</v>
      </c>
      <c r="AF63" t="str">
        <f t="shared" ca="1" si="11"/>
        <v>South</v>
      </c>
      <c r="AI63" s="24" t="str">
        <f t="shared" si="12"/>
        <v>Customer063</v>
      </c>
      <c r="AJ63" s="10">
        <f t="shared" ca="1" si="5"/>
        <v>45307</v>
      </c>
    </row>
    <row r="64" spans="1:36" x14ac:dyDescent="0.3">
      <c r="A64" s="29">
        <v>63</v>
      </c>
      <c r="B64" s="25" cm="1">
        <f t="array" aca="1" ref="B64" ca="1">MIN(IF($E:$E=E64,$H:$H))</f>
        <v>45209</v>
      </c>
      <c r="C64" s="25">
        <f t="shared" ca="1" si="1"/>
        <v>25</v>
      </c>
      <c r="D64" s="43">
        <f ca="1">COUNTIF(E:E,combined_tbl!$E64)</f>
        <v>2</v>
      </c>
      <c r="E64" s="29" t="str">
        <f t="shared" ca="1" si="6"/>
        <v>Customer093</v>
      </c>
      <c r="F64" s="29" t="str" cm="1">
        <f t="array" aca="1" ref="F64" ca="1">INDEX({"Male","Female"}, RANDBETWEEN(1,2))</f>
        <v>Male</v>
      </c>
      <c r="G64" s="29" t="str">
        <f t="shared" ca="1" si="14"/>
        <v>North</v>
      </c>
      <c r="H64" s="48">
        <f t="shared" ca="1" si="2"/>
        <v>45209</v>
      </c>
      <c r="I64" s="24">
        <f t="shared" ca="1" si="8"/>
        <v>10</v>
      </c>
      <c r="J64" s="46" t="str">
        <f t="shared" ca="1" si="9"/>
        <v>October</v>
      </c>
      <c r="K64" s="24">
        <f t="shared" ca="1" si="10"/>
        <v>2023</v>
      </c>
      <c r="L64" s="24" t="str">
        <f t="shared" ca="1" si="3"/>
        <v>Bronze</v>
      </c>
      <c r="M64" s="29">
        <v>64</v>
      </c>
      <c r="N64" s="29" t="s">
        <v>847</v>
      </c>
      <c r="O64" s="29" t="s">
        <v>901</v>
      </c>
      <c r="P64" s="30">
        <v>15</v>
      </c>
      <c r="Q64" s="30">
        <v>17.399999999999999</v>
      </c>
      <c r="R64" s="29">
        <v>64</v>
      </c>
      <c r="S64" s="24" t="str">
        <f t="shared" si="4"/>
        <v>Apr</v>
      </c>
      <c r="T64" s="47">
        <v>45407</v>
      </c>
      <c r="U64" s="29">
        <v>5</v>
      </c>
      <c r="V64" s="38">
        <v>101</v>
      </c>
      <c r="W64" s="29">
        <v>73</v>
      </c>
      <c r="X64" s="29">
        <v>1</v>
      </c>
      <c r="Y64" s="30">
        <f>combined_tbl!$Q64*(1-combined_tbl!$Z64)</f>
        <v>17.399999999999999</v>
      </c>
      <c r="Z64" s="31">
        <f>IF(combined_tbl!$Q64&gt;=500,0.2, IF(combined_tbl!$Q64&gt;=200,0.05, IF(combined_tbl!$X64&gt;=2,0.05,0)))</f>
        <v>0</v>
      </c>
      <c r="AA64" s="30">
        <f>combined_tbl!$Y64*combined_tbl!$X64</f>
        <v>17.399999999999999</v>
      </c>
      <c r="AB64" s="32">
        <f>(combined_tbl!$Q64*(1+combined_tbl!$Z64)-combined_tbl!$P64)*combined_tbl!$X64</f>
        <v>2.3999999999999986</v>
      </c>
      <c r="AF64" t="str">
        <f t="shared" ca="1" si="11"/>
        <v>North</v>
      </c>
      <c r="AI64" s="24" t="str">
        <f t="shared" si="12"/>
        <v>Customer064</v>
      </c>
      <c r="AJ64" s="10">
        <f t="shared" ca="1" si="5"/>
        <v>45580</v>
      </c>
    </row>
    <row r="65" spans="1:36" x14ac:dyDescent="0.3">
      <c r="A65" s="29">
        <v>64</v>
      </c>
      <c r="B65" s="25" cm="1">
        <f t="array" aca="1" ref="B65" ca="1">MIN(IF($E:$E=E65,$H:$H))</f>
        <v>45182</v>
      </c>
      <c r="C65" s="25">
        <f t="shared" ca="1" si="1"/>
        <v>26</v>
      </c>
      <c r="D65" s="42">
        <f ca="1">COUNTIF(E:E,combined_tbl!$E65)</f>
        <v>13</v>
      </c>
      <c r="E65" s="24" t="str">
        <f t="shared" ca="1" si="6"/>
        <v>Customer024</v>
      </c>
      <c r="F65" s="24" t="str" cm="1">
        <f t="array" aca="1" ref="F65" ca="1">INDEX({"Male","Female"}, RANDBETWEEN(1,2))</f>
        <v>Male</v>
      </c>
      <c r="G65" s="29" t="str">
        <f t="shared" ca="1" si="14"/>
        <v>East</v>
      </c>
      <c r="H65" s="48">
        <f t="shared" ca="1" si="2"/>
        <v>45182</v>
      </c>
      <c r="I65" s="24">
        <f t="shared" ca="1" si="8"/>
        <v>13</v>
      </c>
      <c r="J65" s="46" t="str">
        <f t="shared" ca="1" si="9"/>
        <v>September</v>
      </c>
      <c r="K65" s="24">
        <f t="shared" ca="1" si="10"/>
        <v>2023</v>
      </c>
      <c r="L65" s="24" t="str">
        <f t="shared" ca="1" si="3"/>
        <v>Platinum</v>
      </c>
      <c r="M65" s="24">
        <v>65</v>
      </c>
      <c r="N65" s="24" t="s">
        <v>851</v>
      </c>
      <c r="O65" s="24" t="s">
        <v>902</v>
      </c>
      <c r="P65" s="26">
        <v>148</v>
      </c>
      <c r="Q65" s="26">
        <v>219.04</v>
      </c>
      <c r="R65" s="24">
        <v>65</v>
      </c>
      <c r="S65" s="24" t="str">
        <f t="shared" si="4"/>
        <v>Apr</v>
      </c>
      <c r="T65" s="46">
        <v>45392</v>
      </c>
      <c r="U65" s="24">
        <v>2</v>
      </c>
      <c r="V65" s="37">
        <v>103</v>
      </c>
      <c r="W65" s="24">
        <v>57</v>
      </c>
      <c r="X65" s="24">
        <v>4</v>
      </c>
      <c r="Y65" s="26">
        <f>combined_tbl!$Q65*(1-combined_tbl!$Z65)</f>
        <v>208.08799999999999</v>
      </c>
      <c r="Z65" s="27">
        <f>IF(combined_tbl!$Q65&gt;=500,0.2, IF(combined_tbl!$Q65&gt;=200,0.05, IF(combined_tbl!$X65&gt;=2,0.05,0)))</f>
        <v>0.05</v>
      </c>
      <c r="AA65" s="26">
        <f>combined_tbl!$Y65*combined_tbl!$X65</f>
        <v>832.35199999999998</v>
      </c>
      <c r="AB65" s="28">
        <f>(combined_tbl!$Q65*(1+combined_tbl!$Z65)-combined_tbl!$P65)*combined_tbl!$X65</f>
        <v>327.96799999999996</v>
      </c>
      <c r="AF65" t="str">
        <f t="shared" ca="1" si="11"/>
        <v>East</v>
      </c>
      <c r="AI65" s="24" t="str">
        <f t="shared" ref="AI65:AI96" si="15">"Customer"&amp;TEXT(ROW(A65),"000")</f>
        <v>Customer065</v>
      </c>
      <c r="AJ65" s="10">
        <f t="shared" ca="1" si="5"/>
        <v>44993</v>
      </c>
    </row>
    <row r="66" spans="1:36" x14ac:dyDescent="0.3">
      <c r="A66" s="19">
        <v>65</v>
      </c>
      <c r="B66" s="25" cm="1">
        <f t="array" aca="1" ref="B66" ca="1">MIN(IF($E:$E=E66,$H:$H))</f>
        <v>44992</v>
      </c>
      <c r="C66" s="25">
        <f t="shared" ref="C66:C129" ca="1" si="16">DATEDIF(B66,MAX($H:$H),"m")</f>
        <v>32</v>
      </c>
      <c r="D66" s="43">
        <f ca="1">COUNTIF(E:E,combined_tbl!$E66)</f>
        <v>8</v>
      </c>
      <c r="E66" s="29" t="str">
        <f t="shared" ca="1" si="6"/>
        <v>Customer020</v>
      </c>
      <c r="F66" s="29" t="str" cm="1">
        <f t="array" aca="1" ref="F66" ca="1">INDEX({"Male","Female"}, RANDBETWEEN(1,2))</f>
        <v>Female</v>
      </c>
      <c r="G66" s="29" t="str">
        <f t="shared" ca="1" si="14"/>
        <v>South</v>
      </c>
      <c r="H66" s="48">
        <f t="shared" ref="H66:H129" ca="1" si="17">_xlfn.XLOOKUP(E66,AI$1:AI$139,AJ$1:AJ$139)</f>
        <v>44992</v>
      </c>
      <c r="I66" s="24">
        <f t="shared" ref="I66:I129" ca="1" si="18">DAY(H66)</f>
        <v>7</v>
      </c>
      <c r="J66" s="46" t="str">
        <f t="shared" ca="1" si="9"/>
        <v>March</v>
      </c>
      <c r="K66" s="24">
        <f t="shared" ref="K66:K129" ca="1" si="19">YEAR(H66)</f>
        <v>2023</v>
      </c>
      <c r="L66" s="24" t="str">
        <f t="shared" ref="L66:L129" ca="1" si="20">IF(AND(D66&gt;=10,C66&gt;=24),"Platinum",IF(AND(D66&gt;=7,C66&gt;=18),"Gold",IF(AND(D66&gt;=3,C66&gt;=12),"Silver","Bronze")))</f>
        <v>Gold</v>
      </c>
      <c r="M66" s="29">
        <v>66</v>
      </c>
      <c r="N66" s="29" t="s">
        <v>872</v>
      </c>
      <c r="O66" s="29" t="s">
        <v>903</v>
      </c>
      <c r="P66" s="30">
        <v>15</v>
      </c>
      <c r="Q66" s="30">
        <v>17.849999999999998</v>
      </c>
      <c r="R66" s="29">
        <v>66</v>
      </c>
      <c r="S66" s="24" t="str">
        <f t="shared" ref="S66:S129" si="21">TEXT(T66,"MMM")</f>
        <v>Jun</v>
      </c>
      <c r="T66" s="47">
        <v>45815</v>
      </c>
      <c r="U66" s="29">
        <v>2</v>
      </c>
      <c r="V66" s="38">
        <v>27</v>
      </c>
      <c r="W66" s="29">
        <v>30</v>
      </c>
      <c r="X66" s="29">
        <v>1</v>
      </c>
      <c r="Y66" s="30">
        <f>combined_tbl!$Q66*(1-combined_tbl!$Z66)</f>
        <v>17.849999999999998</v>
      </c>
      <c r="Z66" s="31">
        <f>IF(combined_tbl!$Q66&gt;=500,0.2, IF(combined_tbl!$Q66&gt;=200,0.05, IF(combined_tbl!$X66&gt;=2,0.05,0)))</f>
        <v>0</v>
      </c>
      <c r="AA66" s="30">
        <f>combined_tbl!$Y66*combined_tbl!$X66</f>
        <v>17.849999999999998</v>
      </c>
      <c r="AB66" s="32">
        <f>(combined_tbl!$Q66*(1+combined_tbl!$Z66)-combined_tbl!$P66)*combined_tbl!$X66</f>
        <v>2.8499999999999979</v>
      </c>
      <c r="AF66" t="str">
        <f t="shared" ca="1" si="11"/>
        <v>West</v>
      </c>
      <c r="AI66" s="24" t="str">
        <f t="shared" si="15"/>
        <v>Customer066</v>
      </c>
      <c r="AJ66" s="10">
        <f t="shared" ref="AJ66:AJ129" ca="1" si="22">DATE(2023,1,1)+RANDBETWEEN(0,1095)</f>
        <v>45433</v>
      </c>
    </row>
    <row r="67" spans="1:36" x14ac:dyDescent="0.3">
      <c r="A67" s="24">
        <v>66</v>
      </c>
      <c r="B67" s="25" cm="1">
        <f t="array" aca="1" ref="B67" ca="1">MIN(IF($E:$E=E67,$H:$H))</f>
        <v>45625</v>
      </c>
      <c r="C67" s="25">
        <f t="shared" ca="1" si="16"/>
        <v>12</v>
      </c>
      <c r="D67" s="42">
        <f ca="1">COUNTIF(E:E,combined_tbl!$E67)</f>
        <v>7</v>
      </c>
      <c r="E67" s="24" t="str">
        <f t="shared" ref="E67:E130" ca="1" si="23">IF(RAND()&lt;=0.5,
   "Customer"&amp;TEXT(RANDBETWEEN(1,30),"000"),
IF(RAND()&lt;=0.8,
   "Customer"&amp;TEXT(RANDBETWEEN(31,80),"000"),
   "Customer"&amp;TEXT(RANDBETWEEN(81,139),"000")))</f>
        <v>Customer038</v>
      </c>
      <c r="F67" s="24" t="str" cm="1">
        <f t="array" aca="1" ref="F67" ca="1">INDEX({"Male","Female"}, RANDBETWEEN(1,2))</f>
        <v>Female</v>
      </c>
      <c r="G67" s="29" t="str">
        <f t="shared" ca="1" si="14"/>
        <v>West</v>
      </c>
      <c r="H67" s="48">
        <f t="shared" ca="1" si="17"/>
        <v>45625</v>
      </c>
      <c r="I67" s="24">
        <f t="shared" ca="1" si="18"/>
        <v>29</v>
      </c>
      <c r="J67" s="46" t="str">
        <f t="shared" ref="J67:J130" ca="1" si="24">TEXT(H67,"mmmm")</f>
        <v>November</v>
      </c>
      <c r="K67" s="24">
        <f t="shared" ca="1" si="19"/>
        <v>2024</v>
      </c>
      <c r="L67" s="24" t="str">
        <f t="shared" ca="1" si="20"/>
        <v>Silver</v>
      </c>
      <c r="M67" s="24">
        <v>67</v>
      </c>
      <c r="N67" s="24" t="s">
        <v>847</v>
      </c>
      <c r="O67" s="24" t="s">
        <v>904</v>
      </c>
      <c r="P67" s="26">
        <v>86</v>
      </c>
      <c r="Q67" s="26">
        <v>104.92</v>
      </c>
      <c r="R67" s="24">
        <v>67</v>
      </c>
      <c r="S67" s="24" t="str">
        <f t="shared" si="21"/>
        <v>Jul</v>
      </c>
      <c r="T67" s="46">
        <v>45132</v>
      </c>
      <c r="U67" s="24">
        <v>8</v>
      </c>
      <c r="V67" s="37">
        <v>24</v>
      </c>
      <c r="W67" s="24">
        <v>7</v>
      </c>
      <c r="X67" s="24">
        <v>1</v>
      </c>
      <c r="Y67" s="26">
        <f>combined_tbl!$Q67*(1-combined_tbl!$Z67)</f>
        <v>104.92</v>
      </c>
      <c r="Z67" s="27">
        <f>IF(combined_tbl!$Q67&gt;=500,0.2, IF(combined_tbl!$Q67&gt;=200,0.05, IF(combined_tbl!$X67&gt;=2,0.05,0)))</f>
        <v>0</v>
      </c>
      <c r="AA67" s="26">
        <f>combined_tbl!$Y67*combined_tbl!$X67</f>
        <v>104.92</v>
      </c>
      <c r="AB67" s="28">
        <f>(combined_tbl!$Q67*(1+combined_tbl!$Z67)-combined_tbl!$P67)*combined_tbl!$X67</f>
        <v>18.920000000000002</v>
      </c>
      <c r="AF67" t="str">
        <f t="shared" ref="AF67:AF130" ca="1" si="25">CHOOSE(RANDBETWEEN(1,4),"West","East","North","South")</f>
        <v>West</v>
      </c>
      <c r="AI67" s="24" t="str">
        <f t="shared" si="15"/>
        <v>Customer067</v>
      </c>
      <c r="AJ67" s="10">
        <f t="shared" ca="1" si="22"/>
        <v>45667</v>
      </c>
    </row>
    <row r="68" spans="1:36" x14ac:dyDescent="0.3">
      <c r="A68" s="29">
        <v>67</v>
      </c>
      <c r="B68" s="25" cm="1">
        <f t="array" aca="1" ref="B68" ca="1">MIN(IF($E:$E=E68,$H:$H))</f>
        <v>45270</v>
      </c>
      <c r="C68" s="25">
        <f t="shared" ca="1" si="16"/>
        <v>23</v>
      </c>
      <c r="D68" s="43">
        <f ca="1">COUNTIF(E:E,combined_tbl!$E68)</f>
        <v>3</v>
      </c>
      <c r="E68" s="29" t="str">
        <f t="shared" ca="1" si="23"/>
        <v>Customer094</v>
      </c>
      <c r="F68" s="29" t="str" cm="1">
        <f t="array" aca="1" ref="F68" ca="1">INDEX({"Male","Female"}, RANDBETWEEN(1,2))</f>
        <v>Male</v>
      </c>
      <c r="G68" s="29" t="str">
        <f t="shared" ca="1" si="14"/>
        <v>North</v>
      </c>
      <c r="H68" s="48">
        <f t="shared" ca="1" si="17"/>
        <v>45270</v>
      </c>
      <c r="I68" s="24">
        <f t="shared" ca="1" si="18"/>
        <v>10</v>
      </c>
      <c r="J68" s="46" t="str">
        <f t="shared" ca="1" si="24"/>
        <v>December</v>
      </c>
      <c r="K68" s="24">
        <f t="shared" ca="1" si="19"/>
        <v>2023</v>
      </c>
      <c r="L68" s="24" t="str">
        <f t="shared" ca="1" si="20"/>
        <v>Silver</v>
      </c>
      <c r="M68" s="29">
        <v>68</v>
      </c>
      <c r="N68" s="29" t="s">
        <v>957</v>
      </c>
      <c r="O68" s="29" t="s">
        <v>905</v>
      </c>
      <c r="P68" s="30">
        <v>168</v>
      </c>
      <c r="Q68" s="30">
        <v>243.6</v>
      </c>
      <c r="R68" s="29">
        <v>68</v>
      </c>
      <c r="S68" s="24" t="str">
        <f t="shared" si="21"/>
        <v>Dec</v>
      </c>
      <c r="T68" s="47">
        <v>45267</v>
      </c>
      <c r="U68" s="29">
        <v>5</v>
      </c>
      <c r="V68" s="38">
        <v>15</v>
      </c>
      <c r="W68" s="29">
        <v>79</v>
      </c>
      <c r="X68" s="29">
        <v>1</v>
      </c>
      <c r="Y68" s="30">
        <f>combined_tbl!$Q68*(1-combined_tbl!$Z68)</f>
        <v>231.42</v>
      </c>
      <c r="Z68" s="31">
        <f>IF(combined_tbl!$Q68&gt;=500,0.2, IF(combined_tbl!$Q68&gt;=200,0.05, IF(combined_tbl!$X68&gt;=2,0.05,0)))</f>
        <v>0.05</v>
      </c>
      <c r="AA68" s="30">
        <f>combined_tbl!$Y68*combined_tbl!$X68</f>
        <v>231.42</v>
      </c>
      <c r="AB68" s="32">
        <f>(combined_tbl!$Q68*(1+combined_tbl!$Z68)-combined_tbl!$P68)*combined_tbl!$X68</f>
        <v>87.78</v>
      </c>
      <c r="AF68" t="str">
        <f t="shared" ca="1" si="25"/>
        <v>East</v>
      </c>
      <c r="AI68" s="24" t="str">
        <f t="shared" si="15"/>
        <v>Customer068</v>
      </c>
      <c r="AJ68" s="10">
        <f t="shared" ca="1" si="22"/>
        <v>45012</v>
      </c>
    </row>
    <row r="69" spans="1:36" x14ac:dyDescent="0.3">
      <c r="A69" s="29">
        <v>68</v>
      </c>
      <c r="B69" s="25" cm="1">
        <f t="array" aca="1" ref="B69" ca="1">MIN(IF($E:$E=E69,$H:$H))</f>
        <v>45761</v>
      </c>
      <c r="C69" s="25">
        <f t="shared" ca="1" si="16"/>
        <v>7</v>
      </c>
      <c r="D69" s="42">
        <f ca="1">COUNTIF(E:E,combined_tbl!$E69)</f>
        <v>7</v>
      </c>
      <c r="E69" s="24" t="str">
        <f t="shared" ca="1" si="23"/>
        <v>Customer009</v>
      </c>
      <c r="F69" s="24" t="str" cm="1">
        <f t="array" aca="1" ref="F69" ca="1">INDEX({"Male","Female"}, RANDBETWEEN(1,2))</f>
        <v>Female</v>
      </c>
      <c r="G69" s="29" t="str">
        <f t="shared" ca="1" si="14"/>
        <v>East</v>
      </c>
      <c r="H69" s="48">
        <f t="shared" ca="1" si="17"/>
        <v>45761</v>
      </c>
      <c r="I69" s="24">
        <f t="shared" ca="1" si="18"/>
        <v>14</v>
      </c>
      <c r="J69" s="46" t="str">
        <f t="shared" ca="1" si="24"/>
        <v>April</v>
      </c>
      <c r="K69" s="24">
        <f t="shared" ca="1" si="19"/>
        <v>2025</v>
      </c>
      <c r="L69" s="24" t="str">
        <f t="shared" ca="1" si="20"/>
        <v>Bronze</v>
      </c>
      <c r="M69" s="24">
        <v>69</v>
      </c>
      <c r="N69" s="24" t="s">
        <v>1359</v>
      </c>
      <c r="O69" s="24" t="s">
        <v>906</v>
      </c>
      <c r="P69" s="26">
        <v>346</v>
      </c>
      <c r="Q69" s="26">
        <v>435.96</v>
      </c>
      <c r="R69" s="24">
        <v>69</v>
      </c>
      <c r="S69" s="24" t="str">
        <f t="shared" si="21"/>
        <v>Mar</v>
      </c>
      <c r="T69" s="46">
        <v>44986</v>
      </c>
      <c r="U69" s="24">
        <v>1</v>
      </c>
      <c r="V69" s="37">
        <v>95</v>
      </c>
      <c r="W69" s="24">
        <v>98</v>
      </c>
      <c r="X69" s="24">
        <v>1</v>
      </c>
      <c r="Y69" s="26">
        <f>combined_tbl!$Q69*(1-combined_tbl!$Z69)</f>
        <v>414.16199999999998</v>
      </c>
      <c r="Z69" s="27">
        <f>IF(combined_tbl!$Q69&gt;=500,0.2, IF(combined_tbl!$Q69&gt;=200,0.05, IF(combined_tbl!$X69&gt;=2,0.05,0)))</f>
        <v>0.05</v>
      </c>
      <c r="AA69" s="26">
        <f>combined_tbl!$Y69*combined_tbl!$X69</f>
        <v>414.16199999999998</v>
      </c>
      <c r="AB69" s="28">
        <f>(combined_tbl!$Q69*(1+combined_tbl!$Z69)-combined_tbl!$P69)*combined_tbl!$X69</f>
        <v>111.75799999999998</v>
      </c>
      <c r="AF69" t="str">
        <f t="shared" ca="1" si="25"/>
        <v>West</v>
      </c>
      <c r="AI69" s="24" t="str">
        <f t="shared" si="15"/>
        <v>Customer069</v>
      </c>
      <c r="AJ69" s="10">
        <f t="shared" ca="1" si="22"/>
        <v>45094</v>
      </c>
    </row>
    <row r="70" spans="1:36" x14ac:dyDescent="0.3">
      <c r="A70" s="29">
        <v>69</v>
      </c>
      <c r="B70" s="25" cm="1">
        <f t="array" aca="1" ref="B70" ca="1">MIN(IF($E:$E=E70,$H:$H))</f>
        <v>45667</v>
      </c>
      <c r="C70" s="25">
        <f t="shared" ca="1" si="16"/>
        <v>10</v>
      </c>
      <c r="D70" s="43">
        <f ca="1">COUNTIF(E:E,combined_tbl!$E70)</f>
        <v>5</v>
      </c>
      <c r="E70" s="29" t="str">
        <f t="shared" ca="1" si="23"/>
        <v>Customer067</v>
      </c>
      <c r="F70" s="29" t="str" cm="1">
        <f t="array" aca="1" ref="F70" ca="1">INDEX({"Male","Female"}, RANDBETWEEN(1,2))</f>
        <v>Male</v>
      </c>
      <c r="G70" s="29" t="str">
        <f t="shared" ca="1" si="14"/>
        <v>East</v>
      </c>
      <c r="H70" s="48">
        <f t="shared" ca="1" si="17"/>
        <v>45667</v>
      </c>
      <c r="I70" s="24">
        <f t="shared" ca="1" si="18"/>
        <v>10</v>
      </c>
      <c r="J70" s="46" t="str">
        <f t="shared" ca="1" si="24"/>
        <v>January</v>
      </c>
      <c r="K70" s="24">
        <f t="shared" ca="1" si="19"/>
        <v>2025</v>
      </c>
      <c r="L70" s="24" t="str">
        <f t="shared" ca="1" si="20"/>
        <v>Bronze</v>
      </c>
      <c r="M70" s="29">
        <v>70</v>
      </c>
      <c r="N70" s="29" t="s">
        <v>847</v>
      </c>
      <c r="O70" s="29" t="s">
        <v>907</v>
      </c>
      <c r="P70" s="30">
        <v>111</v>
      </c>
      <c r="Q70" s="30">
        <v>163.16999999999999</v>
      </c>
      <c r="R70" s="29">
        <v>70</v>
      </c>
      <c r="S70" s="24" t="str">
        <f t="shared" si="21"/>
        <v>Oct</v>
      </c>
      <c r="T70" s="47">
        <v>45591</v>
      </c>
      <c r="U70" s="29">
        <v>1</v>
      </c>
      <c r="V70" s="38">
        <v>78</v>
      </c>
      <c r="W70" s="29">
        <v>29</v>
      </c>
      <c r="X70" s="29">
        <v>2</v>
      </c>
      <c r="Y70" s="30">
        <f>combined_tbl!$Q70*(1-combined_tbl!$Z70)</f>
        <v>155.01149999999998</v>
      </c>
      <c r="Z70" s="31">
        <f>IF(combined_tbl!$Q70&gt;=500,0.2, IF(combined_tbl!$Q70&gt;=200,0.05, IF(combined_tbl!$X70&gt;=2,0.05,0)))</f>
        <v>0.05</v>
      </c>
      <c r="AA70" s="30">
        <f>combined_tbl!$Y70*combined_tbl!$X70</f>
        <v>310.02299999999997</v>
      </c>
      <c r="AB70" s="32">
        <f>(combined_tbl!$Q70*(1+combined_tbl!$Z70)-combined_tbl!$P70)*combined_tbl!$X70</f>
        <v>120.65699999999998</v>
      </c>
      <c r="AF70" t="str">
        <f t="shared" ca="1" si="25"/>
        <v>North</v>
      </c>
      <c r="AI70" s="24" t="str">
        <f t="shared" si="15"/>
        <v>Customer070</v>
      </c>
      <c r="AJ70" s="10">
        <f t="shared" ca="1" si="22"/>
        <v>45039</v>
      </c>
    </row>
    <row r="71" spans="1:36" x14ac:dyDescent="0.3">
      <c r="A71" s="29">
        <v>70</v>
      </c>
      <c r="B71" s="25" cm="1">
        <f t="array" aca="1" ref="B71" ca="1">MIN(IF($E:$E=E71,$H:$H))</f>
        <v>44960</v>
      </c>
      <c r="C71" s="25">
        <f t="shared" ca="1" si="16"/>
        <v>34</v>
      </c>
      <c r="D71" s="42">
        <f ca="1">COUNTIF(E:E,combined_tbl!$E71)</f>
        <v>6</v>
      </c>
      <c r="E71" s="24" t="str">
        <f t="shared" ca="1" si="23"/>
        <v>Customer042</v>
      </c>
      <c r="F71" s="24" t="str" cm="1">
        <f t="array" aca="1" ref="F71" ca="1">INDEX({"Male","Female"}, RANDBETWEEN(1,2))</f>
        <v>Female</v>
      </c>
      <c r="G71" s="29" t="str">
        <f t="shared" ca="1" si="14"/>
        <v>East</v>
      </c>
      <c r="H71" s="48">
        <f t="shared" ca="1" si="17"/>
        <v>44960</v>
      </c>
      <c r="I71" s="24">
        <f t="shared" ca="1" si="18"/>
        <v>3</v>
      </c>
      <c r="J71" s="46" t="str">
        <f t="shared" ca="1" si="24"/>
        <v>February</v>
      </c>
      <c r="K71" s="24">
        <f t="shared" ca="1" si="19"/>
        <v>2023</v>
      </c>
      <c r="L71" s="24" t="str">
        <f t="shared" ca="1" si="20"/>
        <v>Silver</v>
      </c>
      <c r="M71" s="24">
        <v>71</v>
      </c>
      <c r="N71" s="24" t="s">
        <v>847</v>
      </c>
      <c r="O71" s="24" t="s">
        <v>908</v>
      </c>
      <c r="P71" s="26">
        <v>48</v>
      </c>
      <c r="Q71" s="26">
        <v>56.16</v>
      </c>
      <c r="R71" s="24">
        <v>71</v>
      </c>
      <c r="S71" s="24" t="str">
        <f t="shared" si="21"/>
        <v>Aug</v>
      </c>
      <c r="T71" s="46">
        <v>45527</v>
      </c>
      <c r="U71" s="24">
        <v>6</v>
      </c>
      <c r="V71" s="37">
        <v>119</v>
      </c>
      <c r="W71" s="24">
        <v>16</v>
      </c>
      <c r="X71" s="24">
        <v>1</v>
      </c>
      <c r="Y71" s="26">
        <f>combined_tbl!$Q71*(1-combined_tbl!$Z71)</f>
        <v>56.16</v>
      </c>
      <c r="Z71" s="27">
        <f>IF(combined_tbl!$Q71&gt;=500,0.2, IF(combined_tbl!$Q71&gt;=200,0.05, IF(combined_tbl!$X71&gt;=2,0.05,0)))</f>
        <v>0</v>
      </c>
      <c r="AA71" s="26">
        <f>combined_tbl!$Y71*combined_tbl!$X71</f>
        <v>56.16</v>
      </c>
      <c r="AB71" s="28">
        <f>(combined_tbl!$Q71*(1+combined_tbl!$Z71)-combined_tbl!$P71)*combined_tbl!$X71</f>
        <v>8.1599999999999966</v>
      </c>
      <c r="AF71" t="str">
        <f t="shared" ca="1" si="25"/>
        <v>North</v>
      </c>
      <c r="AI71" s="24" t="str">
        <f t="shared" si="15"/>
        <v>Customer071</v>
      </c>
      <c r="AJ71" s="10">
        <f t="shared" ca="1" si="22"/>
        <v>45400</v>
      </c>
    </row>
    <row r="72" spans="1:36" x14ac:dyDescent="0.3">
      <c r="A72" s="29">
        <v>71</v>
      </c>
      <c r="B72" s="25" cm="1">
        <f t="array" aca="1" ref="B72" ca="1">MIN(IF($E:$E=E72,$H:$H))</f>
        <v>45094</v>
      </c>
      <c r="C72" s="25">
        <f t="shared" ca="1" si="16"/>
        <v>29</v>
      </c>
      <c r="D72" s="43">
        <f ca="1">COUNTIF(E:E,combined_tbl!$E72)</f>
        <v>9</v>
      </c>
      <c r="E72" s="29" t="str">
        <f t="shared" ca="1" si="23"/>
        <v>Customer069</v>
      </c>
      <c r="F72" s="29" t="str" cm="1">
        <f t="array" aca="1" ref="F72" ca="1">INDEX({"Male","Female"}, RANDBETWEEN(1,2))</f>
        <v>Female</v>
      </c>
      <c r="G72" s="29" t="str">
        <f t="shared" ca="1" si="14"/>
        <v>North</v>
      </c>
      <c r="H72" s="48">
        <f t="shared" ca="1" si="17"/>
        <v>45094</v>
      </c>
      <c r="I72" s="24">
        <f t="shared" ca="1" si="18"/>
        <v>17</v>
      </c>
      <c r="J72" s="46" t="str">
        <f t="shared" ca="1" si="24"/>
        <v>June</v>
      </c>
      <c r="K72" s="24">
        <f t="shared" ca="1" si="19"/>
        <v>2023</v>
      </c>
      <c r="L72" s="24" t="str">
        <f t="shared" ca="1" si="20"/>
        <v>Gold</v>
      </c>
      <c r="M72" s="29">
        <v>72</v>
      </c>
      <c r="N72" s="29" t="s">
        <v>1359</v>
      </c>
      <c r="O72" s="29" t="s">
        <v>909</v>
      </c>
      <c r="P72" s="30">
        <v>465</v>
      </c>
      <c r="Q72" s="30">
        <v>590.54999999999995</v>
      </c>
      <c r="R72" s="29">
        <v>72</v>
      </c>
      <c r="S72" s="24" t="str">
        <f t="shared" si="21"/>
        <v>Feb</v>
      </c>
      <c r="T72" s="47">
        <v>45694</v>
      </c>
      <c r="U72" s="29">
        <v>7</v>
      </c>
      <c r="V72" s="38">
        <v>143</v>
      </c>
      <c r="W72" s="29">
        <v>23</v>
      </c>
      <c r="X72" s="29">
        <v>1</v>
      </c>
      <c r="Y72" s="30">
        <f>combined_tbl!$Q72*(1-combined_tbl!$Z72)</f>
        <v>472.44</v>
      </c>
      <c r="Z72" s="31">
        <f>IF(combined_tbl!$Q72&gt;=500,0.2, IF(combined_tbl!$Q72&gt;=200,0.05, IF(combined_tbl!$X72&gt;=2,0.05,0)))</f>
        <v>0.2</v>
      </c>
      <c r="AA72" s="30">
        <f>combined_tbl!$Y72*combined_tbl!$X72</f>
        <v>472.44</v>
      </c>
      <c r="AB72" s="32">
        <f>(combined_tbl!$Q72*(1+combined_tbl!$Z72)-combined_tbl!$P72)*combined_tbl!$X72</f>
        <v>243.65999999999997</v>
      </c>
      <c r="AF72" t="str">
        <f t="shared" ca="1" si="25"/>
        <v>West</v>
      </c>
      <c r="AI72" s="24" t="str">
        <f t="shared" si="15"/>
        <v>Customer072</v>
      </c>
      <c r="AJ72" s="10">
        <f t="shared" ca="1" si="22"/>
        <v>45100</v>
      </c>
    </row>
    <row r="73" spans="1:36" x14ac:dyDescent="0.3">
      <c r="A73" s="29">
        <v>72</v>
      </c>
      <c r="B73" s="25" cm="1">
        <f t="array" aca="1" ref="B73" ca="1">MIN(IF($E:$E=E73,$H:$H))</f>
        <v>45955</v>
      </c>
      <c r="C73" s="25">
        <f t="shared" ca="1" si="16"/>
        <v>1</v>
      </c>
      <c r="D73" s="42">
        <f ca="1">COUNTIF(E:E,combined_tbl!$E73)</f>
        <v>9</v>
      </c>
      <c r="E73" s="24" t="str">
        <f t="shared" ca="1" si="23"/>
        <v>Customer080</v>
      </c>
      <c r="F73" s="24" t="str" cm="1">
        <f t="array" aca="1" ref="F73" ca="1">INDEX({"Male","Female"}, RANDBETWEEN(1,2))</f>
        <v>Female</v>
      </c>
      <c r="G73" s="29" t="str">
        <f t="shared" ca="1" si="14"/>
        <v>West</v>
      </c>
      <c r="H73" s="48">
        <f t="shared" ca="1" si="17"/>
        <v>45955</v>
      </c>
      <c r="I73" s="24">
        <f t="shared" ca="1" si="18"/>
        <v>25</v>
      </c>
      <c r="J73" s="46" t="str">
        <f t="shared" ca="1" si="24"/>
        <v>October</v>
      </c>
      <c r="K73" s="24">
        <f t="shared" ca="1" si="19"/>
        <v>2025</v>
      </c>
      <c r="L73" s="24" t="str">
        <f t="shared" ca="1" si="20"/>
        <v>Bronze</v>
      </c>
      <c r="M73" s="24">
        <v>73</v>
      </c>
      <c r="N73" s="24" t="s">
        <v>954</v>
      </c>
      <c r="O73" s="24" t="s">
        <v>910</v>
      </c>
      <c r="P73" s="26">
        <v>967</v>
      </c>
      <c r="Q73" s="26">
        <v>1199.08</v>
      </c>
      <c r="R73" s="24">
        <v>73</v>
      </c>
      <c r="S73" s="24" t="str">
        <f t="shared" si="21"/>
        <v>Oct</v>
      </c>
      <c r="T73" s="46">
        <v>45225</v>
      </c>
      <c r="U73" s="24">
        <v>4</v>
      </c>
      <c r="V73" s="37">
        <v>7</v>
      </c>
      <c r="W73" s="24">
        <v>9</v>
      </c>
      <c r="X73" s="24">
        <v>2</v>
      </c>
      <c r="Y73" s="26">
        <f>combined_tbl!$Q73*(1-combined_tbl!$Z73)</f>
        <v>959.26400000000001</v>
      </c>
      <c r="Z73" s="27">
        <f>IF(combined_tbl!$Q73&gt;=500,0.2, IF(combined_tbl!$Q73&gt;=200,0.05, IF(combined_tbl!$X73&gt;=2,0.05,0)))</f>
        <v>0.2</v>
      </c>
      <c r="AA73" s="26">
        <f>combined_tbl!$Y73*combined_tbl!$X73</f>
        <v>1918.528</v>
      </c>
      <c r="AB73" s="28">
        <f>(combined_tbl!$Q73*(1+combined_tbl!$Z73)-combined_tbl!$P73)*combined_tbl!$X73</f>
        <v>943.79199999999992</v>
      </c>
      <c r="AF73" t="str">
        <f t="shared" ca="1" si="25"/>
        <v>West</v>
      </c>
      <c r="AI73" s="24" t="str">
        <f t="shared" si="15"/>
        <v>Customer073</v>
      </c>
      <c r="AJ73" s="10">
        <f t="shared" ca="1" si="22"/>
        <v>45537</v>
      </c>
    </row>
    <row r="74" spans="1:36" x14ac:dyDescent="0.3">
      <c r="A74" s="19">
        <v>73</v>
      </c>
      <c r="B74" s="25" cm="1">
        <f t="array" aca="1" ref="B74" ca="1">MIN(IF($E:$E=E74,$H:$H))</f>
        <v>45884</v>
      </c>
      <c r="C74" s="25">
        <f t="shared" ca="1" si="16"/>
        <v>3</v>
      </c>
      <c r="D74" s="43">
        <f ca="1">COUNTIF(E:E,combined_tbl!$E74)</f>
        <v>2</v>
      </c>
      <c r="E74" s="29" t="str">
        <f t="shared" ca="1" si="23"/>
        <v>Customer081</v>
      </c>
      <c r="F74" s="29" t="str" cm="1">
        <f t="array" aca="1" ref="F74" ca="1">INDEX({"Male","Female"}, RANDBETWEEN(1,2))</f>
        <v>Female</v>
      </c>
      <c r="G74" s="29" t="str">
        <f t="shared" ca="1" si="14"/>
        <v>South</v>
      </c>
      <c r="H74" s="48">
        <f t="shared" ca="1" si="17"/>
        <v>45884</v>
      </c>
      <c r="I74" s="24">
        <f t="shared" ca="1" si="18"/>
        <v>15</v>
      </c>
      <c r="J74" s="46" t="str">
        <f t="shared" ca="1" si="24"/>
        <v>August</v>
      </c>
      <c r="K74" s="24">
        <f t="shared" ca="1" si="19"/>
        <v>2025</v>
      </c>
      <c r="L74" s="24" t="str">
        <f t="shared" ca="1" si="20"/>
        <v>Bronze</v>
      </c>
      <c r="M74" s="29">
        <v>74</v>
      </c>
      <c r="N74" s="29" t="s">
        <v>831</v>
      </c>
      <c r="O74" s="29" t="s">
        <v>911</v>
      </c>
      <c r="P74" s="30">
        <v>155</v>
      </c>
      <c r="Q74" s="30">
        <v>206.15</v>
      </c>
      <c r="R74" s="29">
        <v>74</v>
      </c>
      <c r="S74" s="24" t="str">
        <f t="shared" si="21"/>
        <v>Apr</v>
      </c>
      <c r="T74" s="47">
        <v>45770</v>
      </c>
      <c r="U74" s="29">
        <v>3</v>
      </c>
      <c r="V74" s="38">
        <v>19</v>
      </c>
      <c r="W74" s="29">
        <v>91</v>
      </c>
      <c r="X74" s="29">
        <v>1</v>
      </c>
      <c r="Y74" s="30">
        <f>combined_tbl!$Q74*(1-combined_tbl!$Z74)</f>
        <v>195.8425</v>
      </c>
      <c r="Z74" s="31">
        <f>IF(combined_tbl!$Q74&gt;=500,0.2, IF(combined_tbl!$Q74&gt;=200,0.05, IF(combined_tbl!$X74&gt;=2,0.05,0)))</f>
        <v>0.05</v>
      </c>
      <c r="AA74" s="30">
        <f>combined_tbl!$Y74*combined_tbl!$X74</f>
        <v>195.8425</v>
      </c>
      <c r="AB74" s="32">
        <f>(combined_tbl!$Q74*(1+combined_tbl!$Z74)-combined_tbl!$P74)*combined_tbl!$X74</f>
        <v>61.45750000000001</v>
      </c>
      <c r="AF74" t="str">
        <f t="shared" ca="1" si="25"/>
        <v>East</v>
      </c>
      <c r="AI74" s="24" t="str">
        <f t="shared" si="15"/>
        <v>Customer074</v>
      </c>
      <c r="AJ74" s="10">
        <f t="shared" ca="1" si="22"/>
        <v>45988</v>
      </c>
    </row>
    <row r="75" spans="1:36" x14ac:dyDescent="0.3">
      <c r="A75" s="24">
        <v>74</v>
      </c>
      <c r="B75" s="25" cm="1">
        <f t="array" aca="1" ref="B75" ca="1">MIN(IF($E:$E=E75,$H:$H))</f>
        <v>44966</v>
      </c>
      <c r="C75" s="25">
        <f t="shared" ca="1" si="16"/>
        <v>33</v>
      </c>
      <c r="D75" s="42">
        <f ca="1">COUNTIF(E:E,combined_tbl!$E75)</f>
        <v>5</v>
      </c>
      <c r="E75" s="24" t="str">
        <f t="shared" ca="1" si="23"/>
        <v>Customer091</v>
      </c>
      <c r="F75" s="24" t="str" cm="1">
        <f t="array" aca="1" ref="F75" ca="1">INDEX({"Male","Female"}, RANDBETWEEN(1,2))</f>
        <v>Female</v>
      </c>
      <c r="G75" s="29" t="str">
        <f t="shared" ca="1" si="14"/>
        <v>East</v>
      </c>
      <c r="H75" s="48">
        <f t="shared" ca="1" si="17"/>
        <v>44966</v>
      </c>
      <c r="I75" s="24">
        <f t="shared" ca="1" si="18"/>
        <v>9</v>
      </c>
      <c r="J75" s="46" t="str">
        <f t="shared" ca="1" si="24"/>
        <v>February</v>
      </c>
      <c r="K75" s="24">
        <f t="shared" ca="1" si="19"/>
        <v>2023</v>
      </c>
      <c r="L75" s="24" t="str">
        <f t="shared" ca="1" si="20"/>
        <v>Silver</v>
      </c>
      <c r="M75" s="24">
        <v>75</v>
      </c>
      <c r="N75" s="24" t="s">
        <v>847</v>
      </c>
      <c r="O75" s="24" t="s">
        <v>912</v>
      </c>
      <c r="P75" s="26">
        <v>56</v>
      </c>
      <c r="Q75" s="26">
        <v>80.08</v>
      </c>
      <c r="R75" s="24">
        <v>75</v>
      </c>
      <c r="S75" s="24" t="str">
        <f t="shared" si="21"/>
        <v>Dec</v>
      </c>
      <c r="T75" s="46">
        <v>45275</v>
      </c>
      <c r="U75" s="24">
        <v>3</v>
      </c>
      <c r="V75" s="37">
        <v>98</v>
      </c>
      <c r="W75" s="24">
        <v>88</v>
      </c>
      <c r="X75" s="24">
        <v>1</v>
      </c>
      <c r="Y75" s="26">
        <f>combined_tbl!$Q75*(1-combined_tbl!$Z75)</f>
        <v>80.08</v>
      </c>
      <c r="Z75" s="27">
        <f>IF(combined_tbl!$Q75&gt;=500,0.2, IF(combined_tbl!$Q75&gt;=200,0.05, IF(combined_tbl!$X75&gt;=2,0.05,0)))</f>
        <v>0</v>
      </c>
      <c r="AA75" s="26">
        <f>combined_tbl!$Y75*combined_tbl!$X75</f>
        <v>80.08</v>
      </c>
      <c r="AB75" s="28">
        <f>(combined_tbl!$Q75*(1+combined_tbl!$Z75)-combined_tbl!$P75)*combined_tbl!$X75</f>
        <v>24.08</v>
      </c>
      <c r="AF75" t="str">
        <f t="shared" ca="1" si="25"/>
        <v>West</v>
      </c>
      <c r="AI75" s="24" t="str">
        <f t="shared" si="15"/>
        <v>Customer075</v>
      </c>
      <c r="AJ75" s="10">
        <f t="shared" ca="1" si="22"/>
        <v>45083</v>
      </c>
    </row>
    <row r="76" spans="1:36" x14ac:dyDescent="0.3">
      <c r="A76" s="29">
        <v>75</v>
      </c>
      <c r="B76" s="25" cm="1">
        <f t="array" aca="1" ref="B76" ca="1">MIN(IF($E:$E=E76,$H:$H))</f>
        <v>45560</v>
      </c>
      <c r="C76" s="25">
        <f t="shared" ca="1" si="16"/>
        <v>14</v>
      </c>
      <c r="D76" s="43">
        <f ca="1">COUNTIF(E:E,combined_tbl!$E76)</f>
        <v>8</v>
      </c>
      <c r="E76" s="29" t="str">
        <f t="shared" ca="1" si="23"/>
        <v>Customer021</v>
      </c>
      <c r="F76" s="29" t="str" cm="1">
        <f t="array" aca="1" ref="F76" ca="1">INDEX({"Male","Female"}, RANDBETWEEN(1,2))</f>
        <v>Female</v>
      </c>
      <c r="G76" s="29" t="str">
        <f t="shared" ca="1" si="14"/>
        <v>South</v>
      </c>
      <c r="H76" s="48">
        <f t="shared" ca="1" si="17"/>
        <v>45560</v>
      </c>
      <c r="I76" s="24">
        <f t="shared" ca="1" si="18"/>
        <v>25</v>
      </c>
      <c r="J76" s="46" t="str">
        <f t="shared" ca="1" si="24"/>
        <v>September</v>
      </c>
      <c r="K76" s="24">
        <f t="shared" ca="1" si="19"/>
        <v>2024</v>
      </c>
      <c r="L76" s="24" t="str">
        <f t="shared" ca="1" si="20"/>
        <v>Silver</v>
      </c>
      <c r="M76" s="29">
        <v>76</v>
      </c>
      <c r="N76" s="29" t="s">
        <v>851</v>
      </c>
      <c r="O76" s="29" t="s">
        <v>913</v>
      </c>
      <c r="P76" s="30">
        <v>21</v>
      </c>
      <c r="Q76" s="30">
        <v>26.46</v>
      </c>
      <c r="R76" s="29">
        <v>76</v>
      </c>
      <c r="S76" s="24" t="str">
        <f t="shared" si="21"/>
        <v>Jun</v>
      </c>
      <c r="T76" s="47">
        <v>45088</v>
      </c>
      <c r="U76" s="29">
        <v>7</v>
      </c>
      <c r="V76" s="38">
        <v>167</v>
      </c>
      <c r="W76" s="29">
        <v>61</v>
      </c>
      <c r="X76" s="29">
        <v>1</v>
      </c>
      <c r="Y76" s="30">
        <f>combined_tbl!$Q76*(1-combined_tbl!$Z76)</f>
        <v>26.46</v>
      </c>
      <c r="Z76" s="31">
        <f>IF(combined_tbl!$Q76&gt;=500,0.2, IF(combined_tbl!$Q76&gt;=200,0.05, IF(combined_tbl!$X76&gt;=2,0.05,0)))</f>
        <v>0</v>
      </c>
      <c r="AA76" s="30">
        <f>combined_tbl!$Y76*combined_tbl!$X76</f>
        <v>26.46</v>
      </c>
      <c r="AB76" s="32">
        <f>(combined_tbl!$Q76*(1+combined_tbl!$Z76)-combined_tbl!$P76)*combined_tbl!$X76</f>
        <v>5.4600000000000009</v>
      </c>
      <c r="AF76" t="str">
        <f t="shared" ca="1" si="25"/>
        <v>West</v>
      </c>
      <c r="AI76" s="24" t="str">
        <f t="shared" si="15"/>
        <v>Customer076</v>
      </c>
      <c r="AJ76" s="10">
        <f t="shared" ca="1" si="22"/>
        <v>44990</v>
      </c>
    </row>
    <row r="77" spans="1:36" x14ac:dyDescent="0.3">
      <c r="A77" s="29">
        <v>76</v>
      </c>
      <c r="B77" s="25" cm="1">
        <f t="array" aca="1" ref="B77" ca="1">MIN(IF($E:$E=E77,$H:$H))</f>
        <v>45094</v>
      </c>
      <c r="C77" s="25">
        <f t="shared" ca="1" si="16"/>
        <v>29</v>
      </c>
      <c r="D77" s="42">
        <f ca="1">COUNTIF(E:E,combined_tbl!$E77)</f>
        <v>9</v>
      </c>
      <c r="E77" s="24" t="str">
        <f t="shared" ca="1" si="23"/>
        <v>Customer069</v>
      </c>
      <c r="F77" s="24" t="str" cm="1">
        <f t="array" aca="1" ref="F77" ca="1">INDEX({"Male","Female"}, RANDBETWEEN(1,2))</f>
        <v>Male</v>
      </c>
      <c r="G77" s="29" t="str">
        <f t="shared" ca="1" si="14"/>
        <v>North</v>
      </c>
      <c r="H77" s="48">
        <f t="shared" ca="1" si="17"/>
        <v>45094</v>
      </c>
      <c r="I77" s="24">
        <f t="shared" ca="1" si="18"/>
        <v>17</v>
      </c>
      <c r="J77" s="46" t="str">
        <f t="shared" ca="1" si="24"/>
        <v>June</v>
      </c>
      <c r="K77" s="24">
        <f t="shared" ca="1" si="19"/>
        <v>2023</v>
      </c>
      <c r="L77" s="24" t="str">
        <f t="shared" ca="1" si="20"/>
        <v>Gold</v>
      </c>
      <c r="M77" s="24">
        <v>77</v>
      </c>
      <c r="N77" s="24" t="s">
        <v>957</v>
      </c>
      <c r="O77" s="24" t="s">
        <v>914</v>
      </c>
      <c r="P77" s="26">
        <v>123</v>
      </c>
      <c r="Q77" s="26">
        <v>158.67000000000002</v>
      </c>
      <c r="R77" s="24">
        <v>77</v>
      </c>
      <c r="S77" s="24" t="str">
        <f t="shared" si="21"/>
        <v>May</v>
      </c>
      <c r="T77" s="46">
        <v>45420</v>
      </c>
      <c r="U77" s="24">
        <v>8</v>
      </c>
      <c r="V77" s="37">
        <v>51</v>
      </c>
      <c r="W77" s="24">
        <v>87</v>
      </c>
      <c r="X77" s="24">
        <v>1</v>
      </c>
      <c r="Y77" s="26">
        <f>combined_tbl!$Q77*(1-combined_tbl!$Z77)</f>
        <v>158.67000000000002</v>
      </c>
      <c r="Z77" s="27">
        <f>IF(combined_tbl!$Q77&gt;=500,0.2, IF(combined_tbl!$Q77&gt;=200,0.05, IF(combined_tbl!$X77&gt;=2,0.05,0)))</f>
        <v>0</v>
      </c>
      <c r="AA77" s="26">
        <f>combined_tbl!$Y77*combined_tbl!$X77</f>
        <v>158.67000000000002</v>
      </c>
      <c r="AB77" s="28">
        <f>(combined_tbl!$Q77*(1+combined_tbl!$Z77)-combined_tbl!$P77)*combined_tbl!$X77</f>
        <v>35.670000000000016</v>
      </c>
      <c r="AF77" t="str">
        <f t="shared" ca="1" si="25"/>
        <v>West</v>
      </c>
      <c r="AI77" s="24" t="str">
        <f t="shared" si="15"/>
        <v>Customer077</v>
      </c>
      <c r="AJ77" s="10">
        <f t="shared" ca="1" si="22"/>
        <v>45054</v>
      </c>
    </row>
    <row r="78" spans="1:36" x14ac:dyDescent="0.3">
      <c r="A78" s="29">
        <v>77</v>
      </c>
      <c r="B78" s="25" cm="1">
        <f t="array" aca="1" ref="B78" ca="1">MIN(IF($E:$E=E78,$H:$H))</f>
        <v>44939</v>
      </c>
      <c r="C78" s="25">
        <f t="shared" ca="1" si="16"/>
        <v>34</v>
      </c>
      <c r="D78" s="43">
        <f ca="1">COUNTIF(E:E,combined_tbl!$E78)</f>
        <v>4</v>
      </c>
      <c r="E78" s="29" t="str">
        <f t="shared" ca="1" si="23"/>
        <v>Customer079</v>
      </c>
      <c r="F78" s="29" t="str" cm="1">
        <f t="array" aca="1" ref="F78" ca="1">INDEX({"Male","Female"}, RANDBETWEEN(1,2))</f>
        <v>Male</v>
      </c>
      <c r="G78" s="29" t="str">
        <f t="shared" ca="1" si="14"/>
        <v>South</v>
      </c>
      <c r="H78" s="48">
        <f t="shared" ca="1" si="17"/>
        <v>44939</v>
      </c>
      <c r="I78" s="24">
        <f t="shared" ca="1" si="18"/>
        <v>13</v>
      </c>
      <c r="J78" s="46" t="str">
        <f t="shared" ca="1" si="24"/>
        <v>January</v>
      </c>
      <c r="K78" s="24">
        <f t="shared" ca="1" si="19"/>
        <v>2023</v>
      </c>
      <c r="L78" s="24" t="str">
        <f t="shared" ca="1" si="20"/>
        <v>Silver</v>
      </c>
      <c r="M78" s="29">
        <v>78</v>
      </c>
      <c r="N78" s="29" t="s">
        <v>955</v>
      </c>
      <c r="O78" s="29" t="s">
        <v>915</v>
      </c>
      <c r="P78" s="30">
        <v>247</v>
      </c>
      <c r="Q78" s="30">
        <v>313.69</v>
      </c>
      <c r="R78" s="29">
        <v>78</v>
      </c>
      <c r="S78" s="24" t="str">
        <f t="shared" si="21"/>
        <v>Oct</v>
      </c>
      <c r="T78" s="47">
        <v>45220</v>
      </c>
      <c r="U78" s="29">
        <v>4</v>
      </c>
      <c r="V78" s="38">
        <v>148</v>
      </c>
      <c r="W78" s="29">
        <v>23</v>
      </c>
      <c r="X78" s="29">
        <v>1</v>
      </c>
      <c r="Y78" s="30">
        <f>combined_tbl!$Q78*(1-combined_tbl!$Z78)</f>
        <v>298.00549999999998</v>
      </c>
      <c r="Z78" s="31">
        <f>IF(combined_tbl!$Q78&gt;=500,0.2, IF(combined_tbl!$Q78&gt;=200,0.05, IF(combined_tbl!$X78&gt;=2,0.05,0)))</f>
        <v>0.05</v>
      </c>
      <c r="AA78" s="30">
        <f>combined_tbl!$Y78*combined_tbl!$X78</f>
        <v>298.00549999999998</v>
      </c>
      <c r="AB78" s="32">
        <f>(combined_tbl!$Q78*(1+combined_tbl!$Z78)-combined_tbl!$P78)*combined_tbl!$X78</f>
        <v>82.374500000000012</v>
      </c>
      <c r="AF78" t="str">
        <f t="shared" ca="1" si="25"/>
        <v>North</v>
      </c>
      <c r="AI78" s="24" t="str">
        <f t="shared" si="15"/>
        <v>Customer078</v>
      </c>
      <c r="AJ78" s="10">
        <f t="shared" ca="1" si="22"/>
        <v>45487</v>
      </c>
    </row>
    <row r="79" spans="1:36" x14ac:dyDescent="0.3">
      <c r="A79" s="29">
        <v>78</v>
      </c>
      <c r="B79" s="25" cm="1">
        <f t="array" aca="1" ref="B79" ca="1">MIN(IF($E:$E=E79,$H:$H))</f>
        <v>45853</v>
      </c>
      <c r="C79" s="25">
        <f t="shared" ca="1" si="16"/>
        <v>4</v>
      </c>
      <c r="D79" s="42">
        <f ca="1">COUNTIF(E:E,combined_tbl!$E79)</f>
        <v>7</v>
      </c>
      <c r="E79" s="24" t="str">
        <f t="shared" ca="1" si="23"/>
        <v>Customer025</v>
      </c>
      <c r="F79" s="24" t="str" cm="1">
        <f t="array" aca="1" ref="F79" ca="1">INDEX({"Male","Female"}, RANDBETWEEN(1,2))</f>
        <v>Male</v>
      </c>
      <c r="G79" s="29" t="str">
        <f t="shared" ca="1" si="14"/>
        <v>West</v>
      </c>
      <c r="H79" s="48">
        <f t="shared" ca="1" si="17"/>
        <v>45853</v>
      </c>
      <c r="I79" s="24">
        <f t="shared" ca="1" si="18"/>
        <v>15</v>
      </c>
      <c r="J79" s="46" t="str">
        <f t="shared" ca="1" si="24"/>
        <v>July</v>
      </c>
      <c r="K79" s="24">
        <f t="shared" ca="1" si="19"/>
        <v>2025</v>
      </c>
      <c r="L79" s="24" t="str">
        <f t="shared" ca="1" si="20"/>
        <v>Bronze</v>
      </c>
      <c r="M79" s="24">
        <v>79</v>
      </c>
      <c r="N79" s="24" t="s">
        <v>837</v>
      </c>
      <c r="O79" s="24" t="s">
        <v>916</v>
      </c>
      <c r="P79" s="26">
        <v>164</v>
      </c>
      <c r="Q79" s="26">
        <v>218.12</v>
      </c>
      <c r="R79" s="24">
        <v>79</v>
      </c>
      <c r="S79" s="24" t="str">
        <f t="shared" si="21"/>
        <v>Aug</v>
      </c>
      <c r="T79" s="46">
        <v>45871</v>
      </c>
      <c r="U79" s="24">
        <v>5</v>
      </c>
      <c r="V79" s="37">
        <v>74</v>
      </c>
      <c r="W79" s="24">
        <v>34</v>
      </c>
      <c r="X79" s="24">
        <v>2</v>
      </c>
      <c r="Y79" s="26">
        <f>combined_tbl!$Q79*(1-combined_tbl!$Z79)</f>
        <v>207.214</v>
      </c>
      <c r="Z79" s="27">
        <f>IF(combined_tbl!$Q79&gt;=500,0.2, IF(combined_tbl!$Q79&gt;=200,0.05, IF(combined_tbl!$X79&gt;=2,0.05,0)))</f>
        <v>0.05</v>
      </c>
      <c r="AA79" s="26">
        <f>combined_tbl!$Y79*combined_tbl!$X79</f>
        <v>414.428</v>
      </c>
      <c r="AB79" s="28">
        <f>(combined_tbl!$Q79*(1+combined_tbl!$Z79)-combined_tbl!$P79)*combined_tbl!$X79</f>
        <v>130.05200000000002</v>
      </c>
      <c r="AF79" t="str">
        <f t="shared" ca="1" si="25"/>
        <v>North</v>
      </c>
      <c r="AI79" s="24" t="str">
        <f t="shared" si="15"/>
        <v>Customer079</v>
      </c>
      <c r="AJ79" s="10">
        <f t="shared" ca="1" si="22"/>
        <v>44939</v>
      </c>
    </row>
    <row r="80" spans="1:36" x14ac:dyDescent="0.3">
      <c r="A80" s="29">
        <v>79</v>
      </c>
      <c r="B80" s="25" cm="1">
        <f t="array" aca="1" ref="B80" ca="1">MIN(IF($E:$E=E80,$H:$H))</f>
        <v>45812</v>
      </c>
      <c r="C80" s="25">
        <f t="shared" ca="1" si="16"/>
        <v>6</v>
      </c>
      <c r="D80" s="43">
        <f ca="1">COUNTIF(E:E,combined_tbl!$E80)</f>
        <v>10</v>
      </c>
      <c r="E80" s="29" t="str">
        <f t="shared" ca="1" si="23"/>
        <v>Customer026</v>
      </c>
      <c r="F80" s="29" t="str" cm="1">
        <f t="array" aca="1" ref="F80" ca="1">INDEX({"Male","Female"}, RANDBETWEEN(1,2))</f>
        <v>Female</v>
      </c>
      <c r="G80" s="29" t="str">
        <f t="shared" ca="1" si="14"/>
        <v>North</v>
      </c>
      <c r="H80" s="48">
        <f t="shared" ca="1" si="17"/>
        <v>45812</v>
      </c>
      <c r="I80" s="24">
        <f t="shared" ca="1" si="18"/>
        <v>4</v>
      </c>
      <c r="J80" s="46" t="str">
        <f t="shared" ca="1" si="24"/>
        <v>June</v>
      </c>
      <c r="K80" s="24">
        <f t="shared" ca="1" si="19"/>
        <v>2025</v>
      </c>
      <c r="L80" s="24" t="str">
        <f t="shared" ca="1" si="20"/>
        <v>Bronze</v>
      </c>
      <c r="M80" s="29">
        <v>80</v>
      </c>
      <c r="N80" s="29" t="s">
        <v>831</v>
      </c>
      <c r="O80" s="29" t="s">
        <v>917</v>
      </c>
      <c r="P80" s="30">
        <v>276</v>
      </c>
      <c r="Q80" s="30">
        <v>367.08000000000004</v>
      </c>
      <c r="R80" s="29">
        <v>80</v>
      </c>
      <c r="S80" s="24" t="str">
        <f t="shared" si="21"/>
        <v>Jul</v>
      </c>
      <c r="T80" s="47">
        <v>45868</v>
      </c>
      <c r="U80" s="29">
        <v>5</v>
      </c>
      <c r="V80" s="38">
        <v>82</v>
      </c>
      <c r="W80" s="29">
        <v>36</v>
      </c>
      <c r="X80" s="29">
        <v>2</v>
      </c>
      <c r="Y80" s="30">
        <f>combined_tbl!$Q80*(1-combined_tbl!$Z80)</f>
        <v>348.726</v>
      </c>
      <c r="Z80" s="31">
        <f>IF(combined_tbl!$Q80&gt;=500,0.2, IF(combined_tbl!$Q80&gt;=200,0.05, IF(combined_tbl!$X80&gt;=2,0.05,0)))</f>
        <v>0.05</v>
      </c>
      <c r="AA80" s="30">
        <f>combined_tbl!$Y80*combined_tbl!$X80</f>
        <v>697.452</v>
      </c>
      <c r="AB80" s="32">
        <f>(combined_tbl!$Q80*(1+combined_tbl!$Z80)-combined_tbl!$P80)*combined_tbl!$X80</f>
        <v>218.86800000000017</v>
      </c>
      <c r="AF80" t="str">
        <f t="shared" ca="1" si="25"/>
        <v>South</v>
      </c>
      <c r="AI80" s="24" t="str">
        <f t="shared" si="15"/>
        <v>Customer080</v>
      </c>
      <c r="AJ80" s="10">
        <f t="shared" ca="1" si="22"/>
        <v>45955</v>
      </c>
    </row>
    <row r="81" spans="1:36" x14ac:dyDescent="0.3">
      <c r="A81" s="29">
        <v>80</v>
      </c>
      <c r="B81" s="25" cm="1">
        <f t="array" aca="1" ref="B81" ca="1">MIN(IF($E:$E=E81,$H:$H))</f>
        <v>45743</v>
      </c>
      <c r="C81" s="25">
        <f t="shared" ca="1" si="16"/>
        <v>8</v>
      </c>
      <c r="D81" s="42">
        <f ca="1">COUNTIF(E:E,combined_tbl!$E81)</f>
        <v>5</v>
      </c>
      <c r="E81" s="24" t="str">
        <f t="shared" ca="1" si="23"/>
        <v>Customer031</v>
      </c>
      <c r="F81" s="24" t="str" cm="1">
        <f t="array" aca="1" ref="F81" ca="1">INDEX({"Male","Female"}, RANDBETWEEN(1,2))</f>
        <v>Male</v>
      </c>
      <c r="G81" s="29" t="str">
        <f t="shared" ca="1" si="14"/>
        <v>South</v>
      </c>
      <c r="H81" s="48">
        <f t="shared" ca="1" si="17"/>
        <v>45743</v>
      </c>
      <c r="I81" s="24">
        <f t="shared" ca="1" si="18"/>
        <v>27</v>
      </c>
      <c r="J81" s="46" t="str">
        <f t="shared" ca="1" si="24"/>
        <v>March</v>
      </c>
      <c r="K81" s="24">
        <f t="shared" ca="1" si="19"/>
        <v>2025</v>
      </c>
      <c r="L81" s="24" t="str">
        <f t="shared" ca="1" si="20"/>
        <v>Bronze</v>
      </c>
      <c r="M81" s="24">
        <v>81</v>
      </c>
      <c r="N81" s="24" t="s">
        <v>954</v>
      </c>
      <c r="O81" s="24" t="s">
        <v>918</v>
      </c>
      <c r="P81" s="26">
        <v>542</v>
      </c>
      <c r="Q81" s="26">
        <v>710.02</v>
      </c>
      <c r="R81" s="24">
        <v>81</v>
      </c>
      <c r="S81" s="24" t="str">
        <f t="shared" si="21"/>
        <v>Jan</v>
      </c>
      <c r="T81" s="46">
        <v>44946</v>
      </c>
      <c r="U81" s="24">
        <v>8</v>
      </c>
      <c r="V81" s="37">
        <v>34</v>
      </c>
      <c r="W81" s="24">
        <v>63</v>
      </c>
      <c r="X81" s="24">
        <v>1</v>
      </c>
      <c r="Y81" s="26">
        <f>combined_tbl!$Q81*(1-combined_tbl!$Z81)</f>
        <v>568.01599999999996</v>
      </c>
      <c r="Z81" s="27">
        <f>IF(combined_tbl!$Q81&gt;=500,0.2, IF(combined_tbl!$Q81&gt;=200,0.05, IF(combined_tbl!$X81&gt;=2,0.05,0)))</f>
        <v>0.2</v>
      </c>
      <c r="AA81" s="26">
        <f>combined_tbl!$Y81*combined_tbl!$X81</f>
        <v>568.01599999999996</v>
      </c>
      <c r="AB81" s="28">
        <f>(combined_tbl!$Q81*(1+combined_tbl!$Z81)-combined_tbl!$P81)*combined_tbl!$X81</f>
        <v>310.024</v>
      </c>
      <c r="AF81" t="str">
        <f t="shared" ca="1" si="25"/>
        <v>West</v>
      </c>
      <c r="AI81" s="24" t="str">
        <f t="shared" si="15"/>
        <v>Customer081</v>
      </c>
      <c r="AJ81" s="10">
        <f t="shared" ca="1" si="22"/>
        <v>45884</v>
      </c>
    </row>
    <row r="82" spans="1:36" x14ac:dyDescent="0.3">
      <c r="A82" s="19">
        <v>81</v>
      </c>
      <c r="B82" s="25" cm="1">
        <f t="array" aca="1" ref="B82" ca="1">MIN(IF($E:$E=E82,$H:$H))</f>
        <v>45116</v>
      </c>
      <c r="C82" s="25">
        <f t="shared" ca="1" si="16"/>
        <v>28</v>
      </c>
      <c r="D82" s="43">
        <f ca="1">COUNTIF(E:E,combined_tbl!$E82)</f>
        <v>2</v>
      </c>
      <c r="E82" s="29" t="str">
        <f t="shared" ca="1" si="23"/>
        <v>Customer138</v>
      </c>
      <c r="F82" s="29" t="str" cm="1">
        <f t="array" aca="1" ref="F82" ca="1">INDEX({"Male","Female"}, RANDBETWEEN(1,2))</f>
        <v>Female</v>
      </c>
      <c r="G82" s="29" t="str">
        <f t="shared" ca="1" si="14"/>
        <v>West</v>
      </c>
      <c r="H82" s="48">
        <f t="shared" ca="1" si="17"/>
        <v>45116</v>
      </c>
      <c r="I82" s="24">
        <f t="shared" ca="1" si="18"/>
        <v>9</v>
      </c>
      <c r="J82" s="46" t="str">
        <f t="shared" ca="1" si="24"/>
        <v>July</v>
      </c>
      <c r="K82" s="24">
        <f t="shared" ca="1" si="19"/>
        <v>2023</v>
      </c>
      <c r="L82" s="24" t="str">
        <f t="shared" ca="1" si="20"/>
        <v>Bronze</v>
      </c>
      <c r="M82" s="29">
        <v>82</v>
      </c>
      <c r="N82" s="29" t="s">
        <v>831</v>
      </c>
      <c r="O82" s="29" t="s">
        <v>919</v>
      </c>
      <c r="P82" s="30">
        <v>39</v>
      </c>
      <c r="Q82" s="30">
        <v>49.14</v>
      </c>
      <c r="R82" s="29">
        <v>82</v>
      </c>
      <c r="S82" s="24" t="str">
        <f t="shared" si="21"/>
        <v>Aug</v>
      </c>
      <c r="T82" s="47">
        <v>45516</v>
      </c>
      <c r="U82" s="29">
        <v>3</v>
      </c>
      <c r="V82" s="38">
        <v>164</v>
      </c>
      <c r="W82" s="29">
        <v>87</v>
      </c>
      <c r="X82" s="29">
        <v>1</v>
      </c>
      <c r="Y82" s="30">
        <f>combined_tbl!$Q82*(1-combined_tbl!$Z82)</f>
        <v>49.14</v>
      </c>
      <c r="Z82" s="31">
        <f>IF(combined_tbl!$Q82&gt;=500,0.2, IF(combined_tbl!$Q82&gt;=200,0.05, IF(combined_tbl!$X82&gt;=2,0.05,0)))</f>
        <v>0</v>
      </c>
      <c r="AA82" s="30">
        <f>combined_tbl!$Y82*combined_tbl!$X82</f>
        <v>49.14</v>
      </c>
      <c r="AB82" s="32">
        <f>(combined_tbl!$Q82*(1+combined_tbl!$Z82)-combined_tbl!$P82)*combined_tbl!$X82</f>
        <v>10.14</v>
      </c>
      <c r="AF82" t="str">
        <f t="shared" ca="1" si="25"/>
        <v>South</v>
      </c>
      <c r="AI82" s="24" t="str">
        <f t="shared" si="15"/>
        <v>Customer082</v>
      </c>
      <c r="AJ82" s="10">
        <f t="shared" ca="1" si="22"/>
        <v>45919</v>
      </c>
    </row>
    <row r="83" spans="1:36" x14ac:dyDescent="0.3">
      <c r="A83" s="24">
        <v>82</v>
      </c>
      <c r="B83" s="25" cm="1">
        <f t="array" aca="1" ref="B83" ca="1">MIN(IF($E:$E=E83,$H:$H))</f>
        <v>45631</v>
      </c>
      <c r="C83" s="25">
        <f t="shared" ca="1" si="16"/>
        <v>11</v>
      </c>
      <c r="D83" s="42">
        <f ca="1">COUNTIF(E:E,combined_tbl!$E83)</f>
        <v>6</v>
      </c>
      <c r="E83" s="24" t="str">
        <f t="shared" ca="1" si="23"/>
        <v>Customer017</v>
      </c>
      <c r="F83" s="24" t="str" cm="1">
        <f t="array" aca="1" ref="F83" ca="1">INDEX({"Male","Female"}, RANDBETWEEN(1,2))</f>
        <v>Male</v>
      </c>
      <c r="G83" s="29" t="str">
        <f t="shared" ca="1" si="14"/>
        <v>West</v>
      </c>
      <c r="H83" s="48">
        <f t="shared" ca="1" si="17"/>
        <v>45631</v>
      </c>
      <c r="I83" s="24">
        <f t="shared" ca="1" si="18"/>
        <v>5</v>
      </c>
      <c r="J83" s="46" t="str">
        <f t="shared" ca="1" si="24"/>
        <v>December</v>
      </c>
      <c r="K83" s="24">
        <f t="shared" ca="1" si="19"/>
        <v>2024</v>
      </c>
      <c r="L83" s="24" t="str">
        <f t="shared" ca="1" si="20"/>
        <v>Bronze</v>
      </c>
      <c r="M83" s="24">
        <v>83</v>
      </c>
      <c r="N83" s="24" t="s">
        <v>837</v>
      </c>
      <c r="O83" s="24" t="s">
        <v>920</v>
      </c>
      <c r="P83" s="26">
        <v>191</v>
      </c>
      <c r="Q83" s="26">
        <v>215.82999999999998</v>
      </c>
      <c r="R83" s="24">
        <v>83</v>
      </c>
      <c r="S83" s="24" t="str">
        <f t="shared" si="21"/>
        <v>Jun</v>
      </c>
      <c r="T83" s="46">
        <v>45078</v>
      </c>
      <c r="U83" s="24">
        <v>8</v>
      </c>
      <c r="V83" s="37">
        <v>147</v>
      </c>
      <c r="W83" s="24">
        <v>35</v>
      </c>
      <c r="X83" s="24">
        <v>1</v>
      </c>
      <c r="Y83" s="26">
        <f>combined_tbl!$Q83*(1-combined_tbl!$Z83)</f>
        <v>205.03849999999997</v>
      </c>
      <c r="Z83" s="27">
        <f>IF(combined_tbl!$Q83&gt;=500,0.2, IF(combined_tbl!$Q83&gt;=200,0.05, IF(combined_tbl!$X83&gt;=2,0.05,0)))</f>
        <v>0.05</v>
      </c>
      <c r="AA83" s="26">
        <f>combined_tbl!$Y83*combined_tbl!$X83</f>
        <v>205.03849999999997</v>
      </c>
      <c r="AB83" s="28">
        <f>(combined_tbl!$Q83*(1+combined_tbl!$Z83)-combined_tbl!$P83)*combined_tbl!$X83</f>
        <v>35.621499999999997</v>
      </c>
      <c r="AF83" t="str">
        <f t="shared" ca="1" si="25"/>
        <v>South</v>
      </c>
      <c r="AI83" s="24" t="str">
        <f t="shared" si="15"/>
        <v>Customer083</v>
      </c>
      <c r="AJ83" s="10">
        <f t="shared" ca="1" si="22"/>
        <v>45237</v>
      </c>
    </row>
    <row r="84" spans="1:36" x14ac:dyDescent="0.3">
      <c r="A84" s="29">
        <v>83</v>
      </c>
      <c r="B84" s="25" cm="1">
        <f t="array" aca="1" ref="B84" ca="1">MIN(IF($E:$E=E84,$H:$H))</f>
        <v>45260</v>
      </c>
      <c r="C84" s="25">
        <f t="shared" ca="1" si="16"/>
        <v>24</v>
      </c>
      <c r="D84" s="43">
        <f ca="1">COUNTIF(E:E,combined_tbl!$E84)</f>
        <v>13</v>
      </c>
      <c r="E84" s="29" t="str">
        <f t="shared" ca="1" si="23"/>
        <v>Customer001</v>
      </c>
      <c r="F84" s="29" t="str" cm="1">
        <f t="array" aca="1" ref="F84" ca="1">INDEX({"Male","Female"}, RANDBETWEEN(1,2))</f>
        <v>Female</v>
      </c>
      <c r="G84" s="29" t="str">
        <f t="shared" ca="1" si="14"/>
        <v>South</v>
      </c>
      <c r="H84" s="48">
        <f t="shared" ca="1" si="17"/>
        <v>45260</v>
      </c>
      <c r="I84" s="24">
        <f t="shared" ca="1" si="18"/>
        <v>30</v>
      </c>
      <c r="J84" s="46" t="str">
        <f t="shared" ca="1" si="24"/>
        <v>November</v>
      </c>
      <c r="K84" s="24">
        <f t="shared" ca="1" si="19"/>
        <v>2023</v>
      </c>
      <c r="L84" s="24" t="str">
        <f t="shared" ca="1" si="20"/>
        <v>Platinum</v>
      </c>
      <c r="M84" s="29">
        <v>84</v>
      </c>
      <c r="N84" s="29" t="s">
        <v>954</v>
      </c>
      <c r="O84" s="29" t="s">
        <v>921</v>
      </c>
      <c r="P84" s="30">
        <v>614</v>
      </c>
      <c r="Q84" s="30">
        <v>921</v>
      </c>
      <c r="R84" s="29">
        <v>84</v>
      </c>
      <c r="S84" s="24" t="str">
        <f t="shared" si="21"/>
        <v>Dec</v>
      </c>
      <c r="T84" s="47">
        <v>45634</v>
      </c>
      <c r="U84" s="29">
        <v>5</v>
      </c>
      <c r="V84" s="38">
        <v>130</v>
      </c>
      <c r="W84" s="29">
        <v>90</v>
      </c>
      <c r="X84" s="29">
        <v>1</v>
      </c>
      <c r="Y84" s="30">
        <f>combined_tbl!$Q84*(1-combined_tbl!$Z84)</f>
        <v>736.80000000000007</v>
      </c>
      <c r="Z84" s="31">
        <f>IF(combined_tbl!$Q84&gt;=500,0.2, IF(combined_tbl!$Q84&gt;=200,0.05, IF(combined_tbl!$X84&gt;=2,0.05,0)))</f>
        <v>0.2</v>
      </c>
      <c r="AA84" s="30">
        <f>combined_tbl!$Y84*combined_tbl!$X84</f>
        <v>736.80000000000007</v>
      </c>
      <c r="AB84" s="32">
        <f>(combined_tbl!$Q84*(1+combined_tbl!$Z84)-combined_tbl!$P84)*combined_tbl!$X84</f>
        <v>491.20000000000005</v>
      </c>
      <c r="AF84" t="str">
        <f t="shared" ca="1" si="25"/>
        <v>West</v>
      </c>
      <c r="AI84" s="24" t="str">
        <f t="shared" si="15"/>
        <v>Customer084</v>
      </c>
      <c r="AJ84" s="10">
        <f t="shared" ca="1" si="22"/>
        <v>45862</v>
      </c>
    </row>
    <row r="85" spans="1:36" x14ac:dyDescent="0.3">
      <c r="A85" s="29">
        <v>84</v>
      </c>
      <c r="B85" s="25" cm="1">
        <f t="array" aca="1" ref="B85" ca="1">MIN(IF($E:$E=E85,$H:$H))</f>
        <v>45094</v>
      </c>
      <c r="C85" s="25">
        <f t="shared" ca="1" si="16"/>
        <v>29</v>
      </c>
      <c r="D85" s="42">
        <f ca="1">COUNTIF(E:E,combined_tbl!$E85)</f>
        <v>9</v>
      </c>
      <c r="E85" s="24" t="str">
        <f t="shared" ca="1" si="23"/>
        <v>Customer069</v>
      </c>
      <c r="F85" s="24" t="str" cm="1">
        <f t="array" aca="1" ref="F85" ca="1">INDEX({"Male","Female"}, RANDBETWEEN(1,2))</f>
        <v>Male</v>
      </c>
      <c r="G85" s="29" t="str">
        <f t="shared" ca="1" si="14"/>
        <v>North</v>
      </c>
      <c r="H85" s="48">
        <f t="shared" ca="1" si="17"/>
        <v>45094</v>
      </c>
      <c r="I85" s="24">
        <f t="shared" ca="1" si="18"/>
        <v>17</v>
      </c>
      <c r="J85" s="46" t="str">
        <f t="shared" ca="1" si="24"/>
        <v>June</v>
      </c>
      <c r="K85" s="24">
        <f t="shared" ca="1" si="19"/>
        <v>2023</v>
      </c>
      <c r="L85" s="24" t="str">
        <f t="shared" ca="1" si="20"/>
        <v>Gold</v>
      </c>
      <c r="M85" s="24">
        <v>85</v>
      </c>
      <c r="N85" s="24" t="s">
        <v>831</v>
      </c>
      <c r="O85" s="24" t="s">
        <v>922</v>
      </c>
      <c r="P85" s="26">
        <v>198</v>
      </c>
      <c r="Q85" s="26">
        <v>223.73999999999998</v>
      </c>
      <c r="R85" s="24">
        <v>85</v>
      </c>
      <c r="S85" s="24" t="str">
        <f t="shared" si="21"/>
        <v>May</v>
      </c>
      <c r="T85" s="46">
        <v>45795</v>
      </c>
      <c r="U85" s="24">
        <v>5</v>
      </c>
      <c r="V85" s="37">
        <v>108</v>
      </c>
      <c r="W85" s="24">
        <v>26</v>
      </c>
      <c r="X85" s="24">
        <v>2</v>
      </c>
      <c r="Y85" s="26">
        <f>combined_tbl!$Q85*(1-combined_tbl!$Z85)</f>
        <v>212.55299999999997</v>
      </c>
      <c r="Z85" s="27">
        <f>IF(combined_tbl!$Q85&gt;=500,0.2, IF(combined_tbl!$Q85&gt;=200,0.05, IF(combined_tbl!$X85&gt;=2,0.05,0)))</f>
        <v>0.05</v>
      </c>
      <c r="AA85" s="26">
        <f>combined_tbl!$Y85*combined_tbl!$X85</f>
        <v>425.10599999999994</v>
      </c>
      <c r="AB85" s="28">
        <f>(combined_tbl!$Q85*(1+combined_tbl!$Z85)-combined_tbl!$P85)*combined_tbl!$X85</f>
        <v>73.853999999999985</v>
      </c>
      <c r="AF85" t="str">
        <f t="shared" ca="1" si="25"/>
        <v>East</v>
      </c>
      <c r="AI85" s="24" t="str">
        <f t="shared" si="15"/>
        <v>Customer085</v>
      </c>
      <c r="AJ85" s="10">
        <f t="shared" ca="1" si="22"/>
        <v>45488</v>
      </c>
    </row>
    <row r="86" spans="1:36" x14ac:dyDescent="0.3">
      <c r="A86" s="29">
        <v>85</v>
      </c>
      <c r="B86" s="25" cm="1">
        <f t="array" aca="1" ref="B86" ca="1">MIN(IF($E:$E=E86,$H:$H))</f>
        <v>44976</v>
      </c>
      <c r="C86" s="25">
        <f t="shared" ca="1" si="16"/>
        <v>33</v>
      </c>
      <c r="D86" s="43">
        <f ca="1">COUNTIF(E:E,combined_tbl!$E86)</f>
        <v>7</v>
      </c>
      <c r="E86" s="29" t="str">
        <f t="shared" ca="1" si="23"/>
        <v>Customer015</v>
      </c>
      <c r="F86" s="29" t="str" cm="1">
        <f t="array" aca="1" ref="F86" ca="1">INDEX({"Male","Female"}, RANDBETWEEN(1,2))</f>
        <v>Female</v>
      </c>
      <c r="G86" s="29" t="str">
        <f t="shared" ca="1" si="14"/>
        <v>East</v>
      </c>
      <c r="H86" s="48">
        <f t="shared" ca="1" si="17"/>
        <v>44976</v>
      </c>
      <c r="I86" s="24">
        <f t="shared" ca="1" si="18"/>
        <v>19</v>
      </c>
      <c r="J86" s="46" t="str">
        <f t="shared" ca="1" si="24"/>
        <v>February</v>
      </c>
      <c r="K86" s="24">
        <f t="shared" ca="1" si="19"/>
        <v>2023</v>
      </c>
      <c r="L86" s="24" t="str">
        <f t="shared" ca="1" si="20"/>
        <v>Gold</v>
      </c>
      <c r="M86" s="29">
        <v>86</v>
      </c>
      <c r="N86" s="29" t="s">
        <v>851</v>
      </c>
      <c r="O86" s="29" t="s">
        <v>923</v>
      </c>
      <c r="P86" s="30">
        <v>128</v>
      </c>
      <c r="Q86" s="30">
        <v>161.28</v>
      </c>
      <c r="R86" s="29">
        <v>86</v>
      </c>
      <c r="S86" s="24" t="str">
        <f t="shared" si="21"/>
        <v>Jul</v>
      </c>
      <c r="T86" s="47">
        <v>45862</v>
      </c>
      <c r="U86" s="29">
        <v>5</v>
      </c>
      <c r="V86" s="38">
        <v>115</v>
      </c>
      <c r="W86" s="29">
        <v>35</v>
      </c>
      <c r="X86" s="29">
        <v>1</v>
      </c>
      <c r="Y86" s="30">
        <f>combined_tbl!$Q86*(1-combined_tbl!$Z86)</f>
        <v>161.28</v>
      </c>
      <c r="Z86" s="31">
        <f>IF(combined_tbl!$Q86&gt;=500,0.2, IF(combined_tbl!$Q86&gt;=200,0.05, IF(combined_tbl!$X86&gt;=2,0.05,0)))</f>
        <v>0</v>
      </c>
      <c r="AA86" s="30">
        <f>combined_tbl!$Y86*combined_tbl!$X86</f>
        <v>161.28</v>
      </c>
      <c r="AB86" s="32">
        <f>(combined_tbl!$Q86*(1+combined_tbl!$Z86)-combined_tbl!$P86)*combined_tbl!$X86</f>
        <v>33.28</v>
      </c>
      <c r="AF86" t="str">
        <f t="shared" ca="1" si="25"/>
        <v>North</v>
      </c>
      <c r="AI86" s="24" t="str">
        <f t="shared" si="15"/>
        <v>Customer086</v>
      </c>
      <c r="AJ86" s="10">
        <f t="shared" ca="1" si="22"/>
        <v>45484</v>
      </c>
    </row>
    <row r="87" spans="1:36" x14ac:dyDescent="0.3">
      <c r="A87" s="29">
        <v>86</v>
      </c>
      <c r="B87" s="25" cm="1">
        <f t="array" aca="1" ref="B87" ca="1">MIN(IF($E:$E=E87,$H:$H))</f>
        <v>45182</v>
      </c>
      <c r="C87" s="25">
        <f t="shared" ca="1" si="16"/>
        <v>26</v>
      </c>
      <c r="D87" s="42">
        <f ca="1">COUNTIF(E:E,combined_tbl!$E87)</f>
        <v>13</v>
      </c>
      <c r="E87" s="24" t="str">
        <f t="shared" ca="1" si="23"/>
        <v>Customer024</v>
      </c>
      <c r="F87" s="24" t="str" cm="1">
        <f t="array" aca="1" ref="F87" ca="1">INDEX({"Male","Female"}, RANDBETWEEN(1,2))</f>
        <v>Male</v>
      </c>
      <c r="G87" s="29" t="str">
        <f t="shared" ca="1" si="14"/>
        <v>East</v>
      </c>
      <c r="H87" s="48">
        <f t="shared" ca="1" si="17"/>
        <v>45182</v>
      </c>
      <c r="I87" s="24">
        <f t="shared" ca="1" si="18"/>
        <v>13</v>
      </c>
      <c r="J87" s="46" t="str">
        <f t="shared" ca="1" si="24"/>
        <v>September</v>
      </c>
      <c r="K87" s="24">
        <f t="shared" ca="1" si="19"/>
        <v>2023</v>
      </c>
      <c r="L87" s="24" t="str">
        <f t="shared" ca="1" si="20"/>
        <v>Platinum</v>
      </c>
      <c r="M87" s="24">
        <v>87</v>
      </c>
      <c r="N87" s="24" t="s">
        <v>831</v>
      </c>
      <c r="O87" s="24" t="s">
        <v>924</v>
      </c>
      <c r="P87" s="26">
        <v>102</v>
      </c>
      <c r="Q87" s="26">
        <v>117.3</v>
      </c>
      <c r="R87" s="24">
        <v>87</v>
      </c>
      <c r="S87" s="24" t="str">
        <f t="shared" si="21"/>
        <v>Feb</v>
      </c>
      <c r="T87" s="46">
        <v>45334</v>
      </c>
      <c r="U87" s="24">
        <v>7</v>
      </c>
      <c r="V87" s="37">
        <v>90</v>
      </c>
      <c r="W87" s="24">
        <v>97</v>
      </c>
      <c r="X87" s="24">
        <v>1</v>
      </c>
      <c r="Y87" s="26">
        <f>combined_tbl!$Q87*(1-combined_tbl!$Z87)</f>
        <v>117.3</v>
      </c>
      <c r="Z87" s="27">
        <f>IF(combined_tbl!$Q87&gt;=500,0.2, IF(combined_tbl!$Q87&gt;=200,0.05, IF(combined_tbl!$X87&gt;=2,0.05,0)))</f>
        <v>0</v>
      </c>
      <c r="AA87" s="26">
        <f>combined_tbl!$Y87*combined_tbl!$X87</f>
        <v>117.3</v>
      </c>
      <c r="AB87" s="28">
        <f>(combined_tbl!$Q87*(1+combined_tbl!$Z87)-combined_tbl!$P87)*combined_tbl!$X87</f>
        <v>15.299999999999997</v>
      </c>
      <c r="AF87" t="str">
        <f t="shared" ca="1" si="25"/>
        <v>East</v>
      </c>
      <c r="AI87" s="24" t="str">
        <f t="shared" si="15"/>
        <v>Customer087</v>
      </c>
      <c r="AJ87" s="10">
        <f t="shared" ca="1" si="22"/>
        <v>45675</v>
      </c>
    </row>
    <row r="88" spans="1:36" x14ac:dyDescent="0.3">
      <c r="A88" s="29">
        <v>87</v>
      </c>
      <c r="B88" s="25" cm="1">
        <f t="array" aca="1" ref="B88" ca="1">MIN(IF($E:$E=E88,$H:$H))</f>
        <v>45438</v>
      </c>
      <c r="C88" s="25">
        <f t="shared" ca="1" si="16"/>
        <v>18</v>
      </c>
      <c r="D88" s="43">
        <f ca="1">COUNTIF(E:E,combined_tbl!$E88)</f>
        <v>2</v>
      </c>
      <c r="E88" s="29" t="str">
        <f t="shared" ca="1" si="23"/>
        <v>Customer113</v>
      </c>
      <c r="F88" s="29" t="str" cm="1">
        <f t="array" aca="1" ref="F88" ca="1">INDEX({"Male","Female"}, RANDBETWEEN(1,2))</f>
        <v>Male</v>
      </c>
      <c r="G88" s="29" t="str">
        <f t="shared" ca="1" si="14"/>
        <v>West</v>
      </c>
      <c r="H88" s="48">
        <f t="shared" ca="1" si="17"/>
        <v>45438</v>
      </c>
      <c r="I88" s="24">
        <f t="shared" ca="1" si="18"/>
        <v>26</v>
      </c>
      <c r="J88" s="46" t="str">
        <f t="shared" ca="1" si="24"/>
        <v>May</v>
      </c>
      <c r="K88" s="24">
        <f t="shared" ca="1" si="19"/>
        <v>2024</v>
      </c>
      <c r="L88" s="24" t="str">
        <f t="shared" ca="1" si="20"/>
        <v>Bronze</v>
      </c>
      <c r="M88" s="29">
        <v>88</v>
      </c>
      <c r="N88" s="29" t="s">
        <v>954</v>
      </c>
      <c r="O88" s="29" t="s">
        <v>925</v>
      </c>
      <c r="P88" s="30">
        <v>219</v>
      </c>
      <c r="Q88" s="30">
        <v>297.83999999999997</v>
      </c>
      <c r="R88" s="29">
        <v>88</v>
      </c>
      <c r="S88" s="24" t="str">
        <f t="shared" si="21"/>
        <v>Sep</v>
      </c>
      <c r="T88" s="47">
        <v>45916</v>
      </c>
      <c r="U88" s="29">
        <v>2</v>
      </c>
      <c r="V88" s="38">
        <v>56</v>
      </c>
      <c r="W88" s="29">
        <v>38</v>
      </c>
      <c r="X88" s="29">
        <v>1</v>
      </c>
      <c r="Y88" s="30">
        <f>combined_tbl!$Q88*(1-combined_tbl!$Z88)</f>
        <v>282.94799999999998</v>
      </c>
      <c r="Z88" s="31">
        <f>IF(combined_tbl!$Q88&gt;=500,0.2, IF(combined_tbl!$Q88&gt;=200,0.05, IF(combined_tbl!$X88&gt;=2,0.05,0)))</f>
        <v>0.05</v>
      </c>
      <c r="AA88" s="30">
        <f>combined_tbl!$Y88*combined_tbl!$X88</f>
        <v>282.94799999999998</v>
      </c>
      <c r="AB88" s="32">
        <f>(combined_tbl!$Q88*(1+combined_tbl!$Z88)-combined_tbl!$P88)*combined_tbl!$X88</f>
        <v>93.731999999999971</v>
      </c>
      <c r="AF88" t="str">
        <f t="shared" ca="1" si="25"/>
        <v>South</v>
      </c>
      <c r="AI88" s="24" t="str">
        <f t="shared" si="15"/>
        <v>Customer088</v>
      </c>
      <c r="AJ88" s="10">
        <f t="shared" ca="1" si="22"/>
        <v>45208</v>
      </c>
    </row>
    <row r="89" spans="1:36" x14ac:dyDescent="0.3">
      <c r="A89" s="29">
        <v>88</v>
      </c>
      <c r="B89" s="25" cm="1">
        <f t="array" aca="1" ref="B89" ca="1">MIN(IF($E:$E=E89,$H:$H))</f>
        <v>45955</v>
      </c>
      <c r="C89" s="25">
        <f t="shared" ca="1" si="16"/>
        <v>1</v>
      </c>
      <c r="D89" s="42">
        <f ca="1">COUNTIF(E:E,combined_tbl!$E89)</f>
        <v>9</v>
      </c>
      <c r="E89" s="24" t="str">
        <f t="shared" ca="1" si="23"/>
        <v>Customer080</v>
      </c>
      <c r="F89" s="24" t="str" cm="1">
        <f t="array" aca="1" ref="F89" ca="1">INDEX({"Male","Female"}, RANDBETWEEN(1,2))</f>
        <v>Male</v>
      </c>
      <c r="G89" s="29" t="str">
        <f t="shared" ca="1" si="14"/>
        <v>West</v>
      </c>
      <c r="H89" s="48">
        <f t="shared" ca="1" si="17"/>
        <v>45955</v>
      </c>
      <c r="I89" s="24">
        <f t="shared" ca="1" si="18"/>
        <v>25</v>
      </c>
      <c r="J89" s="46" t="str">
        <f t="shared" ca="1" si="24"/>
        <v>October</v>
      </c>
      <c r="K89" s="24">
        <f t="shared" ca="1" si="19"/>
        <v>2025</v>
      </c>
      <c r="L89" s="24" t="str">
        <f t="shared" ca="1" si="20"/>
        <v>Bronze</v>
      </c>
      <c r="M89" s="24">
        <v>89</v>
      </c>
      <c r="N89" s="24" t="s">
        <v>831</v>
      </c>
      <c r="O89" s="24" t="s">
        <v>926</v>
      </c>
      <c r="P89" s="26">
        <v>37</v>
      </c>
      <c r="Q89" s="26">
        <v>41.809999999999995</v>
      </c>
      <c r="R89" s="24">
        <v>89</v>
      </c>
      <c r="S89" s="24" t="str">
        <f t="shared" si="21"/>
        <v>Apr</v>
      </c>
      <c r="T89" s="46">
        <v>45412</v>
      </c>
      <c r="U89" s="24">
        <v>7</v>
      </c>
      <c r="V89" s="37">
        <v>99</v>
      </c>
      <c r="W89" s="24">
        <v>98</v>
      </c>
      <c r="X89" s="24">
        <v>4</v>
      </c>
      <c r="Y89" s="26">
        <f>combined_tbl!$Q89*(1-combined_tbl!$Z89)</f>
        <v>39.719499999999996</v>
      </c>
      <c r="Z89" s="27">
        <f>IF(combined_tbl!$Q89&gt;=500,0.2, IF(combined_tbl!$Q89&gt;=200,0.05, IF(combined_tbl!$X89&gt;=2,0.05,0)))</f>
        <v>0.05</v>
      </c>
      <c r="AA89" s="26">
        <f>combined_tbl!$Y89*combined_tbl!$X89</f>
        <v>158.87799999999999</v>
      </c>
      <c r="AB89" s="28">
        <f>(combined_tbl!$Q89*(1+combined_tbl!$Z89)-combined_tbl!$P89)*combined_tbl!$X89</f>
        <v>27.601999999999975</v>
      </c>
      <c r="AF89" t="str">
        <f t="shared" ca="1" si="25"/>
        <v>East</v>
      </c>
      <c r="AI89" s="24" t="str">
        <f t="shared" si="15"/>
        <v>Customer089</v>
      </c>
      <c r="AJ89" s="10">
        <f t="shared" ca="1" si="22"/>
        <v>45493</v>
      </c>
    </row>
    <row r="90" spans="1:36" x14ac:dyDescent="0.3">
      <c r="A90" s="19">
        <v>89</v>
      </c>
      <c r="B90" s="25" cm="1">
        <f t="array" aca="1" ref="B90" ca="1">MIN(IF($E:$E=E90,$H:$H))</f>
        <v>45346</v>
      </c>
      <c r="C90" s="25">
        <f t="shared" ca="1" si="16"/>
        <v>21</v>
      </c>
      <c r="D90" s="43">
        <f ca="1">COUNTIF(E:E,combined_tbl!$E90)</f>
        <v>12</v>
      </c>
      <c r="E90" s="29" t="str">
        <f t="shared" ca="1" si="23"/>
        <v>Customer011</v>
      </c>
      <c r="F90" s="29" t="str" cm="1">
        <f t="array" aca="1" ref="F90" ca="1">INDEX({"Male","Female"}, RANDBETWEEN(1,2))</f>
        <v>Male</v>
      </c>
      <c r="G90" s="29" t="str">
        <f t="shared" ca="1" si="14"/>
        <v>East</v>
      </c>
      <c r="H90" s="48">
        <f t="shared" ca="1" si="17"/>
        <v>45346</v>
      </c>
      <c r="I90" s="24">
        <f t="shared" ca="1" si="18"/>
        <v>24</v>
      </c>
      <c r="J90" s="46" t="str">
        <f t="shared" ca="1" si="24"/>
        <v>February</v>
      </c>
      <c r="K90" s="24">
        <f t="shared" ca="1" si="19"/>
        <v>2024</v>
      </c>
      <c r="L90" s="24" t="str">
        <f t="shared" ca="1" si="20"/>
        <v>Gold</v>
      </c>
      <c r="M90" s="29">
        <v>90</v>
      </c>
      <c r="N90" s="29" t="s">
        <v>847</v>
      </c>
      <c r="O90" s="29" t="s">
        <v>927</v>
      </c>
      <c r="P90" s="30">
        <v>27</v>
      </c>
      <c r="Q90" s="30">
        <v>38.61</v>
      </c>
      <c r="R90" s="29">
        <v>90</v>
      </c>
      <c r="S90" s="24" t="str">
        <f t="shared" si="21"/>
        <v>Jan</v>
      </c>
      <c r="T90" s="47">
        <v>45662</v>
      </c>
      <c r="U90" s="29">
        <v>5</v>
      </c>
      <c r="V90" s="38">
        <v>24</v>
      </c>
      <c r="W90" s="29">
        <v>67</v>
      </c>
      <c r="X90" s="29">
        <v>1</v>
      </c>
      <c r="Y90" s="30">
        <f>combined_tbl!$Q90*(1-combined_tbl!$Z90)</f>
        <v>38.61</v>
      </c>
      <c r="Z90" s="31">
        <f>IF(combined_tbl!$Q90&gt;=500,0.2, IF(combined_tbl!$Q90&gt;=200,0.05, IF(combined_tbl!$X90&gt;=2,0.05,0)))</f>
        <v>0</v>
      </c>
      <c r="AA90" s="30">
        <f>combined_tbl!$Y90*combined_tbl!$X90</f>
        <v>38.61</v>
      </c>
      <c r="AB90" s="32">
        <f>(combined_tbl!$Q90*(1+combined_tbl!$Z90)-combined_tbl!$P90)*combined_tbl!$X90</f>
        <v>11.61</v>
      </c>
      <c r="AF90" t="str">
        <f t="shared" ca="1" si="25"/>
        <v>South</v>
      </c>
      <c r="AI90" s="24" t="str">
        <f t="shared" si="15"/>
        <v>Customer090</v>
      </c>
      <c r="AJ90" s="10">
        <f t="shared" ca="1" si="22"/>
        <v>44927</v>
      </c>
    </row>
    <row r="91" spans="1:36" x14ac:dyDescent="0.3">
      <c r="A91" s="24">
        <v>90</v>
      </c>
      <c r="B91" s="25" cm="1">
        <f t="array" aca="1" ref="B91" ca="1">MIN(IF($E:$E=E91,$H:$H))</f>
        <v>45400</v>
      </c>
      <c r="C91" s="25">
        <f t="shared" ca="1" si="16"/>
        <v>19</v>
      </c>
      <c r="D91" s="42">
        <f ca="1">COUNTIF(E:E,combined_tbl!$E91)</f>
        <v>8</v>
      </c>
      <c r="E91" s="24" t="str">
        <f t="shared" ca="1" si="23"/>
        <v>Customer030</v>
      </c>
      <c r="F91" s="24" t="str" cm="1">
        <f t="array" aca="1" ref="F91" ca="1">INDEX({"Male","Female"}, RANDBETWEEN(1,2))</f>
        <v>Female</v>
      </c>
      <c r="G91" s="29" t="str">
        <f t="shared" ca="1" si="14"/>
        <v>South</v>
      </c>
      <c r="H91" s="48">
        <f t="shared" ca="1" si="17"/>
        <v>45400</v>
      </c>
      <c r="I91" s="24">
        <f t="shared" ca="1" si="18"/>
        <v>18</v>
      </c>
      <c r="J91" s="46" t="str">
        <f t="shared" ca="1" si="24"/>
        <v>April</v>
      </c>
      <c r="K91" s="24">
        <f t="shared" ca="1" si="19"/>
        <v>2024</v>
      </c>
      <c r="L91" s="24" t="str">
        <f t="shared" ca="1" si="20"/>
        <v>Gold</v>
      </c>
      <c r="M91" s="24">
        <v>91</v>
      </c>
      <c r="N91" s="24" t="s">
        <v>1359</v>
      </c>
      <c r="O91" s="24" t="s">
        <v>928</v>
      </c>
      <c r="P91" s="26">
        <v>562</v>
      </c>
      <c r="Q91" s="26">
        <v>764.31999999999994</v>
      </c>
      <c r="R91" s="24">
        <v>91</v>
      </c>
      <c r="S91" s="24" t="str">
        <f t="shared" si="21"/>
        <v>Aug</v>
      </c>
      <c r="T91" s="46">
        <v>45531</v>
      </c>
      <c r="U91" s="24">
        <v>1</v>
      </c>
      <c r="V91" s="37">
        <v>9</v>
      </c>
      <c r="W91" s="24">
        <v>91</v>
      </c>
      <c r="X91" s="24">
        <v>1</v>
      </c>
      <c r="Y91" s="26">
        <f>combined_tbl!$Q91*(1-combined_tbl!$Z91)</f>
        <v>611.45600000000002</v>
      </c>
      <c r="Z91" s="27">
        <f>IF(combined_tbl!$Q91&gt;=500,0.2, IF(combined_tbl!$Q91&gt;=200,0.05, IF(combined_tbl!$X91&gt;=2,0.05,0)))</f>
        <v>0.2</v>
      </c>
      <c r="AA91" s="26">
        <f>combined_tbl!$Y91*combined_tbl!$X91</f>
        <v>611.45600000000002</v>
      </c>
      <c r="AB91" s="28">
        <f>(combined_tbl!$Q91*(1+combined_tbl!$Z91)-combined_tbl!$P91)*combined_tbl!$X91</f>
        <v>355.18399999999986</v>
      </c>
      <c r="AF91" t="str">
        <f t="shared" ca="1" si="25"/>
        <v>West</v>
      </c>
      <c r="AI91" s="24" t="str">
        <f t="shared" si="15"/>
        <v>Customer091</v>
      </c>
      <c r="AJ91" s="10">
        <f t="shared" ca="1" si="22"/>
        <v>44966</v>
      </c>
    </row>
    <row r="92" spans="1:36" x14ac:dyDescent="0.3">
      <c r="A92" s="29">
        <v>91</v>
      </c>
      <c r="B92" s="25" cm="1">
        <f t="array" aca="1" ref="B92" ca="1">MIN(IF($E:$E=E92,$H:$H))</f>
        <v>45014</v>
      </c>
      <c r="C92" s="25">
        <f t="shared" ca="1" si="16"/>
        <v>32</v>
      </c>
      <c r="D92" s="43">
        <f ca="1">COUNTIF(E:E,combined_tbl!$E92)</f>
        <v>10</v>
      </c>
      <c r="E92" s="29" t="str">
        <f t="shared" ca="1" si="23"/>
        <v>Customer022</v>
      </c>
      <c r="F92" s="29" t="str" cm="1">
        <f t="array" aca="1" ref="F92" ca="1">INDEX({"Male","Female"}, RANDBETWEEN(1,2))</f>
        <v>Female</v>
      </c>
      <c r="G92" s="29" t="str">
        <f t="shared" ca="1" si="14"/>
        <v>South</v>
      </c>
      <c r="H92" s="48">
        <f t="shared" ca="1" si="17"/>
        <v>45014</v>
      </c>
      <c r="I92" s="24">
        <f t="shared" ca="1" si="18"/>
        <v>29</v>
      </c>
      <c r="J92" s="46" t="str">
        <f t="shared" ca="1" si="24"/>
        <v>March</v>
      </c>
      <c r="K92" s="24">
        <f t="shared" ca="1" si="19"/>
        <v>2023</v>
      </c>
      <c r="L92" s="24" t="str">
        <f t="shared" ca="1" si="20"/>
        <v>Platinum</v>
      </c>
      <c r="M92" s="29">
        <v>92</v>
      </c>
      <c r="N92" s="29" t="s">
        <v>837</v>
      </c>
      <c r="O92" s="29" t="s">
        <v>929</v>
      </c>
      <c r="P92" s="30">
        <v>71</v>
      </c>
      <c r="Q92" s="30">
        <v>80.940000000000012</v>
      </c>
      <c r="R92" s="29">
        <v>92</v>
      </c>
      <c r="S92" s="24" t="str">
        <f t="shared" si="21"/>
        <v>Mar</v>
      </c>
      <c r="T92" s="47">
        <v>45737</v>
      </c>
      <c r="U92" s="29">
        <v>5</v>
      </c>
      <c r="V92" s="38">
        <v>210</v>
      </c>
      <c r="W92" s="29">
        <v>48</v>
      </c>
      <c r="X92" s="29">
        <v>1</v>
      </c>
      <c r="Y92" s="30">
        <f>combined_tbl!$Q92*(1-combined_tbl!$Z92)</f>
        <v>80.940000000000012</v>
      </c>
      <c r="Z92" s="31">
        <f>IF(combined_tbl!$Q92&gt;=500,0.2, IF(combined_tbl!$Q92&gt;=200,0.05, IF(combined_tbl!$X92&gt;=2,0.05,0)))</f>
        <v>0</v>
      </c>
      <c r="AA92" s="30">
        <f>combined_tbl!$Y92*combined_tbl!$X92</f>
        <v>80.940000000000012</v>
      </c>
      <c r="AB92" s="32">
        <f>(combined_tbl!$Q92*(1+combined_tbl!$Z92)-combined_tbl!$P92)*combined_tbl!$X92</f>
        <v>9.9400000000000119</v>
      </c>
      <c r="AF92" t="str">
        <f t="shared" ca="1" si="25"/>
        <v>East</v>
      </c>
      <c r="AI92" s="24" t="str">
        <f t="shared" si="15"/>
        <v>Customer092</v>
      </c>
      <c r="AJ92" s="10">
        <f t="shared" ca="1" si="22"/>
        <v>45948</v>
      </c>
    </row>
    <row r="93" spans="1:36" x14ac:dyDescent="0.3">
      <c r="A93" s="29">
        <v>92</v>
      </c>
      <c r="B93" s="25" cm="1">
        <f t="array" aca="1" ref="B93" ca="1">MIN(IF($E:$E=E93,$H:$H))</f>
        <v>45788</v>
      </c>
      <c r="C93" s="25">
        <f t="shared" ca="1" si="16"/>
        <v>6</v>
      </c>
      <c r="D93" s="42">
        <f ca="1">COUNTIF(E:E,combined_tbl!$E93)</f>
        <v>4</v>
      </c>
      <c r="E93" s="24" t="str">
        <f t="shared" ca="1" si="23"/>
        <v>Customer060</v>
      </c>
      <c r="F93" s="24" t="str" cm="1">
        <f t="array" aca="1" ref="F93" ca="1">INDEX({"Male","Female"}, RANDBETWEEN(1,2))</f>
        <v>Female</v>
      </c>
      <c r="G93" s="29" t="str">
        <f t="shared" ca="1" si="14"/>
        <v>North</v>
      </c>
      <c r="H93" s="48">
        <f t="shared" ca="1" si="17"/>
        <v>45788</v>
      </c>
      <c r="I93" s="24">
        <f t="shared" ca="1" si="18"/>
        <v>11</v>
      </c>
      <c r="J93" s="46" t="str">
        <f t="shared" ca="1" si="24"/>
        <v>May</v>
      </c>
      <c r="K93" s="24">
        <f t="shared" ca="1" si="19"/>
        <v>2025</v>
      </c>
      <c r="L93" s="24" t="str">
        <f t="shared" ca="1" si="20"/>
        <v>Bronze</v>
      </c>
      <c r="M93" s="24">
        <v>93</v>
      </c>
      <c r="N93" s="24" t="s">
        <v>837</v>
      </c>
      <c r="O93" s="24" t="s">
        <v>930</v>
      </c>
      <c r="P93" s="26">
        <v>382</v>
      </c>
      <c r="Q93" s="26">
        <v>427.84000000000003</v>
      </c>
      <c r="R93" s="24">
        <v>93</v>
      </c>
      <c r="S93" s="24" t="str">
        <f t="shared" si="21"/>
        <v>Jan</v>
      </c>
      <c r="T93" s="46">
        <v>44943</v>
      </c>
      <c r="U93" s="24">
        <v>1</v>
      </c>
      <c r="V93" s="37">
        <v>217</v>
      </c>
      <c r="W93" s="24">
        <v>31</v>
      </c>
      <c r="X93" s="24">
        <v>3</v>
      </c>
      <c r="Y93" s="26">
        <f>combined_tbl!$Q93*(1-combined_tbl!$Z93)</f>
        <v>406.44800000000004</v>
      </c>
      <c r="Z93" s="27">
        <f>IF(combined_tbl!$Q93&gt;=500,0.2, IF(combined_tbl!$Q93&gt;=200,0.05, IF(combined_tbl!$X93&gt;=2,0.05,0)))</f>
        <v>0.05</v>
      </c>
      <c r="AA93" s="26">
        <f>combined_tbl!$Y93*combined_tbl!$X93</f>
        <v>1219.3440000000001</v>
      </c>
      <c r="AB93" s="28">
        <f>(combined_tbl!$Q93*(1+combined_tbl!$Z93)-combined_tbl!$P93)*combined_tbl!$X93</f>
        <v>201.69600000000008</v>
      </c>
      <c r="AF93" t="str">
        <f t="shared" ca="1" si="25"/>
        <v>East</v>
      </c>
      <c r="AI93" s="24" t="str">
        <f t="shared" si="15"/>
        <v>Customer093</v>
      </c>
      <c r="AJ93" s="10">
        <f t="shared" ca="1" si="22"/>
        <v>45209</v>
      </c>
    </row>
    <row r="94" spans="1:36" x14ac:dyDescent="0.3">
      <c r="A94" s="29">
        <v>93</v>
      </c>
      <c r="B94" s="25" cm="1">
        <f t="array" aca="1" ref="B94" ca="1">MIN(IF($E:$E=E94,$H:$H))</f>
        <v>45182</v>
      </c>
      <c r="C94" s="25">
        <f t="shared" ca="1" si="16"/>
        <v>26</v>
      </c>
      <c r="D94" s="43">
        <f ca="1">COUNTIF(E:E,combined_tbl!$E94)</f>
        <v>13</v>
      </c>
      <c r="E94" s="29" t="str">
        <f t="shared" ca="1" si="23"/>
        <v>Customer024</v>
      </c>
      <c r="F94" s="29" t="str" cm="1">
        <f t="array" aca="1" ref="F94" ca="1">INDEX({"Male","Female"}, RANDBETWEEN(1,2))</f>
        <v>Male</v>
      </c>
      <c r="G94" s="29" t="str">
        <f t="shared" ca="1" si="14"/>
        <v>East</v>
      </c>
      <c r="H94" s="48">
        <f t="shared" ca="1" si="17"/>
        <v>45182</v>
      </c>
      <c r="I94" s="24">
        <f t="shared" ca="1" si="18"/>
        <v>13</v>
      </c>
      <c r="J94" s="46" t="str">
        <f t="shared" ca="1" si="24"/>
        <v>September</v>
      </c>
      <c r="K94" s="24">
        <f t="shared" ca="1" si="19"/>
        <v>2023</v>
      </c>
      <c r="L94" s="24" t="str">
        <f t="shared" ca="1" si="20"/>
        <v>Platinum</v>
      </c>
      <c r="M94" s="29">
        <v>94</v>
      </c>
      <c r="N94" s="29" t="s">
        <v>851</v>
      </c>
      <c r="O94" s="29" t="s">
        <v>931</v>
      </c>
      <c r="P94" s="30">
        <v>210</v>
      </c>
      <c r="Q94" s="30">
        <v>285.59999999999997</v>
      </c>
      <c r="R94" s="29">
        <v>94</v>
      </c>
      <c r="S94" s="24" t="str">
        <f t="shared" si="21"/>
        <v>Oct</v>
      </c>
      <c r="T94" s="47">
        <v>45944</v>
      </c>
      <c r="U94" s="29">
        <v>5</v>
      </c>
      <c r="V94" s="38">
        <v>54</v>
      </c>
      <c r="W94" s="29">
        <v>34</v>
      </c>
      <c r="X94" s="29">
        <v>2</v>
      </c>
      <c r="Y94" s="30">
        <f>combined_tbl!$Q94*(1-combined_tbl!$Z94)</f>
        <v>271.31999999999994</v>
      </c>
      <c r="Z94" s="31">
        <f>IF(combined_tbl!$Q94&gt;=500,0.2, IF(combined_tbl!$Q94&gt;=200,0.05, IF(combined_tbl!$X94&gt;=2,0.05,0)))</f>
        <v>0.05</v>
      </c>
      <c r="AA94" s="30">
        <f>combined_tbl!$Y94*combined_tbl!$X94</f>
        <v>542.63999999999987</v>
      </c>
      <c r="AB94" s="32">
        <f>(combined_tbl!$Q94*(1+combined_tbl!$Z94)-combined_tbl!$P94)*combined_tbl!$X94</f>
        <v>179.76</v>
      </c>
      <c r="AF94" t="str">
        <f t="shared" ca="1" si="25"/>
        <v>North</v>
      </c>
      <c r="AI94" s="24" t="str">
        <f t="shared" si="15"/>
        <v>Customer094</v>
      </c>
      <c r="AJ94" s="10">
        <f t="shared" ca="1" si="22"/>
        <v>45270</v>
      </c>
    </row>
    <row r="95" spans="1:36" x14ac:dyDescent="0.3">
      <c r="A95" s="29">
        <v>94</v>
      </c>
      <c r="B95" s="25" cm="1">
        <f t="array" aca="1" ref="B95" ca="1">MIN(IF($E:$E=E95,$H:$H))</f>
        <v>45400</v>
      </c>
      <c r="C95" s="25">
        <f t="shared" ca="1" si="16"/>
        <v>19</v>
      </c>
      <c r="D95" s="42">
        <f ca="1">COUNTIF(E:E,combined_tbl!$E95)</f>
        <v>5</v>
      </c>
      <c r="E95" s="24" t="str">
        <f t="shared" ca="1" si="23"/>
        <v>Customer071</v>
      </c>
      <c r="F95" s="24" t="str" cm="1">
        <f t="array" aca="1" ref="F95" ca="1">INDEX({"Male","Female"}, RANDBETWEEN(1,2))</f>
        <v>Male</v>
      </c>
      <c r="G95" s="29" t="str">
        <f t="shared" ca="1" si="14"/>
        <v>West</v>
      </c>
      <c r="H95" s="48">
        <f t="shared" ca="1" si="17"/>
        <v>45400</v>
      </c>
      <c r="I95" s="24">
        <f t="shared" ca="1" si="18"/>
        <v>18</v>
      </c>
      <c r="J95" s="46" t="str">
        <f t="shared" ca="1" si="24"/>
        <v>April</v>
      </c>
      <c r="K95" s="24">
        <f t="shared" ca="1" si="19"/>
        <v>2024</v>
      </c>
      <c r="L95" s="24" t="str">
        <f t="shared" ca="1" si="20"/>
        <v>Silver</v>
      </c>
      <c r="M95" s="24">
        <v>95</v>
      </c>
      <c r="N95" s="24" t="s">
        <v>837</v>
      </c>
      <c r="O95" s="24" t="s">
        <v>932</v>
      </c>
      <c r="P95" s="26">
        <v>262</v>
      </c>
      <c r="Q95" s="26">
        <v>382.52</v>
      </c>
      <c r="R95" s="24">
        <v>95</v>
      </c>
      <c r="S95" s="24" t="str">
        <f t="shared" si="21"/>
        <v>Apr</v>
      </c>
      <c r="T95" s="46">
        <v>45398</v>
      </c>
      <c r="U95" s="24">
        <v>6</v>
      </c>
      <c r="V95" s="37">
        <v>104</v>
      </c>
      <c r="W95" s="24">
        <v>55</v>
      </c>
      <c r="X95" s="24">
        <v>2</v>
      </c>
      <c r="Y95" s="26">
        <f>combined_tbl!$Q95*(1-combined_tbl!$Z95)</f>
        <v>363.39399999999995</v>
      </c>
      <c r="Z95" s="27">
        <f>IF(combined_tbl!$Q95&gt;=500,0.2, IF(combined_tbl!$Q95&gt;=200,0.05, IF(combined_tbl!$X95&gt;=2,0.05,0)))</f>
        <v>0.05</v>
      </c>
      <c r="AA95" s="26">
        <f>combined_tbl!$Y95*combined_tbl!$X95</f>
        <v>726.7879999999999</v>
      </c>
      <c r="AB95" s="28">
        <f>(combined_tbl!$Q95*(1+combined_tbl!$Z95)-combined_tbl!$P95)*combined_tbl!$X95</f>
        <v>279.29200000000003</v>
      </c>
      <c r="AF95" t="str">
        <f t="shared" ca="1" si="25"/>
        <v>North</v>
      </c>
      <c r="AI95" s="24" t="str">
        <f t="shared" si="15"/>
        <v>Customer095</v>
      </c>
      <c r="AJ95" s="10">
        <f t="shared" ca="1" si="22"/>
        <v>45811</v>
      </c>
    </row>
    <row r="96" spans="1:36" x14ac:dyDescent="0.3">
      <c r="A96" s="29">
        <v>95</v>
      </c>
      <c r="B96" s="25" cm="1">
        <f t="array" aca="1" ref="B96" ca="1">MIN(IF($E:$E=E96,$H:$H))</f>
        <v>45537</v>
      </c>
      <c r="C96" s="25">
        <f t="shared" ca="1" si="16"/>
        <v>15</v>
      </c>
      <c r="D96" s="43">
        <f ca="1">COUNTIF(E:E,combined_tbl!$E96)</f>
        <v>5</v>
      </c>
      <c r="E96" s="29" t="str">
        <f t="shared" ca="1" si="23"/>
        <v>Customer073</v>
      </c>
      <c r="F96" s="29" t="str" cm="1">
        <f t="array" aca="1" ref="F96" ca="1">INDEX({"Male","Female"}, RANDBETWEEN(1,2))</f>
        <v>Female</v>
      </c>
      <c r="G96" s="29" t="str">
        <f t="shared" ca="1" si="14"/>
        <v>East</v>
      </c>
      <c r="H96" s="48">
        <f t="shared" ca="1" si="17"/>
        <v>45537</v>
      </c>
      <c r="I96" s="24">
        <f t="shared" ca="1" si="18"/>
        <v>2</v>
      </c>
      <c r="J96" s="46" t="str">
        <f t="shared" ca="1" si="24"/>
        <v>September</v>
      </c>
      <c r="K96" s="24">
        <f t="shared" ca="1" si="19"/>
        <v>2024</v>
      </c>
      <c r="L96" s="24" t="str">
        <f t="shared" ca="1" si="20"/>
        <v>Silver</v>
      </c>
      <c r="M96" s="29">
        <v>96</v>
      </c>
      <c r="N96" s="29" t="s">
        <v>851</v>
      </c>
      <c r="O96" s="29" t="s">
        <v>933</v>
      </c>
      <c r="P96" s="30">
        <v>47</v>
      </c>
      <c r="Q96" s="30">
        <v>66.27</v>
      </c>
      <c r="R96" s="29">
        <v>96</v>
      </c>
      <c r="S96" s="24" t="str">
        <f t="shared" si="21"/>
        <v>Mar</v>
      </c>
      <c r="T96" s="47">
        <v>45375</v>
      </c>
      <c r="U96" s="29">
        <v>4</v>
      </c>
      <c r="V96" s="38">
        <v>116</v>
      </c>
      <c r="W96" s="29">
        <v>26</v>
      </c>
      <c r="X96" s="29">
        <v>1</v>
      </c>
      <c r="Y96" s="30">
        <f>combined_tbl!$Q96*(1-combined_tbl!$Z96)</f>
        <v>66.27</v>
      </c>
      <c r="Z96" s="31">
        <f>IF(combined_tbl!$Q96&gt;=500,0.2, IF(combined_tbl!$Q96&gt;=200,0.05, IF(combined_tbl!$X96&gt;=2,0.05,0)))</f>
        <v>0</v>
      </c>
      <c r="AA96" s="30">
        <f>combined_tbl!$Y96*combined_tbl!$X96</f>
        <v>66.27</v>
      </c>
      <c r="AB96" s="32">
        <f>(combined_tbl!$Q96*(1+combined_tbl!$Z96)-combined_tbl!$P96)*combined_tbl!$X96</f>
        <v>19.269999999999996</v>
      </c>
      <c r="AF96" t="str">
        <f t="shared" ca="1" si="25"/>
        <v>East</v>
      </c>
      <c r="AI96" s="24" t="str">
        <f t="shared" si="15"/>
        <v>Customer096</v>
      </c>
      <c r="AJ96" s="10">
        <f t="shared" ca="1" si="22"/>
        <v>45849</v>
      </c>
    </row>
    <row r="97" spans="1:36" x14ac:dyDescent="0.3">
      <c r="A97" s="29">
        <v>96</v>
      </c>
      <c r="B97" s="25" cm="1">
        <f t="array" aca="1" ref="B97" ca="1">MIN(IF($E:$E=E97,$H:$H))</f>
        <v>45896</v>
      </c>
      <c r="C97" s="25">
        <f t="shared" ca="1" si="16"/>
        <v>3</v>
      </c>
      <c r="D97" s="42">
        <f ca="1">COUNTIF(E:E,combined_tbl!$E97)</f>
        <v>10</v>
      </c>
      <c r="E97" s="24" t="str">
        <f t="shared" ca="1" si="23"/>
        <v>Customer004</v>
      </c>
      <c r="F97" s="24" t="str" cm="1">
        <f t="array" aca="1" ref="F97" ca="1">INDEX({"Male","Female"}, RANDBETWEEN(1,2))</f>
        <v>Female</v>
      </c>
      <c r="G97" s="29" t="str">
        <f t="shared" ca="1" si="14"/>
        <v>West</v>
      </c>
      <c r="H97" s="48">
        <f t="shared" ca="1" si="17"/>
        <v>45896</v>
      </c>
      <c r="I97" s="24">
        <f t="shared" ca="1" si="18"/>
        <v>27</v>
      </c>
      <c r="J97" s="46" t="str">
        <f t="shared" ca="1" si="24"/>
        <v>August</v>
      </c>
      <c r="K97" s="24">
        <f t="shared" ca="1" si="19"/>
        <v>2025</v>
      </c>
      <c r="L97" s="24" t="str">
        <f t="shared" ca="1" si="20"/>
        <v>Bronze</v>
      </c>
      <c r="M97" s="24">
        <v>97</v>
      </c>
      <c r="N97" s="24" t="s">
        <v>957</v>
      </c>
      <c r="O97" s="24" t="s">
        <v>934</v>
      </c>
      <c r="P97" s="26">
        <v>22</v>
      </c>
      <c r="Q97" s="26">
        <v>25.74</v>
      </c>
      <c r="R97" s="24">
        <v>97</v>
      </c>
      <c r="S97" s="24" t="str">
        <f t="shared" si="21"/>
        <v>May</v>
      </c>
      <c r="T97" s="46">
        <v>45440</v>
      </c>
      <c r="U97" s="24">
        <v>3</v>
      </c>
      <c r="V97" s="37">
        <v>202</v>
      </c>
      <c r="W97" s="24">
        <v>46</v>
      </c>
      <c r="X97" s="24">
        <v>2</v>
      </c>
      <c r="Y97" s="26">
        <f>combined_tbl!$Q97*(1-combined_tbl!$Z97)</f>
        <v>24.452999999999996</v>
      </c>
      <c r="Z97" s="27">
        <f>IF(combined_tbl!$Q97&gt;=500,0.2, IF(combined_tbl!$Q97&gt;=200,0.05, IF(combined_tbl!$X97&gt;=2,0.05,0)))</f>
        <v>0.05</v>
      </c>
      <c r="AA97" s="26">
        <f>combined_tbl!$Y97*combined_tbl!$X97</f>
        <v>48.905999999999992</v>
      </c>
      <c r="AB97" s="28">
        <f>(combined_tbl!$Q97*(1+combined_tbl!$Z97)-combined_tbl!$P97)*combined_tbl!$X97</f>
        <v>10.054000000000002</v>
      </c>
      <c r="AF97" t="str">
        <f t="shared" ca="1" si="25"/>
        <v>South</v>
      </c>
      <c r="AI97" s="24" t="str">
        <f t="shared" ref="AI97:AI128" si="26">"Customer"&amp;TEXT(ROW(A97),"000")</f>
        <v>Customer097</v>
      </c>
      <c r="AJ97" s="10">
        <f t="shared" ca="1" si="22"/>
        <v>45918</v>
      </c>
    </row>
    <row r="98" spans="1:36" x14ac:dyDescent="0.3">
      <c r="A98" s="19">
        <v>97</v>
      </c>
      <c r="B98" s="25" cm="1">
        <f t="array" aca="1" ref="B98" ca="1">MIN(IF($E:$E=E98,$H:$H))</f>
        <v>45853</v>
      </c>
      <c r="C98" s="25">
        <f t="shared" ca="1" si="16"/>
        <v>4</v>
      </c>
      <c r="D98" s="43">
        <f ca="1">COUNTIF(E:E,combined_tbl!$E98)</f>
        <v>7</v>
      </c>
      <c r="E98" s="29" t="str">
        <f t="shared" ca="1" si="23"/>
        <v>Customer025</v>
      </c>
      <c r="F98" s="29" t="str" cm="1">
        <f t="array" aca="1" ref="F98" ca="1">INDEX({"Male","Female"}, RANDBETWEEN(1,2))</f>
        <v>Female</v>
      </c>
      <c r="G98" s="29" t="str">
        <f t="shared" ca="1" si="14"/>
        <v>West</v>
      </c>
      <c r="H98" s="48">
        <f t="shared" ca="1" si="17"/>
        <v>45853</v>
      </c>
      <c r="I98" s="24">
        <f t="shared" ca="1" si="18"/>
        <v>15</v>
      </c>
      <c r="J98" s="46" t="str">
        <f t="shared" ca="1" si="24"/>
        <v>July</v>
      </c>
      <c r="K98" s="24">
        <f t="shared" ca="1" si="19"/>
        <v>2025</v>
      </c>
      <c r="L98" s="24" t="str">
        <f t="shared" ca="1" si="20"/>
        <v>Bronze</v>
      </c>
      <c r="M98" s="29">
        <v>98</v>
      </c>
      <c r="N98" s="29" t="s">
        <v>1359</v>
      </c>
      <c r="O98" s="29" t="s">
        <v>935</v>
      </c>
      <c r="P98" s="30">
        <v>66</v>
      </c>
      <c r="Q98" s="30">
        <v>97.02</v>
      </c>
      <c r="R98" s="29">
        <v>98</v>
      </c>
      <c r="S98" s="24" t="str">
        <f t="shared" si="21"/>
        <v>Jul</v>
      </c>
      <c r="T98" s="47">
        <v>45125</v>
      </c>
      <c r="U98" s="29">
        <v>1</v>
      </c>
      <c r="V98" s="38">
        <v>130</v>
      </c>
      <c r="W98" s="29">
        <v>93</v>
      </c>
      <c r="X98" s="29">
        <v>1</v>
      </c>
      <c r="Y98" s="30">
        <f>combined_tbl!$Q98*(1-combined_tbl!$Z98)</f>
        <v>97.02</v>
      </c>
      <c r="Z98" s="31">
        <f>IF(combined_tbl!$Q98&gt;=500,0.2, IF(combined_tbl!$Q98&gt;=200,0.05, IF(combined_tbl!$X98&gt;=2,0.05,0)))</f>
        <v>0</v>
      </c>
      <c r="AA98" s="30">
        <f>combined_tbl!$Y98*combined_tbl!$X98</f>
        <v>97.02</v>
      </c>
      <c r="AB98" s="32">
        <f>(combined_tbl!$Q98*(1+combined_tbl!$Z98)-combined_tbl!$P98)*combined_tbl!$X98</f>
        <v>31.019999999999996</v>
      </c>
      <c r="AF98" t="str">
        <f t="shared" ca="1" si="25"/>
        <v>West</v>
      </c>
      <c r="AI98" s="24" t="str">
        <f t="shared" si="26"/>
        <v>Customer098</v>
      </c>
      <c r="AJ98" s="10">
        <f t="shared" ca="1" si="22"/>
        <v>45522</v>
      </c>
    </row>
    <row r="99" spans="1:36" x14ac:dyDescent="0.3">
      <c r="A99" s="24">
        <v>98</v>
      </c>
      <c r="B99" s="25" cm="1">
        <f t="array" aca="1" ref="B99" ca="1">MIN(IF($E:$E=E99,$H:$H))</f>
        <v>45811</v>
      </c>
      <c r="C99" s="25">
        <f t="shared" ca="1" si="16"/>
        <v>6</v>
      </c>
      <c r="D99" s="42">
        <f ca="1">COUNTIF(E:E,combined_tbl!$E99)</f>
        <v>1</v>
      </c>
      <c r="E99" s="24" t="str">
        <f t="shared" ca="1" si="23"/>
        <v>Customer095</v>
      </c>
      <c r="F99" s="24" t="str" cm="1">
        <f t="array" aca="1" ref="F99" ca="1">INDEX({"Male","Female"}, RANDBETWEEN(1,2))</f>
        <v>Female</v>
      </c>
      <c r="G99" s="29" t="str">
        <f t="shared" ca="1" si="14"/>
        <v>East</v>
      </c>
      <c r="H99" s="48">
        <f t="shared" ca="1" si="17"/>
        <v>45811</v>
      </c>
      <c r="I99" s="24">
        <f t="shared" ca="1" si="18"/>
        <v>3</v>
      </c>
      <c r="J99" s="46" t="str">
        <f t="shared" ca="1" si="24"/>
        <v>June</v>
      </c>
      <c r="K99" s="24">
        <f t="shared" ca="1" si="19"/>
        <v>2025</v>
      </c>
      <c r="L99" s="24" t="str">
        <f t="shared" ca="1" si="20"/>
        <v>Bronze</v>
      </c>
      <c r="M99" s="24">
        <v>99</v>
      </c>
      <c r="N99" s="24" t="s">
        <v>847</v>
      </c>
      <c r="O99" s="24" t="s">
        <v>936</v>
      </c>
      <c r="P99" s="26">
        <v>53</v>
      </c>
      <c r="Q99" s="26">
        <v>75.789999999999992</v>
      </c>
      <c r="R99" s="24">
        <v>99</v>
      </c>
      <c r="S99" s="24" t="str">
        <f t="shared" si="21"/>
        <v>Sep</v>
      </c>
      <c r="T99" s="46">
        <v>45559</v>
      </c>
      <c r="U99" s="24">
        <v>8</v>
      </c>
      <c r="V99" s="37">
        <v>140</v>
      </c>
      <c r="W99" s="24">
        <v>9</v>
      </c>
      <c r="X99" s="24">
        <v>1</v>
      </c>
      <c r="Y99" s="26">
        <f>combined_tbl!$Q99*(1-combined_tbl!$Z99)</f>
        <v>75.789999999999992</v>
      </c>
      <c r="Z99" s="27">
        <f>IF(combined_tbl!$Q99&gt;=500,0.2, IF(combined_tbl!$Q99&gt;=200,0.05, IF(combined_tbl!$X99&gt;=2,0.05,0)))</f>
        <v>0</v>
      </c>
      <c r="AA99" s="26">
        <f>combined_tbl!$Y99*combined_tbl!$X99</f>
        <v>75.789999999999992</v>
      </c>
      <c r="AB99" s="28">
        <f>(combined_tbl!$Q99*(1+combined_tbl!$Z99)-combined_tbl!$P99)*combined_tbl!$X99</f>
        <v>22.789999999999992</v>
      </c>
      <c r="AF99" t="str">
        <f t="shared" ca="1" si="25"/>
        <v>West</v>
      </c>
      <c r="AI99" s="24" t="str">
        <f t="shared" si="26"/>
        <v>Customer099</v>
      </c>
      <c r="AJ99" s="10">
        <f t="shared" ca="1" si="22"/>
        <v>45194</v>
      </c>
    </row>
    <row r="100" spans="1:36" x14ac:dyDescent="0.3">
      <c r="A100" s="29">
        <v>99</v>
      </c>
      <c r="B100" s="25" cm="1">
        <f t="array" aca="1" ref="B100" ca="1">MIN(IF($E:$E=E100,$H:$H))</f>
        <v>45014</v>
      </c>
      <c r="C100" s="25">
        <f t="shared" ca="1" si="16"/>
        <v>32</v>
      </c>
      <c r="D100" s="43">
        <f ca="1">COUNTIF(E:E,combined_tbl!$E100)</f>
        <v>10</v>
      </c>
      <c r="E100" s="29" t="str">
        <f t="shared" ca="1" si="23"/>
        <v>Customer022</v>
      </c>
      <c r="F100" s="29" t="str" cm="1">
        <f t="array" aca="1" ref="F100" ca="1">INDEX({"Male","Female"}, RANDBETWEEN(1,2))</f>
        <v>Female</v>
      </c>
      <c r="G100" s="29" t="str">
        <f t="shared" ca="1" si="14"/>
        <v>South</v>
      </c>
      <c r="H100" s="48">
        <f t="shared" ca="1" si="17"/>
        <v>45014</v>
      </c>
      <c r="I100" s="24">
        <f t="shared" ca="1" si="18"/>
        <v>29</v>
      </c>
      <c r="J100" s="46" t="str">
        <f t="shared" ca="1" si="24"/>
        <v>March</v>
      </c>
      <c r="K100" s="24">
        <f t="shared" ca="1" si="19"/>
        <v>2023</v>
      </c>
      <c r="L100" s="24" t="str">
        <f t="shared" ca="1" si="20"/>
        <v>Platinum</v>
      </c>
      <c r="M100" s="29">
        <v>100</v>
      </c>
      <c r="N100" s="29" t="s">
        <v>954</v>
      </c>
      <c r="O100" s="29" t="s">
        <v>937</v>
      </c>
      <c r="P100" s="30">
        <v>619</v>
      </c>
      <c r="Q100" s="30">
        <v>699.46999999999991</v>
      </c>
      <c r="R100" s="29">
        <v>100</v>
      </c>
      <c r="S100" s="24" t="str">
        <f t="shared" si="21"/>
        <v>Mar</v>
      </c>
      <c r="T100" s="47">
        <v>44995</v>
      </c>
      <c r="U100" s="29">
        <v>6</v>
      </c>
      <c r="V100" s="38">
        <v>3</v>
      </c>
      <c r="W100" s="29">
        <v>89</v>
      </c>
      <c r="X100" s="29">
        <v>2</v>
      </c>
      <c r="Y100" s="30">
        <f>combined_tbl!$Q100*(1-combined_tbl!$Z100)</f>
        <v>559.57599999999991</v>
      </c>
      <c r="Z100" s="31">
        <f>IF(combined_tbl!$Q100&gt;=500,0.2, IF(combined_tbl!$Q100&gt;=200,0.05, IF(combined_tbl!$X100&gt;=2,0.05,0)))</f>
        <v>0.2</v>
      </c>
      <c r="AA100" s="30">
        <f>combined_tbl!$Y100*combined_tbl!$X100</f>
        <v>1119.1519999999998</v>
      </c>
      <c r="AB100" s="32">
        <f>(combined_tbl!$Q100*(1+combined_tbl!$Z100)-combined_tbl!$P100)*combined_tbl!$X100</f>
        <v>440.72799999999984</v>
      </c>
      <c r="AF100" t="str">
        <f t="shared" ca="1" si="25"/>
        <v>North</v>
      </c>
      <c r="AI100" s="24" t="str">
        <f t="shared" si="26"/>
        <v>Customer100</v>
      </c>
      <c r="AJ100" s="10">
        <f t="shared" ca="1" si="22"/>
        <v>45815</v>
      </c>
    </row>
    <row r="101" spans="1:36" x14ac:dyDescent="0.3">
      <c r="A101" s="29">
        <v>100</v>
      </c>
      <c r="B101" s="25" cm="1">
        <f t="array" aca="1" ref="B101" ca="1">MIN(IF($E:$E=E101,$H:$H))</f>
        <v>45922</v>
      </c>
      <c r="C101" s="25">
        <f t="shared" ca="1" si="16"/>
        <v>2</v>
      </c>
      <c r="D101" s="42">
        <f ca="1">COUNTIF(E:E,combined_tbl!$E101)</f>
        <v>4</v>
      </c>
      <c r="E101" s="24" t="str">
        <f t="shared" ca="1" si="23"/>
        <v>Customer055</v>
      </c>
      <c r="F101" s="24" t="str" cm="1">
        <f t="array" aca="1" ref="F101" ca="1">INDEX({"Male","Female"}, RANDBETWEEN(1,2))</f>
        <v>Male</v>
      </c>
      <c r="G101" s="29" t="str">
        <f t="shared" ca="1" si="14"/>
        <v>North</v>
      </c>
      <c r="H101" s="48">
        <f t="shared" ca="1" si="17"/>
        <v>45922</v>
      </c>
      <c r="I101" s="24">
        <f t="shared" ca="1" si="18"/>
        <v>22</v>
      </c>
      <c r="J101" s="46" t="str">
        <f t="shared" ca="1" si="24"/>
        <v>September</v>
      </c>
      <c r="K101" s="24">
        <f t="shared" ca="1" si="19"/>
        <v>2025</v>
      </c>
      <c r="L101" s="24" t="str">
        <f t="shared" ca="1" si="20"/>
        <v>Bronze</v>
      </c>
      <c r="M101" s="24">
        <v>101</v>
      </c>
      <c r="N101" s="24" t="s">
        <v>851</v>
      </c>
      <c r="O101" s="24" t="s">
        <v>959</v>
      </c>
      <c r="P101" s="26">
        <v>165</v>
      </c>
      <c r="Q101" s="26">
        <v>204.6</v>
      </c>
      <c r="R101" s="24">
        <v>101</v>
      </c>
      <c r="S101" s="24" t="str">
        <f t="shared" si="21"/>
        <v>Sep</v>
      </c>
      <c r="T101" s="46">
        <v>45196</v>
      </c>
      <c r="U101" s="24">
        <v>2</v>
      </c>
      <c r="V101" s="37">
        <v>69</v>
      </c>
      <c r="W101" s="24">
        <v>97</v>
      </c>
      <c r="X101" s="24">
        <v>1</v>
      </c>
      <c r="Y101" s="26">
        <f>combined_tbl!$Q101*(1-combined_tbl!$Z101)</f>
        <v>194.36999999999998</v>
      </c>
      <c r="Z101" s="27">
        <f>IF(combined_tbl!$Q101&gt;=500,0.2, IF(combined_tbl!$Q101&gt;=200,0.05, IF(combined_tbl!$X101&gt;=2,0.05,0)))</f>
        <v>0.05</v>
      </c>
      <c r="AA101" s="26">
        <f>combined_tbl!$Y101*combined_tbl!$X101</f>
        <v>194.36999999999998</v>
      </c>
      <c r="AB101" s="28">
        <f>(combined_tbl!$Q101*(1+combined_tbl!$Z101)-combined_tbl!$P101)*combined_tbl!$X101</f>
        <v>49.830000000000013</v>
      </c>
      <c r="AF101" t="str">
        <f t="shared" ca="1" si="25"/>
        <v>South</v>
      </c>
      <c r="AI101" s="24" t="str">
        <f t="shared" si="26"/>
        <v>Customer101</v>
      </c>
      <c r="AJ101" s="10">
        <f t="shared" ca="1" si="22"/>
        <v>45113</v>
      </c>
    </row>
    <row r="102" spans="1:36" x14ac:dyDescent="0.3">
      <c r="A102" s="29">
        <v>101</v>
      </c>
      <c r="B102" s="25" cm="1">
        <f t="array" aca="1" ref="B102" ca="1">MIN(IF($E:$E=E102,$H:$H))</f>
        <v>45345</v>
      </c>
      <c r="C102" s="25">
        <f t="shared" ca="1" si="16"/>
        <v>21</v>
      </c>
      <c r="D102" s="43">
        <f ca="1">COUNTIF(E:E,combined_tbl!$E102)</f>
        <v>4</v>
      </c>
      <c r="E102" s="29" t="str">
        <f t="shared" ca="1" si="23"/>
        <v>Customer032</v>
      </c>
      <c r="F102" s="29" t="str" cm="1">
        <f t="array" aca="1" ref="F102" ca="1">INDEX({"Male","Female"}, RANDBETWEEN(1,2))</f>
        <v>Male</v>
      </c>
      <c r="G102" s="29" t="str">
        <f t="shared" ca="1" si="14"/>
        <v>North</v>
      </c>
      <c r="H102" s="48">
        <f t="shared" ca="1" si="17"/>
        <v>45345</v>
      </c>
      <c r="I102" s="24">
        <f t="shared" ca="1" si="18"/>
        <v>23</v>
      </c>
      <c r="J102" s="46" t="str">
        <f t="shared" ca="1" si="24"/>
        <v>February</v>
      </c>
      <c r="K102" s="24">
        <f t="shared" ca="1" si="19"/>
        <v>2024</v>
      </c>
      <c r="L102" s="24" t="str">
        <f t="shared" ca="1" si="20"/>
        <v>Silver</v>
      </c>
      <c r="M102" s="29">
        <v>102</v>
      </c>
      <c r="N102" s="29" t="s">
        <v>837</v>
      </c>
      <c r="O102" s="29" t="s">
        <v>960</v>
      </c>
      <c r="P102" s="30">
        <v>114</v>
      </c>
      <c r="Q102" s="30">
        <v>152.76000000000002</v>
      </c>
      <c r="R102" s="29">
        <v>102</v>
      </c>
      <c r="S102" s="24" t="str">
        <f t="shared" si="21"/>
        <v>Aug</v>
      </c>
      <c r="T102" s="47">
        <v>45531</v>
      </c>
      <c r="U102" s="29">
        <v>6</v>
      </c>
      <c r="V102" s="38">
        <v>89</v>
      </c>
      <c r="W102" s="29">
        <v>49</v>
      </c>
      <c r="X102" s="29">
        <v>1</v>
      </c>
      <c r="Y102" s="30">
        <f>combined_tbl!$Q102*(1-combined_tbl!$Z102)</f>
        <v>152.76000000000002</v>
      </c>
      <c r="Z102" s="31">
        <f>IF(combined_tbl!$Q102&gt;=500,0.2, IF(combined_tbl!$Q102&gt;=200,0.05, IF(combined_tbl!$X102&gt;=2,0.05,0)))</f>
        <v>0</v>
      </c>
      <c r="AA102" s="30">
        <f>combined_tbl!$Y102*combined_tbl!$X102</f>
        <v>152.76000000000002</v>
      </c>
      <c r="AB102" s="32">
        <f>(combined_tbl!$Q102*(1+combined_tbl!$Z102)-combined_tbl!$P102)*combined_tbl!$X102</f>
        <v>38.760000000000019</v>
      </c>
      <c r="AF102" t="str">
        <f t="shared" ca="1" si="25"/>
        <v>East</v>
      </c>
      <c r="AI102" s="24" t="str">
        <f t="shared" si="26"/>
        <v>Customer102</v>
      </c>
      <c r="AJ102" s="10">
        <f t="shared" ca="1" si="22"/>
        <v>45592</v>
      </c>
    </row>
    <row r="103" spans="1:36" x14ac:dyDescent="0.3">
      <c r="A103" s="29">
        <v>102</v>
      </c>
      <c r="B103" s="25" cm="1">
        <f t="array" aca="1" ref="B103" ca="1">MIN(IF($E:$E=E103,$H:$H))</f>
        <v>44980</v>
      </c>
      <c r="C103" s="25">
        <f t="shared" ca="1" si="16"/>
        <v>33</v>
      </c>
      <c r="D103" s="42">
        <f ca="1">COUNTIF(E:E,combined_tbl!$E103)</f>
        <v>4</v>
      </c>
      <c r="E103" s="24" t="str">
        <f t="shared" ca="1" si="23"/>
        <v>Customer040</v>
      </c>
      <c r="F103" s="24" t="str" cm="1">
        <f t="array" aca="1" ref="F103" ca="1">INDEX({"Male","Female"}, RANDBETWEEN(1,2))</f>
        <v>Male</v>
      </c>
      <c r="G103" s="29" t="str">
        <f t="shared" ca="1" si="14"/>
        <v>West</v>
      </c>
      <c r="H103" s="48">
        <f t="shared" ca="1" si="17"/>
        <v>44980</v>
      </c>
      <c r="I103" s="24">
        <f t="shared" ca="1" si="18"/>
        <v>23</v>
      </c>
      <c r="J103" s="46" t="str">
        <f t="shared" ca="1" si="24"/>
        <v>February</v>
      </c>
      <c r="K103" s="24">
        <f t="shared" ca="1" si="19"/>
        <v>2023</v>
      </c>
      <c r="L103" s="24" t="str">
        <f t="shared" ca="1" si="20"/>
        <v>Silver</v>
      </c>
      <c r="M103" s="24">
        <v>103</v>
      </c>
      <c r="N103" s="24" t="s">
        <v>837</v>
      </c>
      <c r="O103" s="24" t="s">
        <v>961</v>
      </c>
      <c r="P103" s="26">
        <v>160</v>
      </c>
      <c r="Q103" s="26">
        <v>208</v>
      </c>
      <c r="R103" s="24">
        <v>103</v>
      </c>
      <c r="S103" s="24" t="str">
        <f t="shared" si="21"/>
        <v>Apr</v>
      </c>
      <c r="T103" s="46">
        <v>45777</v>
      </c>
      <c r="U103" s="24">
        <v>3</v>
      </c>
      <c r="V103" s="37">
        <v>127</v>
      </c>
      <c r="W103" s="24">
        <v>13</v>
      </c>
      <c r="X103" s="24">
        <v>2</v>
      </c>
      <c r="Y103" s="26">
        <f>combined_tbl!$Q103*(1-combined_tbl!$Z103)</f>
        <v>197.6</v>
      </c>
      <c r="Z103" s="27">
        <f>IF(combined_tbl!$Q103&gt;=500,0.2, IF(combined_tbl!$Q103&gt;=200,0.05, IF(combined_tbl!$X103&gt;=2,0.05,0)))</f>
        <v>0.05</v>
      </c>
      <c r="AA103" s="26">
        <f>combined_tbl!$Y103*combined_tbl!$X103</f>
        <v>395.2</v>
      </c>
      <c r="AB103" s="28">
        <f>(combined_tbl!$Q103*(1+combined_tbl!$Z103)-combined_tbl!$P103)*combined_tbl!$X103</f>
        <v>116.80000000000001</v>
      </c>
      <c r="AF103" t="str">
        <f t="shared" ca="1" si="25"/>
        <v>East</v>
      </c>
      <c r="AI103" s="24" t="str">
        <f t="shared" si="26"/>
        <v>Customer103</v>
      </c>
      <c r="AJ103" s="10">
        <f t="shared" ca="1" si="22"/>
        <v>45927</v>
      </c>
    </row>
    <row r="104" spans="1:36" x14ac:dyDescent="0.3">
      <c r="A104" s="29">
        <v>103</v>
      </c>
      <c r="B104" s="25" cm="1">
        <f t="array" aca="1" ref="B104" ca="1">MIN(IF($E:$E=E104,$H:$H))</f>
        <v>45307</v>
      </c>
      <c r="C104" s="25">
        <f t="shared" ca="1" si="16"/>
        <v>22</v>
      </c>
      <c r="D104" s="43">
        <f ca="1">COUNTIF(E:E,combined_tbl!$E104)</f>
        <v>5</v>
      </c>
      <c r="E104" s="29" t="str">
        <f t="shared" ca="1" si="23"/>
        <v>Customer063</v>
      </c>
      <c r="F104" s="29" t="str" cm="1">
        <f t="array" aca="1" ref="F104" ca="1">INDEX({"Male","Female"}, RANDBETWEEN(1,2))</f>
        <v>Male</v>
      </c>
      <c r="G104" s="29" t="str">
        <f t="shared" ca="1" si="14"/>
        <v>North</v>
      </c>
      <c r="H104" s="48">
        <f t="shared" ca="1" si="17"/>
        <v>45307</v>
      </c>
      <c r="I104" s="24">
        <f t="shared" ca="1" si="18"/>
        <v>16</v>
      </c>
      <c r="J104" s="46" t="str">
        <f t="shared" ca="1" si="24"/>
        <v>January</v>
      </c>
      <c r="K104" s="24">
        <f t="shared" ca="1" si="19"/>
        <v>2024</v>
      </c>
      <c r="L104" s="24" t="str">
        <f t="shared" ca="1" si="20"/>
        <v>Silver</v>
      </c>
      <c r="M104" s="29">
        <v>104</v>
      </c>
      <c r="N104" s="29" t="s">
        <v>957</v>
      </c>
      <c r="O104" s="29" t="s">
        <v>962</v>
      </c>
      <c r="P104" s="30">
        <v>128</v>
      </c>
      <c r="Q104" s="30">
        <v>184.32</v>
      </c>
      <c r="R104" s="29">
        <v>104</v>
      </c>
      <c r="S104" s="24" t="str">
        <f t="shared" si="21"/>
        <v>Feb</v>
      </c>
      <c r="T104" s="47">
        <v>45338</v>
      </c>
      <c r="U104" s="29">
        <v>3</v>
      </c>
      <c r="V104" s="38">
        <v>178</v>
      </c>
      <c r="W104" s="29">
        <v>33</v>
      </c>
      <c r="X104" s="29">
        <v>1</v>
      </c>
      <c r="Y104" s="30">
        <f>combined_tbl!$Q104*(1-combined_tbl!$Z104)</f>
        <v>184.32</v>
      </c>
      <c r="Z104" s="31">
        <f>IF(combined_tbl!$Q104&gt;=500,0.2, IF(combined_tbl!$Q104&gt;=200,0.05, IF(combined_tbl!$X104&gt;=2,0.05,0)))</f>
        <v>0</v>
      </c>
      <c r="AA104" s="30">
        <f>combined_tbl!$Y104*combined_tbl!$X104</f>
        <v>184.32</v>
      </c>
      <c r="AB104" s="32">
        <f>(combined_tbl!$Q104*(1+combined_tbl!$Z104)-combined_tbl!$P104)*combined_tbl!$X104</f>
        <v>56.319999999999993</v>
      </c>
      <c r="AF104" t="str">
        <f t="shared" ca="1" si="25"/>
        <v>West</v>
      </c>
      <c r="AI104" s="24" t="str">
        <f t="shared" si="26"/>
        <v>Customer104</v>
      </c>
      <c r="AJ104" s="10">
        <f t="shared" ca="1" si="22"/>
        <v>45821</v>
      </c>
    </row>
    <row r="105" spans="1:36" x14ac:dyDescent="0.3">
      <c r="A105" s="29">
        <v>104</v>
      </c>
      <c r="B105" s="25" cm="1">
        <f t="array" aca="1" ref="B105" ca="1">MIN(IF($E:$E=E105,$H:$H))</f>
        <v>44980</v>
      </c>
      <c r="C105" s="25">
        <f t="shared" ca="1" si="16"/>
        <v>33</v>
      </c>
      <c r="D105" s="42">
        <f ca="1">COUNTIF(E:E,combined_tbl!$E105)</f>
        <v>4</v>
      </c>
      <c r="E105" s="24" t="str">
        <f t="shared" ca="1" si="23"/>
        <v>Customer040</v>
      </c>
      <c r="F105" s="24" t="str" cm="1">
        <f t="array" aca="1" ref="F105" ca="1">INDEX({"Male","Female"}, RANDBETWEEN(1,2))</f>
        <v>Female</v>
      </c>
      <c r="G105" s="29" t="str">
        <f t="shared" ca="1" si="14"/>
        <v>West</v>
      </c>
      <c r="H105" s="48">
        <f t="shared" ca="1" si="17"/>
        <v>44980</v>
      </c>
      <c r="I105" s="24">
        <f t="shared" ca="1" si="18"/>
        <v>23</v>
      </c>
      <c r="J105" s="46" t="str">
        <f t="shared" ca="1" si="24"/>
        <v>February</v>
      </c>
      <c r="K105" s="24">
        <f t="shared" ca="1" si="19"/>
        <v>2023</v>
      </c>
      <c r="L105" s="24" t="str">
        <f t="shared" ca="1" si="20"/>
        <v>Silver</v>
      </c>
      <c r="M105" s="24">
        <v>105</v>
      </c>
      <c r="N105" s="24" t="s">
        <v>957</v>
      </c>
      <c r="O105" s="24" t="s">
        <v>963</v>
      </c>
      <c r="P105" s="26">
        <v>15</v>
      </c>
      <c r="Q105" s="26">
        <v>20.7</v>
      </c>
      <c r="R105" s="24">
        <v>105</v>
      </c>
      <c r="S105" s="24" t="str">
        <f t="shared" si="21"/>
        <v>Jan</v>
      </c>
      <c r="T105" s="46">
        <v>45676</v>
      </c>
      <c r="U105" s="24">
        <v>5</v>
      </c>
      <c r="V105" s="37">
        <v>188</v>
      </c>
      <c r="W105" s="24">
        <v>30</v>
      </c>
      <c r="X105" s="24">
        <v>2</v>
      </c>
      <c r="Y105" s="26">
        <f>combined_tbl!$Q105*(1-combined_tbl!$Z105)</f>
        <v>19.664999999999999</v>
      </c>
      <c r="Z105" s="27">
        <f>IF(combined_tbl!$Q105&gt;=500,0.2, IF(combined_tbl!$Q105&gt;=200,0.05, IF(combined_tbl!$X105&gt;=2,0.05,0)))</f>
        <v>0.05</v>
      </c>
      <c r="AA105" s="26">
        <f>combined_tbl!$Y105*combined_tbl!$X105</f>
        <v>39.33</v>
      </c>
      <c r="AB105" s="28">
        <f>(combined_tbl!$Q105*(1+combined_tbl!$Z105)-combined_tbl!$P105)*combined_tbl!$X105</f>
        <v>13.469999999999999</v>
      </c>
      <c r="AF105" t="str">
        <f t="shared" ca="1" si="25"/>
        <v>North</v>
      </c>
      <c r="AI105" s="24" t="str">
        <f t="shared" si="26"/>
        <v>Customer105</v>
      </c>
      <c r="AJ105" s="10">
        <f t="shared" ca="1" si="22"/>
        <v>45893</v>
      </c>
    </row>
    <row r="106" spans="1:36" x14ac:dyDescent="0.3">
      <c r="A106" s="19">
        <v>105</v>
      </c>
      <c r="B106" s="25" cm="1">
        <f t="array" aca="1" ref="B106" ca="1">MIN(IF($E:$E=E106,$H:$H))</f>
        <v>45787</v>
      </c>
      <c r="C106" s="25">
        <f t="shared" ca="1" si="16"/>
        <v>6</v>
      </c>
      <c r="D106" s="43">
        <f ca="1">COUNTIF(E:E,combined_tbl!$E106)</f>
        <v>8</v>
      </c>
      <c r="E106" s="29" t="str">
        <f t="shared" ca="1" si="23"/>
        <v>Customer006</v>
      </c>
      <c r="F106" s="29" t="str" cm="1">
        <f t="array" aca="1" ref="F106" ca="1">INDEX({"Male","Female"}, RANDBETWEEN(1,2))</f>
        <v>Male</v>
      </c>
      <c r="G106" s="29" t="str">
        <f t="shared" ca="1" si="14"/>
        <v>North</v>
      </c>
      <c r="H106" s="48">
        <f t="shared" ca="1" si="17"/>
        <v>45787</v>
      </c>
      <c r="I106" s="24">
        <f t="shared" ca="1" si="18"/>
        <v>10</v>
      </c>
      <c r="J106" s="46" t="str">
        <f t="shared" ca="1" si="24"/>
        <v>May</v>
      </c>
      <c r="K106" s="24">
        <f t="shared" ca="1" si="19"/>
        <v>2025</v>
      </c>
      <c r="L106" s="24" t="str">
        <f t="shared" ca="1" si="20"/>
        <v>Bronze</v>
      </c>
      <c r="M106" s="29">
        <v>106</v>
      </c>
      <c r="N106" s="29" t="s">
        <v>847</v>
      </c>
      <c r="O106" s="29" t="s">
        <v>964</v>
      </c>
      <c r="P106" s="30">
        <v>58</v>
      </c>
      <c r="Q106" s="30">
        <v>85.84</v>
      </c>
      <c r="R106" s="29">
        <v>106</v>
      </c>
      <c r="S106" s="24" t="str">
        <f t="shared" si="21"/>
        <v>Dec</v>
      </c>
      <c r="T106" s="47">
        <v>45263</v>
      </c>
      <c r="U106" s="29">
        <v>5</v>
      </c>
      <c r="V106" s="38">
        <v>33</v>
      </c>
      <c r="W106" s="29">
        <v>89</v>
      </c>
      <c r="X106" s="29">
        <v>3</v>
      </c>
      <c r="Y106" s="30">
        <f>combined_tbl!$Q106*(1-combined_tbl!$Z106)</f>
        <v>81.548000000000002</v>
      </c>
      <c r="Z106" s="31">
        <f>IF(combined_tbl!$Q106&gt;=500,0.2, IF(combined_tbl!$Q106&gt;=200,0.05, IF(combined_tbl!$X106&gt;=2,0.05,0)))</f>
        <v>0.05</v>
      </c>
      <c r="AA106" s="30">
        <f>combined_tbl!$Y106*combined_tbl!$X106</f>
        <v>244.64400000000001</v>
      </c>
      <c r="AB106" s="32">
        <f>(combined_tbl!$Q106*(1+combined_tbl!$Z106)-combined_tbl!$P106)*combined_tbl!$X106</f>
        <v>96.396000000000015</v>
      </c>
      <c r="AF106" t="str">
        <f t="shared" ca="1" si="25"/>
        <v>East</v>
      </c>
      <c r="AI106" s="24" t="str">
        <f t="shared" si="26"/>
        <v>Customer106</v>
      </c>
      <c r="AJ106" s="10">
        <f t="shared" ca="1" si="22"/>
        <v>45819</v>
      </c>
    </row>
    <row r="107" spans="1:36" x14ac:dyDescent="0.3">
      <c r="A107" s="24">
        <v>106</v>
      </c>
      <c r="B107" s="25" cm="1">
        <f t="array" aca="1" ref="B107" ca="1">MIN(IF($E:$E=E107,$H:$H))</f>
        <v>45812</v>
      </c>
      <c r="C107" s="25">
        <f t="shared" ca="1" si="16"/>
        <v>6</v>
      </c>
      <c r="D107" s="42">
        <f ca="1">COUNTIF(E:E,combined_tbl!$E107)</f>
        <v>10</v>
      </c>
      <c r="E107" s="24" t="str">
        <f t="shared" ca="1" si="23"/>
        <v>Customer026</v>
      </c>
      <c r="F107" s="24" t="str" cm="1">
        <f t="array" aca="1" ref="F107" ca="1">INDEX({"Male","Female"}, RANDBETWEEN(1,2))</f>
        <v>Female</v>
      </c>
      <c r="G107" s="29" t="str">
        <f t="shared" ca="1" si="14"/>
        <v>North</v>
      </c>
      <c r="H107" s="48">
        <f t="shared" ca="1" si="17"/>
        <v>45812</v>
      </c>
      <c r="I107" s="24">
        <f t="shared" ca="1" si="18"/>
        <v>4</v>
      </c>
      <c r="J107" s="46" t="str">
        <f t="shared" ca="1" si="24"/>
        <v>June</v>
      </c>
      <c r="K107" s="24">
        <f t="shared" ca="1" si="19"/>
        <v>2025</v>
      </c>
      <c r="L107" s="24" t="str">
        <f t="shared" ca="1" si="20"/>
        <v>Bronze</v>
      </c>
      <c r="M107" s="24">
        <v>107</v>
      </c>
      <c r="N107" s="24" t="s">
        <v>872</v>
      </c>
      <c r="O107" s="24" t="s">
        <v>965</v>
      </c>
      <c r="P107" s="26">
        <v>73</v>
      </c>
      <c r="Q107" s="26">
        <v>91.98</v>
      </c>
      <c r="R107" s="24">
        <v>107</v>
      </c>
      <c r="S107" s="24" t="str">
        <f t="shared" si="21"/>
        <v>Sep</v>
      </c>
      <c r="T107" s="46">
        <v>45913</v>
      </c>
      <c r="U107" s="24">
        <v>5</v>
      </c>
      <c r="V107" s="37">
        <v>95</v>
      </c>
      <c r="W107" s="24">
        <v>88</v>
      </c>
      <c r="X107" s="24">
        <v>1</v>
      </c>
      <c r="Y107" s="26">
        <f>combined_tbl!$Q107*(1-combined_tbl!$Z107)</f>
        <v>91.98</v>
      </c>
      <c r="Z107" s="27">
        <f>IF(combined_tbl!$Q107&gt;=500,0.2, IF(combined_tbl!$Q107&gt;=200,0.05, IF(combined_tbl!$X107&gt;=2,0.05,0)))</f>
        <v>0</v>
      </c>
      <c r="AA107" s="26">
        <f>combined_tbl!$Y107*combined_tbl!$X107</f>
        <v>91.98</v>
      </c>
      <c r="AB107" s="28">
        <f>(combined_tbl!$Q107*(1+combined_tbl!$Z107)-combined_tbl!$P107)*combined_tbl!$X107</f>
        <v>18.980000000000004</v>
      </c>
      <c r="AF107" t="str">
        <f t="shared" ca="1" si="25"/>
        <v>South</v>
      </c>
      <c r="AI107" s="24" t="str">
        <f t="shared" si="26"/>
        <v>Customer107</v>
      </c>
      <c r="AJ107" s="10">
        <f t="shared" ca="1" si="22"/>
        <v>44986</v>
      </c>
    </row>
    <row r="108" spans="1:36" x14ac:dyDescent="0.3">
      <c r="A108" s="29">
        <v>107</v>
      </c>
      <c r="B108" s="25" cm="1">
        <f t="array" aca="1" ref="B108" ca="1">MIN(IF($E:$E=E108,$H:$H))</f>
        <v>45560</v>
      </c>
      <c r="C108" s="25">
        <f t="shared" ca="1" si="16"/>
        <v>14</v>
      </c>
      <c r="D108" s="43">
        <f ca="1">COUNTIF(E:E,combined_tbl!$E108)</f>
        <v>8</v>
      </c>
      <c r="E108" s="29" t="str">
        <f t="shared" ca="1" si="23"/>
        <v>Customer021</v>
      </c>
      <c r="F108" s="29" t="str" cm="1">
        <f t="array" aca="1" ref="F108" ca="1">INDEX({"Male","Female"}, RANDBETWEEN(1,2))</f>
        <v>Male</v>
      </c>
      <c r="G108" s="29" t="str">
        <f t="shared" ca="1" si="14"/>
        <v>South</v>
      </c>
      <c r="H108" s="48">
        <f t="shared" ca="1" si="17"/>
        <v>45560</v>
      </c>
      <c r="I108" s="24">
        <f t="shared" ca="1" si="18"/>
        <v>25</v>
      </c>
      <c r="J108" s="46" t="str">
        <f t="shared" ca="1" si="24"/>
        <v>September</v>
      </c>
      <c r="K108" s="24">
        <f t="shared" ca="1" si="19"/>
        <v>2024</v>
      </c>
      <c r="L108" s="24" t="str">
        <f t="shared" ca="1" si="20"/>
        <v>Silver</v>
      </c>
      <c r="M108" s="29">
        <v>108</v>
      </c>
      <c r="N108" s="29" t="s">
        <v>957</v>
      </c>
      <c r="O108" s="29" t="s">
        <v>966</v>
      </c>
      <c r="P108" s="30">
        <v>35</v>
      </c>
      <c r="Q108" s="30">
        <v>47.25</v>
      </c>
      <c r="R108" s="29">
        <v>108</v>
      </c>
      <c r="S108" s="24" t="str">
        <f t="shared" si="21"/>
        <v>Nov</v>
      </c>
      <c r="T108" s="47">
        <v>45620</v>
      </c>
      <c r="U108" s="29">
        <v>2</v>
      </c>
      <c r="V108" s="38">
        <v>150</v>
      </c>
      <c r="W108" s="29">
        <v>29</v>
      </c>
      <c r="X108" s="29">
        <v>2</v>
      </c>
      <c r="Y108" s="30">
        <f>combined_tbl!$Q108*(1-combined_tbl!$Z108)</f>
        <v>44.887499999999996</v>
      </c>
      <c r="Z108" s="31">
        <f>IF(combined_tbl!$Q108&gt;=500,0.2, IF(combined_tbl!$Q108&gt;=200,0.05, IF(combined_tbl!$X108&gt;=2,0.05,0)))</f>
        <v>0.05</v>
      </c>
      <c r="AA108" s="30">
        <f>combined_tbl!$Y108*combined_tbl!$X108</f>
        <v>89.774999999999991</v>
      </c>
      <c r="AB108" s="32">
        <f>(combined_tbl!$Q108*(1+combined_tbl!$Z108)-combined_tbl!$P108)*combined_tbl!$X108</f>
        <v>29.225000000000009</v>
      </c>
      <c r="AF108" t="str">
        <f t="shared" ca="1" si="25"/>
        <v>East</v>
      </c>
      <c r="AI108" s="24" t="str">
        <f t="shared" si="26"/>
        <v>Customer108</v>
      </c>
      <c r="AJ108" s="10">
        <f t="shared" ca="1" si="22"/>
        <v>45943</v>
      </c>
    </row>
    <row r="109" spans="1:36" x14ac:dyDescent="0.3">
      <c r="A109" s="29">
        <v>108</v>
      </c>
      <c r="B109" s="25" cm="1">
        <f t="array" aca="1" ref="B109" ca="1">MIN(IF($E:$E=E109,$H:$H))</f>
        <v>45083</v>
      </c>
      <c r="C109" s="25">
        <f t="shared" ca="1" si="16"/>
        <v>29</v>
      </c>
      <c r="D109" s="42">
        <f ca="1">COUNTIF(E:E,combined_tbl!$E109)</f>
        <v>3</v>
      </c>
      <c r="E109" s="24" t="str">
        <f t="shared" ca="1" si="23"/>
        <v>Customer075</v>
      </c>
      <c r="F109" s="24" t="str" cm="1">
        <f t="array" aca="1" ref="F109" ca="1">INDEX({"Male","Female"}, RANDBETWEEN(1,2))</f>
        <v>Male</v>
      </c>
      <c r="G109" s="29" t="str">
        <f t="shared" ca="1" si="14"/>
        <v>West</v>
      </c>
      <c r="H109" s="48">
        <f t="shared" ca="1" si="17"/>
        <v>45083</v>
      </c>
      <c r="I109" s="24">
        <f t="shared" ca="1" si="18"/>
        <v>6</v>
      </c>
      <c r="J109" s="46" t="str">
        <f t="shared" ca="1" si="24"/>
        <v>June</v>
      </c>
      <c r="K109" s="24">
        <f t="shared" ca="1" si="19"/>
        <v>2023</v>
      </c>
      <c r="L109" s="24" t="str">
        <f t="shared" ca="1" si="20"/>
        <v>Silver</v>
      </c>
      <c r="M109" s="24">
        <v>109</v>
      </c>
      <c r="N109" s="24" t="s">
        <v>955</v>
      </c>
      <c r="O109" s="24" t="s">
        <v>967</v>
      </c>
      <c r="P109" s="26">
        <v>345</v>
      </c>
      <c r="Q109" s="26">
        <v>386.40000000000003</v>
      </c>
      <c r="R109" s="24">
        <v>109</v>
      </c>
      <c r="S109" s="24" t="str">
        <f t="shared" si="21"/>
        <v>Aug</v>
      </c>
      <c r="T109" s="46">
        <v>45886</v>
      </c>
      <c r="U109" s="24">
        <v>2</v>
      </c>
      <c r="V109" s="37">
        <v>102</v>
      </c>
      <c r="W109" s="24">
        <v>28</v>
      </c>
      <c r="X109" s="24">
        <v>1</v>
      </c>
      <c r="Y109" s="26">
        <f>combined_tbl!$Q109*(1-combined_tbl!$Z109)</f>
        <v>367.08000000000004</v>
      </c>
      <c r="Z109" s="27">
        <f>IF(combined_tbl!$Q109&gt;=500,0.2, IF(combined_tbl!$Q109&gt;=200,0.05, IF(combined_tbl!$X109&gt;=2,0.05,0)))</f>
        <v>0.05</v>
      </c>
      <c r="AA109" s="26">
        <f>combined_tbl!$Y109*combined_tbl!$X109</f>
        <v>367.08000000000004</v>
      </c>
      <c r="AB109" s="28">
        <f>(combined_tbl!$Q109*(1+combined_tbl!$Z109)-combined_tbl!$P109)*combined_tbl!$X109</f>
        <v>60.720000000000027</v>
      </c>
      <c r="AF109" t="str">
        <f t="shared" ca="1" si="25"/>
        <v>South</v>
      </c>
      <c r="AI109" s="24" t="str">
        <f t="shared" si="26"/>
        <v>Customer109</v>
      </c>
      <c r="AJ109" s="10">
        <f t="shared" ca="1" si="22"/>
        <v>44935</v>
      </c>
    </row>
    <row r="110" spans="1:36" x14ac:dyDescent="0.3">
      <c r="A110" s="29">
        <v>109</v>
      </c>
      <c r="B110" s="25" cm="1">
        <f t="array" aca="1" ref="B110" ca="1">MIN(IF($E:$E=E110,$H:$H))</f>
        <v>45631</v>
      </c>
      <c r="C110" s="25">
        <f t="shared" ca="1" si="16"/>
        <v>11</v>
      </c>
      <c r="D110" s="43">
        <f ca="1">COUNTIF(E:E,combined_tbl!$E110)</f>
        <v>6</v>
      </c>
      <c r="E110" s="29" t="str">
        <f t="shared" ca="1" si="23"/>
        <v>Customer017</v>
      </c>
      <c r="F110" s="29" t="str" cm="1">
        <f t="array" aca="1" ref="F110" ca="1">INDEX({"Male","Female"}, RANDBETWEEN(1,2))</f>
        <v>Female</v>
      </c>
      <c r="G110" s="29" t="str">
        <f t="shared" ca="1" si="14"/>
        <v>West</v>
      </c>
      <c r="H110" s="48">
        <f t="shared" ca="1" si="17"/>
        <v>45631</v>
      </c>
      <c r="I110" s="24">
        <f t="shared" ca="1" si="18"/>
        <v>5</v>
      </c>
      <c r="J110" s="46" t="str">
        <f t="shared" ca="1" si="24"/>
        <v>December</v>
      </c>
      <c r="K110" s="24">
        <f t="shared" ca="1" si="19"/>
        <v>2024</v>
      </c>
      <c r="L110" s="24" t="str">
        <f t="shared" ca="1" si="20"/>
        <v>Bronze</v>
      </c>
      <c r="M110" s="29">
        <v>110</v>
      </c>
      <c r="N110" s="29" t="s">
        <v>872</v>
      </c>
      <c r="O110" s="29" t="s">
        <v>968</v>
      </c>
      <c r="P110" s="30">
        <v>139</v>
      </c>
      <c r="Q110" s="30">
        <v>182.09</v>
      </c>
      <c r="R110" s="29">
        <v>110</v>
      </c>
      <c r="S110" s="24" t="str">
        <f t="shared" si="21"/>
        <v>Oct</v>
      </c>
      <c r="T110" s="47">
        <v>45215</v>
      </c>
      <c r="U110" s="29">
        <v>4</v>
      </c>
      <c r="V110" s="38">
        <v>84</v>
      </c>
      <c r="W110" s="29">
        <v>12</v>
      </c>
      <c r="X110" s="29">
        <v>1</v>
      </c>
      <c r="Y110" s="30">
        <f>combined_tbl!$Q110*(1-combined_tbl!$Z110)</f>
        <v>182.09</v>
      </c>
      <c r="Z110" s="31">
        <f>IF(combined_tbl!$Q110&gt;=500,0.2, IF(combined_tbl!$Q110&gt;=200,0.05, IF(combined_tbl!$X110&gt;=2,0.05,0)))</f>
        <v>0</v>
      </c>
      <c r="AA110" s="30">
        <f>combined_tbl!$Y110*combined_tbl!$X110</f>
        <v>182.09</v>
      </c>
      <c r="AB110" s="32">
        <f>(combined_tbl!$Q110*(1+combined_tbl!$Z110)-combined_tbl!$P110)*combined_tbl!$X110</f>
        <v>43.09</v>
      </c>
      <c r="AF110" t="str">
        <f t="shared" ca="1" si="25"/>
        <v>West</v>
      </c>
      <c r="AI110" s="24" t="str">
        <f t="shared" si="26"/>
        <v>Customer110</v>
      </c>
      <c r="AJ110" s="10">
        <f t="shared" ca="1" si="22"/>
        <v>45387</v>
      </c>
    </row>
    <row r="111" spans="1:36" x14ac:dyDescent="0.3">
      <c r="A111" s="29">
        <v>110</v>
      </c>
      <c r="B111" s="25" cm="1">
        <f t="array" aca="1" ref="B111" ca="1">MIN(IF($E:$E=E111,$H:$H))</f>
        <v>45622</v>
      </c>
      <c r="C111" s="25">
        <f t="shared" ca="1" si="16"/>
        <v>12</v>
      </c>
      <c r="D111" s="42">
        <f ca="1">COUNTIF(E:E,combined_tbl!$E111)</f>
        <v>8</v>
      </c>
      <c r="E111" s="24" t="str">
        <f t="shared" ca="1" si="23"/>
        <v>Customer023</v>
      </c>
      <c r="F111" s="24" t="str" cm="1">
        <f t="array" aca="1" ref="F111" ca="1">INDEX({"Male","Female"}, RANDBETWEEN(1,2))</f>
        <v>Female</v>
      </c>
      <c r="G111" s="29" t="str">
        <f t="shared" ca="1" si="14"/>
        <v>North</v>
      </c>
      <c r="H111" s="48">
        <f t="shared" ca="1" si="17"/>
        <v>45622</v>
      </c>
      <c r="I111" s="24">
        <f t="shared" ca="1" si="18"/>
        <v>26</v>
      </c>
      <c r="J111" s="46" t="str">
        <f t="shared" ca="1" si="24"/>
        <v>November</v>
      </c>
      <c r="K111" s="24">
        <f t="shared" ca="1" si="19"/>
        <v>2024</v>
      </c>
      <c r="L111" s="24" t="str">
        <f t="shared" ca="1" si="20"/>
        <v>Silver</v>
      </c>
      <c r="M111" s="24">
        <v>111</v>
      </c>
      <c r="N111" s="24" t="s">
        <v>847</v>
      </c>
      <c r="O111" s="24" t="s">
        <v>969</v>
      </c>
      <c r="P111" s="26">
        <v>129</v>
      </c>
      <c r="Q111" s="26">
        <v>185.76</v>
      </c>
      <c r="R111" s="24">
        <v>111</v>
      </c>
      <c r="S111" s="24" t="str">
        <f t="shared" si="21"/>
        <v>Mar</v>
      </c>
      <c r="T111" s="46">
        <v>45740</v>
      </c>
      <c r="U111" s="24">
        <v>6</v>
      </c>
      <c r="V111" s="37">
        <v>67</v>
      </c>
      <c r="W111" s="24">
        <v>78</v>
      </c>
      <c r="X111" s="24">
        <v>2</v>
      </c>
      <c r="Y111" s="26">
        <f>combined_tbl!$Q111*(1-combined_tbl!$Z111)</f>
        <v>176.47199999999998</v>
      </c>
      <c r="Z111" s="27">
        <f>IF(combined_tbl!$Q111&gt;=500,0.2, IF(combined_tbl!$Q111&gt;=200,0.05, IF(combined_tbl!$X111&gt;=2,0.05,0)))</f>
        <v>0.05</v>
      </c>
      <c r="AA111" s="26">
        <f>combined_tbl!$Y111*combined_tbl!$X111</f>
        <v>352.94399999999996</v>
      </c>
      <c r="AB111" s="28">
        <f>(combined_tbl!$Q111*(1+combined_tbl!$Z111)-combined_tbl!$P111)*combined_tbl!$X111</f>
        <v>132.096</v>
      </c>
      <c r="AF111" t="str">
        <f t="shared" ca="1" si="25"/>
        <v>North</v>
      </c>
      <c r="AI111" s="24" t="str">
        <f t="shared" si="26"/>
        <v>Customer111</v>
      </c>
      <c r="AJ111" s="10">
        <f t="shared" ca="1" si="22"/>
        <v>45570</v>
      </c>
    </row>
    <row r="112" spans="1:36" x14ac:dyDescent="0.3">
      <c r="A112" s="29">
        <v>111</v>
      </c>
      <c r="B112" s="25" cm="1">
        <f t="array" aca="1" ref="B112" ca="1">MIN(IF($E:$E=E112,$H:$H))</f>
        <v>45115</v>
      </c>
      <c r="C112" s="25">
        <f t="shared" ca="1" si="16"/>
        <v>28</v>
      </c>
      <c r="D112" s="43">
        <f ca="1">COUNTIF(E:E,combined_tbl!$E112)</f>
        <v>8</v>
      </c>
      <c r="E112" s="29" t="str">
        <f t="shared" ca="1" si="23"/>
        <v>Customer008</v>
      </c>
      <c r="F112" s="29" t="str" cm="1">
        <f t="array" aca="1" ref="F112" ca="1">INDEX({"Male","Female"}, RANDBETWEEN(1,2))</f>
        <v>Female</v>
      </c>
      <c r="G112" s="29" t="str">
        <f t="shared" ca="1" si="14"/>
        <v>West</v>
      </c>
      <c r="H112" s="48">
        <f t="shared" ca="1" si="17"/>
        <v>45115</v>
      </c>
      <c r="I112" s="24">
        <f t="shared" ca="1" si="18"/>
        <v>8</v>
      </c>
      <c r="J112" s="46" t="str">
        <f t="shared" ca="1" si="24"/>
        <v>July</v>
      </c>
      <c r="K112" s="24">
        <f t="shared" ca="1" si="19"/>
        <v>2023</v>
      </c>
      <c r="L112" s="24" t="str">
        <f t="shared" ca="1" si="20"/>
        <v>Gold</v>
      </c>
      <c r="M112" s="29">
        <v>112</v>
      </c>
      <c r="N112" s="29" t="s">
        <v>1359</v>
      </c>
      <c r="O112" s="29" t="s">
        <v>970</v>
      </c>
      <c r="P112" s="30">
        <v>432</v>
      </c>
      <c r="Q112" s="30">
        <v>527.04</v>
      </c>
      <c r="R112" s="29">
        <v>112</v>
      </c>
      <c r="S112" s="24" t="str">
        <f t="shared" si="21"/>
        <v>Jul</v>
      </c>
      <c r="T112" s="47">
        <v>45111</v>
      </c>
      <c r="U112" s="29">
        <v>7</v>
      </c>
      <c r="V112" s="38">
        <v>137</v>
      </c>
      <c r="W112" s="29">
        <v>3</v>
      </c>
      <c r="X112" s="29">
        <v>2</v>
      </c>
      <c r="Y112" s="30">
        <f>combined_tbl!$Q112*(1-combined_tbl!$Z112)</f>
        <v>421.63200000000001</v>
      </c>
      <c r="Z112" s="31">
        <f>IF(combined_tbl!$Q112&gt;=500,0.2, IF(combined_tbl!$Q112&gt;=200,0.05, IF(combined_tbl!$X112&gt;=2,0.05,0)))</f>
        <v>0.2</v>
      </c>
      <c r="AA112" s="30">
        <f>combined_tbl!$Y112*combined_tbl!$X112</f>
        <v>843.26400000000001</v>
      </c>
      <c r="AB112" s="32">
        <f>(combined_tbl!$Q112*(1+combined_tbl!$Z112)-combined_tbl!$P112)*combined_tbl!$X112</f>
        <v>400.89599999999996</v>
      </c>
      <c r="AF112" t="str">
        <f t="shared" ca="1" si="25"/>
        <v>North</v>
      </c>
      <c r="AI112" s="24" t="str">
        <f t="shared" si="26"/>
        <v>Customer112</v>
      </c>
      <c r="AJ112" s="10">
        <f t="shared" ca="1" si="22"/>
        <v>45661</v>
      </c>
    </row>
    <row r="113" spans="1:36" x14ac:dyDescent="0.3">
      <c r="A113" s="29">
        <v>112</v>
      </c>
      <c r="B113" s="25" cm="1">
        <f t="array" aca="1" ref="B113" ca="1">MIN(IF($E:$E=E113,$H:$H))</f>
        <v>45346</v>
      </c>
      <c r="C113" s="25">
        <f t="shared" ca="1" si="16"/>
        <v>21</v>
      </c>
      <c r="D113" s="42">
        <f ca="1">COUNTIF(E:E,combined_tbl!$E113)</f>
        <v>12</v>
      </c>
      <c r="E113" s="24" t="str">
        <f t="shared" ca="1" si="23"/>
        <v>Customer011</v>
      </c>
      <c r="F113" s="24" t="str" cm="1">
        <f t="array" aca="1" ref="F113" ca="1">INDEX({"Male","Female"}, RANDBETWEEN(1,2))</f>
        <v>Female</v>
      </c>
      <c r="G113" s="29" t="str">
        <f t="shared" ca="1" si="14"/>
        <v>East</v>
      </c>
      <c r="H113" s="48">
        <f t="shared" ca="1" si="17"/>
        <v>45346</v>
      </c>
      <c r="I113" s="24">
        <f t="shared" ca="1" si="18"/>
        <v>24</v>
      </c>
      <c r="J113" s="46" t="str">
        <f t="shared" ca="1" si="24"/>
        <v>February</v>
      </c>
      <c r="K113" s="24">
        <f t="shared" ca="1" si="19"/>
        <v>2024</v>
      </c>
      <c r="L113" s="24" t="str">
        <f t="shared" ca="1" si="20"/>
        <v>Gold</v>
      </c>
      <c r="M113" s="24">
        <v>113</v>
      </c>
      <c r="N113" s="24" t="s">
        <v>847</v>
      </c>
      <c r="O113" s="24" t="s">
        <v>971</v>
      </c>
      <c r="P113" s="26">
        <v>15</v>
      </c>
      <c r="Q113" s="26">
        <v>21.299999999999997</v>
      </c>
      <c r="R113" s="24">
        <v>113</v>
      </c>
      <c r="S113" s="24" t="str">
        <f t="shared" si="21"/>
        <v>Jan</v>
      </c>
      <c r="T113" s="46">
        <v>44955</v>
      </c>
      <c r="U113" s="24">
        <v>5</v>
      </c>
      <c r="V113" s="37">
        <v>58</v>
      </c>
      <c r="W113" s="24">
        <v>75</v>
      </c>
      <c r="X113" s="24">
        <v>1</v>
      </c>
      <c r="Y113" s="26">
        <f>combined_tbl!$Q113*(1-combined_tbl!$Z113)</f>
        <v>21.299999999999997</v>
      </c>
      <c r="Z113" s="27">
        <f>IF(combined_tbl!$Q113&gt;=500,0.2, IF(combined_tbl!$Q113&gt;=200,0.05, IF(combined_tbl!$X113&gt;=2,0.05,0)))</f>
        <v>0</v>
      </c>
      <c r="AA113" s="26">
        <f>combined_tbl!$Y113*combined_tbl!$X113</f>
        <v>21.299999999999997</v>
      </c>
      <c r="AB113" s="28">
        <f>(combined_tbl!$Q113*(1+combined_tbl!$Z113)-combined_tbl!$P113)*combined_tbl!$X113</f>
        <v>6.2999999999999972</v>
      </c>
      <c r="AF113" t="str">
        <f t="shared" ca="1" si="25"/>
        <v>West</v>
      </c>
      <c r="AI113" s="24" t="str">
        <f t="shared" si="26"/>
        <v>Customer113</v>
      </c>
      <c r="AJ113" s="10">
        <f t="shared" ca="1" si="22"/>
        <v>45438</v>
      </c>
    </row>
    <row r="114" spans="1:36" x14ac:dyDescent="0.3">
      <c r="A114" s="19">
        <v>113</v>
      </c>
      <c r="B114" s="25" cm="1">
        <f t="array" aca="1" ref="B114" ca="1">MIN(IF($E:$E=E114,$H:$H))</f>
        <v>45675</v>
      </c>
      <c r="C114" s="25">
        <f t="shared" ca="1" si="16"/>
        <v>10</v>
      </c>
      <c r="D114" s="43">
        <f ca="1">COUNTIF(E:E,combined_tbl!$E114)</f>
        <v>2</v>
      </c>
      <c r="E114" s="29" t="str">
        <f t="shared" ca="1" si="23"/>
        <v>Customer087</v>
      </c>
      <c r="F114" s="29" t="str" cm="1">
        <f t="array" aca="1" ref="F114" ca="1">INDEX({"Male","Female"}, RANDBETWEEN(1,2))</f>
        <v>Male</v>
      </c>
      <c r="G114" s="29" t="str">
        <f t="shared" ca="1" si="14"/>
        <v>South</v>
      </c>
      <c r="H114" s="48">
        <f t="shared" ca="1" si="17"/>
        <v>45675</v>
      </c>
      <c r="I114" s="24">
        <f t="shared" ca="1" si="18"/>
        <v>18</v>
      </c>
      <c r="J114" s="46" t="str">
        <f t="shared" ca="1" si="24"/>
        <v>January</v>
      </c>
      <c r="K114" s="24">
        <f t="shared" ca="1" si="19"/>
        <v>2025</v>
      </c>
      <c r="L114" s="24" t="str">
        <f t="shared" ca="1" si="20"/>
        <v>Bronze</v>
      </c>
      <c r="M114" s="29">
        <v>114</v>
      </c>
      <c r="N114" s="29" t="s">
        <v>831</v>
      </c>
      <c r="O114" s="29" t="s">
        <v>972</v>
      </c>
      <c r="P114" s="30">
        <v>306</v>
      </c>
      <c r="Q114" s="30">
        <v>410.04</v>
      </c>
      <c r="R114" s="29">
        <v>114</v>
      </c>
      <c r="S114" s="24" t="str">
        <f t="shared" si="21"/>
        <v>Sep</v>
      </c>
      <c r="T114" s="47">
        <v>45180</v>
      </c>
      <c r="U114" s="29">
        <v>8</v>
      </c>
      <c r="V114" s="38">
        <v>21</v>
      </c>
      <c r="W114" s="29">
        <v>44</v>
      </c>
      <c r="X114" s="29">
        <v>1</v>
      </c>
      <c r="Y114" s="30">
        <f>combined_tbl!$Q114*(1-combined_tbl!$Z114)</f>
        <v>389.53800000000001</v>
      </c>
      <c r="Z114" s="31">
        <f>IF(combined_tbl!$Q114&gt;=500,0.2, IF(combined_tbl!$Q114&gt;=200,0.05, IF(combined_tbl!$X114&gt;=2,0.05,0)))</f>
        <v>0.05</v>
      </c>
      <c r="AA114" s="30">
        <f>combined_tbl!$Y114*combined_tbl!$X114</f>
        <v>389.53800000000001</v>
      </c>
      <c r="AB114" s="32">
        <f>(combined_tbl!$Q114*(1+combined_tbl!$Z114)-combined_tbl!$P114)*combined_tbl!$X114</f>
        <v>124.54200000000003</v>
      </c>
      <c r="AF114" t="str">
        <f t="shared" ca="1" si="25"/>
        <v>West</v>
      </c>
      <c r="AI114" s="24" t="str">
        <f t="shared" si="26"/>
        <v>Customer114</v>
      </c>
      <c r="AJ114" s="10">
        <f t="shared" ca="1" si="22"/>
        <v>45095</v>
      </c>
    </row>
    <row r="115" spans="1:36" x14ac:dyDescent="0.3">
      <c r="A115" s="24">
        <v>114</v>
      </c>
      <c r="B115" s="25" cm="1">
        <f t="array" aca="1" ref="B115" ca="1">MIN(IF($E:$E=E115,$H:$H))</f>
        <v>45896</v>
      </c>
      <c r="C115" s="25">
        <f t="shared" ca="1" si="16"/>
        <v>3</v>
      </c>
      <c r="D115" s="42">
        <f ca="1">COUNTIF(E:E,combined_tbl!$E115)</f>
        <v>10</v>
      </c>
      <c r="E115" s="24" t="str">
        <f t="shared" ca="1" si="23"/>
        <v>Customer004</v>
      </c>
      <c r="F115" s="24" t="str" cm="1">
        <f t="array" aca="1" ref="F115" ca="1">INDEX({"Male","Female"}, RANDBETWEEN(1,2))</f>
        <v>Male</v>
      </c>
      <c r="G115" s="29" t="str">
        <f t="shared" ca="1" si="14"/>
        <v>West</v>
      </c>
      <c r="H115" s="48">
        <f t="shared" ca="1" si="17"/>
        <v>45896</v>
      </c>
      <c r="I115" s="24">
        <f t="shared" ca="1" si="18"/>
        <v>27</v>
      </c>
      <c r="J115" s="46" t="str">
        <f t="shared" ca="1" si="24"/>
        <v>August</v>
      </c>
      <c r="K115" s="24">
        <f t="shared" ca="1" si="19"/>
        <v>2025</v>
      </c>
      <c r="L115" s="24" t="str">
        <f t="shared" ca="1" si="20"/>
        <v>Bronze</v>
      </c>
      <c r="M115" s="24">
        <v>115</v>
      </c>
      <c r="N115" s="24" t="s">
        <v>831</v>
      </c>
      <c r="O115" s="24" t="s">
        <v>973</v>
      </c>
      <c r="P115" s="26">
        <v>17</v>
      </c>
      <c r="Q115" s="26">
        <v>20.23</v>
      </c>
      <c r="R115" s="24">
        <v>115</v>
      </c>
      <c r="S115" s="24" t="str">
        <f t="shared" si="21"/>
        <v>Jan</v>
      </c>
      <c r="T115" s="46">
        <v>45681</v>
      </c>
      <c r="U115" s="24">
        <v>5</v>
      </c>
      <c r="V115" s="37">
        <v>182</v>
      </c>
      <c r="W115" s="24">
        <v>88</v>
      </c>
      <c r="X115" s="24">
        <v>1</v>
      </c>
      <c r="Y115" s="26">
        <f>combined_tbl!$Q115*(1-combined_tbl!$Z115)</f>
        <v>20.23</v>
      </c>
      <c r="Z115" s="27">
        <f>IF(combined_tbl!$Q115&gt;=500,0.2, IF(combined_tbl!$Q115&gt;=200,0.05, IF(combined_tbl!$X115&gt;=2,0.05,0)))</f>
        <v>0</v>
      </c>
      <c r="AA115" s="26">
        <f>combined_tbl!$Y115*combined_tbl!$X115</f>
        <v>20.23</v>
      </c>
      <c r="AB115" s="28">
        <f>(combined_tbl!$Q115*(1+combined_tbl!$Z115)-combined_tbl!$P115)*combined_tbl!$X115</f>
        <v>3.2300000000000004</v>
      </c>
      <c r="AF115" t="str">
        <f t="shared" ca="1" si="25"/>
        <v>North</v>
      </c>
      <c r="AI115" s="24" t="str">
        <f t="shared" si="26"/>
        <v>Customer115</v>
      </c>
      <c r="AJ115" s="10">
        <f t="shared" ca="1" si="22"/>
        <v>44998</v>
      </c>
    </row>
    <row r="116" spans="1:36" x14ac:dyDescent="0.3">
      <c r="A116" s="29">
        <v>115</v>
      </c>
      <c r="B116" s="25" cm="1">
        <f t="array" aca="1" ref="B116" ca="1">MIN(IF($E:$E=E116,$H:$H))</f>
        <v>45345</v>
      </c>
      <c r="C116" s="25">
        <f t="shared" ca="1" si="16"/>
        <v>21</v>
      </c>
      <c r="D116" s="43">
        <f ca="1">COUNTIF(E:E,combined_tbl!$E116)</f>
        <v>4</v>
      </c>
      <c r="E116" s="29" t="str">
        <f t="shared" ca="1" si="23"/>
        <v>Customer032</v>
      </c>
      <c r="F116" s="29" t="str" cm="1">
        <f t="array" aca="1" ref="F116" ca="1">INDEX({"Male","Female"}, RANDBETWEEN(1,2))</f>
        <v>Male</v>
      </c>
      <c r="G116" s="29" t="str">
        <f t="shared" ca="1" si="14"/>
        <v>North</v>
      </c>
      <c r="H116" s="48">
        <f t="shared" ca="1" si="17"/>
        <v>45345</v>
      </c>
      <c r="I116" s="24">
        <f t="shared" ca="1" si="18"/>
        <v>23</v>
      </c>
      <c r="J116" s="46" t="str">
        <f t="shared" ca="1" si="24"/>
        <v>February</v>
      </c>
      <c r="K116" s="24">
        <f t="shared" ca="1" si="19"/>
        <v>2024</v>
      </c>
      <c r="L116" s="24" t="str">
        <f t="shared" ca="1" si="20"/>
        <v>Silver</v>
      </c>
      <c r="M116" s="29">
        <v>116</v>
      </c>
      <c r="N116" s="29" t="s">
        <v>1359</v>
      </c>
      <c r="O116" s="29" t="s">
        <v>974</v>
      </c>
      <c r="P116" s="30">
        <v>436</v>
      </c>
      <c r="Q116" s="30">
        <v>540.64</v>
      </c>
      <c r="R116" s="29">
        <v>116</v>
      </c>
      <c r="S116" s="24" t="str">
        <f t="shared" si="21"/>
        <v>Feb</v>
      </c>
      <c r="T116" s="47">
        <v>45707</v>
      </c>
      <c r="U116" s="29">
        <v>6</v>
      </c>
      <c r="V116" s="38">
        <v>193</v>
      </c>
      <c r="W116" s="29">
        <v>11</v>
      </c>
      <c r="X116" s="29">
        <v>1</v>
      </c>
      <c r="Y116" s="30">
        <f>combined_tbl!$Q116*(1-combined_tbl!$Z116)</f>
        <v>432.512</v>
      </c>
      <c r="Z116" s="31">
        <f>IF(combined_tbl!$Q116&gt;=500,0.2, IF(combined_tbl!$Q116&gt;=200,0.05, IF(combined_tbl!$X116&gt;=2,0.05,0)))</f>
        <v>0.2</v>
      </c>
      <c r="AA116" s="30">
        <f>combined_tbl!$Y116*combined_tbl!$X116</f>
        <v>432.512</v>
      </c>
      <c r="AB116" s="32">
        <f>(combined_tbl!$Q116*(1+combined_tbl!$Z116)-combined_tbl!$P116)*combined_tbl!$X116</f>
        <v>212.76799999999992</v>
      </c>
      <c r="AF116" t="str">
        <f t="shared" ca="1" si="25"/>
        <v>South</v>
      </c>
      <c r="AI116" s="24" t="str">
        <f t="shared" si="26"/>
        <v>Customer116</v>
      </c>
      <c r="AJ116" s="10">
        <f t="shared" ca="1" si="22"/>
        <v>45048</v>
      </c>
    </row>
    <row r="117" spans="1:36" x14ac:dyDescent="0.3">
      <c r="A117" s="29">
        <v>116</v>
      </c>
      <c r="B117" s="25" cm="1">
        <f t="array" aca="1" ref="B117" ca="1">MIN(IF($E:$E=E117,$H:$H))</f>
        <v>45205</v>
      </c>
      <c r="C117" s="25">
        <f t="shared" ca="1" si="16"/>
        <v>25</v>
      </c>
      <c r="D117" s="42">
        <f ca="1">COUNTIF(E:E,combined_tbl!$E117)</f>
        <v>5</v>
      </c>
      <c r="E117" s="24" t="str">
        <f t="shared" ca="1" si="23"/>
        <v>Customer051</v>
      </c>
      <c r="F117" s="24" t="str" cm="1">
        <f t="array" aca="1" ref="F117" ca="1">INDEX({"Male","Female"}, RANDBETWEEN(1,2))</f>
        <v>Male</v>
      </c>
      <c r="G117" s="29" t="str">
        <f t="shared" ca="1" si="14"/>
        <v>East</v>
      </c>
      <c r="H117" s="48">
        <f t="shared" ca="1" si="17"/>
        <v>45205</v>
      </c>
      <c r="I117" s="24">
        <f t="shared" ca="1" si="18"/>
        <v>6</v>
      </c>
      <c r="J117" s="46" t="str">
        <f t="shared" ca="1" si="24"/>
        <v>October</v>
      </c>
      <c r="K117" s="24">
        <f t="shared" ca="1" si="19"/>
        <v>2023</v>
      </c>
      <c r="L117" s="24" t="str">
        <f t="shared" ca="1" si="20"/>
        <v>Silver</v>
      </c>
      <c r="M117" s="24">
        <v>117</v>
      </c>
      <c r="N117" s="24" t="s">
        <v>954</v>
      </c>
      <c r="O117" s="24" t="s">
        <v>975</v>
      </c>
      <c r="P117" s="26">
        <v>345</v>
      </c>
      <c r="Q117" s="26">
        <v>420.9</v>
      </c>
      <c r="R117" s="24">
        <v>117</v>
      </c>
      <c r="S117" s="24" t="str">
        <f t="shared" si="21"/>
        <v>Aug</v>
      </c>
      <c r="T117" s="46">
        <v>45148</v>
      </c>
      <c r="U117" s="24">
        <v>4</v>
      </c>
      <c r="V117" s="37">
        <v>15</v>
      </c>
      <c r="W117" s="24">
        <v>52</v>
      </c>
      <c r="X117" s="24">
        <v>2</v>
      </c>
      <c r="Y117" s="26">
        <f>combined_tbl!$Q117*(1-combined_tbl!$Z117)</f>
        <v>399.85499999999996</v>
      </c>
      <c r="Z117" s="27">
        <f>IF(combined_tbl!$Q117&gt;=500,0.2, IF(combined_tbl!$Q117&gt;=200,0.05, IF(combined_tbl!$X117&gt;=2,0.05,0)))</f>
        <v>0.05</v>
      </c>
      <c r="AA117" s="26">
        <f>combined_tbl!$Y117*combined_tbl!$X117</f>
        <v>799.70999999999992</v>
      </c>
      <c r="AB117" s="28">
        <f>(combined_tbl!$Q117*(1+combined_tbl!$Z117)-combined_tbl!$P117)*combined_tbl!$X117</f>
        <v>193.89</v>
      </c>
      <c r="AF117" t="str">
        <f t="shared" ca="1" si="25"/>
        <v>East</v>
      </c>
      <c r="AI117" s="24" t="str">
        <f t="shared" si="26"/>
        <v>Customer117</v>
      </c>
      <c r="AJ117" s="10">
        <f t="shared" ca="1" si="22"/>
        <v>45987</v>
      </c>
    </row>
    <row r="118" spans="1:36" x14ac:dyDescent="0.3">
      <c r="A118" s="29">
        <v>117</v>
      </c>
      <c r="B118" s="25" cm="1">
        <f t="array" aca="1" ref="B118" ca="1">MIN(IF($E:$E=E118,$H:$H))</f>
        <v>45115</v>
      </c>
      <c r="C118" s="25">
        <f t="shared" ca="1" si="16"/>
        <v>28</v>
      </c>
      <c r="D118" s="43">
        <f ca="1">COUNTIF(E:E,combined_tbl!$E118)</f>
        <v>8</v>
      </c>
      <c r="E118" s="29" t="str">
        <f t="shared" ca="1" si="23"/>
        <v>Customer008</v>
      </c>
      <c r="F118" s="29" t="str" cm="1">
        <f t="array" aca="1" ref="F118" ca="1">INDEX({"Male","Female"}, RANDBETWEEN(1,2))</f>
        <v>Female</v>
      </c>
      <c r="G118" s="29" t="str">
        <f t="shared" ca="1" si="14"/>
        <v>West</v>
      </c>
      <c r="H118" s="48">
        <f t="shared" ca="1" si="17"/>
        <v>45115</v>
      </c>
      <c r="I118" s="24">
        <f t="shared" ca="1" si="18"/>
        <v>8</v>
      </c>
      <c r="J118" s="46" t="str">
        <f t="shared" ca="1" si="24"/>
        <v>July</v>
      </c>
      <c r="K118" s="24">
        <f t="shared" ca="1" si="19"/>
        <v>2023</v>
      </c>
      <c r="L118" s="24" t="str">
        <f t="shared" ca="1" si="20"/>
        <v>Gold</v>
      </c>
      <c r="M118" s="29">
        <v>118</v>
      </c>
      <c r="N118" s="29" t="s">
        <v>954</v>
      </c>
      <c r="O118" s="29" t="s">
        <v>976</v>
      </c>
      <c r="P118" s="30">
        <v>841</v>
      </c>
      <c r="Q118" s="30">
        <v>1160.58</v>
      </c>
      <c r="R118" s="29">
        <v>118</v>
      </c>
      <c r="S118" s="24" t="str">
        <f t="shared" si="21"/>
        <v>Aug</v>
      </c>
      <c r="T118" s="47">
        <v>45892</v>
      </c>
      <c r="U118" s="29">
        <v>1</v>
      </c>
      <c r="V118" s="38">
        <v>174</v>
      </c>
      <c r="W118" s="29">
        <v>13</v>
      </c>
      <c r="X118" s="29">
        <v>1</v>
      </c>
      <c r="Y118" s="30">
        <f>combined_tbl!$Q118*(1-combined_tbl!$Z118)</f>
        <v>928.46399999999994</v>
      </c>
      <c r="Z118" s="31">
        <f>IF(combined_tbl!$Q118&gt;=500,0.2, IF(combined_tbl!$Q118&gt;=200,0.05, IF(combined_tbl!$X118&gt;=2,0.05,0)))</f>
        <v>0.2</v>
      </c>
      <c r="AA118" s="30">
        <f>combined_tbl!$Y118*combined_tbl!$X118</f>
        <v>928.46399999999994</v>
      </c>
      <c r="AB118" s="32">
        <f>(combined_tbl!$Q118*(1+combined_tbl!$Z118)-combined_tbl!$P118)*combined_tbl!$X118</f>
        <v>551.69599999999991</v>
      </c>
      <c r="AF118" t="str">
        <f t="shared" ca="1" si="25"/>
        <v>West</v>
      </c>
      <c r="AI118" s="24" t="str">
        <f t="shared" si="26"/>
        <v>Customer118</v>
      </c>
      <c r="AJ118" s="10">
        <f t="shared" ca="1" si="22"/>
        <v>45995</v>
      </c>
    </row>
    <row r="119" spans="1:36" x14ac:dyDescent="0.3">
      <c r="A119" s="29">
        <v>118</v>
      </c>
      <c r="B119" s="25" cm="1">
        <f t="array" aca="1" ref="B119" ca="1">MIN(IF($E:$E=E119,$H:$H))</f>
        <v>45346</v>
      </c>
      <c r="C119" s="25">
        <f t="shared" ca="1" si="16"/>
        <v>21</v>
      </c>
      <c r="D119" s="42">
        <f ca="1">COUNTIF(E:E,combined_tbl!$E119)</f>
        <v>12</v>
      </c>
      <c r="E119" s="24" t="str">
        <f t="shared" ca="1" si="23"/>
        <v>Customer011</v>
      </c>
      <c r="F119" s="24" t="str" cm="1">
        <f t="array" aca="1" ref="F119" ca="1">INDEX({"Male","Female"}, RANDBETWEEN(1,2))</f>
        <v>Female</v>
      </c>
      <c r="G119" s="29" t="str">
        <f t="shared" ref="G119:G182" ca="1" si="27">_xlfn.XLOOKUP(E119,AI$1:AI$139,AF$2:AF$140)</f>
        <v>East</v>
      </c>
      <c r="H119" s="48">
        <f t="shared" ca="1" si="17"/>
        <v>45346</v>
      </c>
      <c r="I119" s="24">
        <f t="shared" ca="1" si="18"/>
        <v>24</v>
      </c>
      <c r="J119" s="46" t="str">
        <f t="shared" ca="1" si="24"/>
        <v>February</v>
      </c>
      <c r="K119" s="24">
        <f t="shared" ca="1" si="19"/>
        <v>2024</v>
      </c>
      <c r="L119" s="24" t="str">
        <f t="shared" ca="1" si="20"/>
        <v>Gold</v>
      </c>
      <c r="M119" s="24">
        <v>119</v>
      </c>
      <c r="N119" s="24" t="s">
        <v>872</v>
      </c>
      <c r="O119" s="24" t="s">
        <v>977</v>
      </c>
      <c r="P119" s="26">
        <v>12</v>
      </c>
      <c r="Q119" s="26">
        <v>14.64</v>
      </c>
      <c r="R119" s="24">
        <v>119</v>
      </c>
      <c r="S119" s="24" t="str">
        <f t="shared" si="21"/>
        <v>Nov</v>
      </c>
      <c r="T119" s="46">
        <v>45598</v>
      </c>
      <c r="U119" s="24">
        <v>4</v>
      </c>
      <c r="V119" s="37">
        <v>212</v>
      </c>
      <c r="W119" s="24">
        <v>38</v>
      </c>
      <c r="X119" s="24">
        <v>1</v>
      </c>
      <c r="Y119" s="26">
        <f>combined_tbl!$Q119*(1-combined_tbl!$Z119)</f>
        <v>14.64</v>
      </c>
      <c r="Z119" s="27">
        <f>IF(combined_tbl!$Q119&gt;=500,0.2, IF(combined_tbl!$Q119&gt;=200,0.05, IF(combined_tbl!$X119&gt;=2,0.05,0)))</f>
        <v>0</v>
      </c>
      <c r="AA119" s="26">
        <f>combined_tbl!$Y119*combined_tbl!$X119</f>
        <v>14.64</v>
      </c>
      <c r="AB119" s="28">
        <f>(combined_tbl!$Q119*(1+combined_tbl!$Z119)-combined_tbl!$P119)*combined_tbl!$X119</f>
        <v>2.6400000000000006</v>
      </c>
      <c r="AF119" t="str">
        <f t="shared" ca="1" si="25"/>
        <v>West</v>
      </c>
      <c r="AI119" s="24" t="str">
        <f t="shared" si="26"/>
        <v>Customer119</v>
      </c>
      <c r="AJ119" s="10">
        <f t="shared" ca="1" si="22"/>
        <v>45799</v>
      </c>
    </row>
    <row r="120" spans="1:36" x14ac:dyDescent="0.3">
      <c r="A120" s="29">
        <v>119</v>
      </c>
      <c r="B120" s="25" cm="1">
        <f t="array" aca="1" ref="B120" ca="1">MIN(IF($E:$E=E120,$H:$H))</f>
        <v>45743</v>
      </c>
      <c r="C120" s="25">
        <f t="shared" ca="1" si="16"/>
        <v>8</v>
      </c>
      <c r="D120" s="43">
        <f ca="1">COUNTIF(E:E,combined_tbl!$E120)</f>
        <v>5</v>
      </c>
      <c r="E120" s="29" t="str">
        <f t="shared" ca="1" si="23"/>
        <v>Customer031</v>
      </c>
      <c r="F120" s="29" t="str" cm="1">
        <f t="array" aca="1" ref="F120" ca="1">INDEX({"Male","Female"}, RANDBETWEEN(1,2))</f>
        <v>Female</v>
      </c>
      <c r="G120" s="29" t="str">
        <f t="shared" ca="1" si="27"/>
        <v>South</v>
      </c>
      <c r="H120" s="48">
        <f t="shared" ca="1" si="17"/>
        <v>45743</v>
      </c>
      <c r="I120" s="24">
        <f t="shared" ca="1" si="18"/>
        <v>27</v>
      </c>
      <c r="J120" s="46" t="str">
        <f t="shared" ca="1" si="24"/>
        <v>March</v>
      </c>
      <c r="K120" s="24">
        <f t="shared" ca="1" si="19"/>
        <v>2025</v>
      </c>
      <c r="L120" s="24" t="str">
        <f t="shared" ca="1" si="20"/>
        <v>Bronze</v>
      </c>
      <c r="M120" s="29">
        <v>120</v>
      </c>
      <c r="N120" s="29" t="s">
        <v>1359</v>
      </c>
      <c r="O120" s="29" t="s">
        <v>978</v>
      </c>
      <c r="P120" s="30">
        <v>302</v>
      </c>
      <c r="Q120" s="30">
        <v>386.56</v>
      </c>
      <c r="R120" s="29">
        <v>120</v>
      </c>
      <c r="S120" s="24" t="str">
        <f t="shared" si="21"/>
        <v>May</v>
      </c>
      <c r="T120" s="47">
        <v>45056</v>
      </c>
      <c r="U120" s="29">
        <v>8</v>
      </c>
      <c r="V120" s="38">
        <v>94</v>
      </c>
      <c r="W120" s="29">
        <v>59</v>
      </c>
      <c r="X120" s="29">
        <v>1</v>
      </c>
      <c r="Y120" s="30">
        <f>combined_tbl!$Q120*(1-combined_tbl!$Z120)</f>
        <v>367.23199999999997</v>
      </c>
      <c r="Z120" s="31">
        <f>IF(combined_tbl!$Q120&gt;=500,0.2, IF(combined_tbl!$Q120&gt;=200,0.05, IF(combined_tbl!$X120&gt;=2,0.05,0)))</f>
        <v>0.05</v>
      </c>
      <c r="AA120" s="30">
        <f>combined_tbl!$Y120*combined_tbl!$X120</f>
        <v>367.23199999999997</v>
      </c>
      <c r="AB120" s="32">
        <f>(combined_tbl!$Q120*(1+combined_tbl!$Z120)-combined_tbl!$P120)*combined_tbl!$X120</f>
        <v>103.88800000000003</v>
      </c>
      <c r="AF120" t="str">
        <f t="shared" ca="1" si="25"/>
        <v>East</v>
      </c>
      <c r="AI120" s="24" t="str">
        <f t="shared" si="26"/>
        <v>Customer120</v>
      </c>
      <c r="AJ120" s="10">
        <f t="shared" ca="1" si="22"/>
        <v>45587</v>
      </c>
    </row>
    <row r="121" spans="1:36" x14ac:dyDescent="0.3">
      <c r="A121" s="29">
        <v>120</v>
      </c>
      <c r="B121" s="25" cm="1">
        <f t="array" aca="1" ref="B121" ca="1">MIN(IF($E:$E=E121,$H:$H))</f>
        <v>45761</v>
      </c>
      <c r="C121" s="25">
        <f t="shared" ca="1" si="16"/>
        <v>7</v>
      </c>
      <c r="D121" s="42">
        <f ca="1">COUNTIF(E:E,combined_tbl!$E121)</f>
        <v>7</v>
      </c>
      <c r="E121" s="24" t="str">
        <f t="shared" ca="1" si="23"/>
        <v>Customer009</v>
      </c>
      <c r="F121" s="24" t="str" cm="1">
        <f t="array" aca="1" ref="F121" ca="1">INDEX({"Male","Female"}, RANDBETWEEN(1,2))</f>
        <v>Female</v>
      </c>
      <c r="G121" s="29" t="str">
        <f t="shared" ca="1" si="27"/>
        <v>East</v>
      </c>
      <c r="H121" s="48">
        <f t="shared" ca="1" si="17"/>
        <v>45761</v>
      </c>
      <c r="I121" s="24">
        <f t="shared" ca="1" si="18"/>
        <v>14</v>
      </c>
      <c r="J121" s="46" t="str">
        <f t="shared" ca="1" si="24"/>
        <v>April</v>
      </c>
      <c r="K121" s="24">
        <f t="shared" ca="1" si="19"/>
        <v>2025</v>
      </c>
      <c r="L121" s="24" t="str">
        <f t="shared" ca="1" si="20"/>
        <v>Bronze</v>
      </c>
      <c r="M121" s="24">
        <v>121</v>
      </c>
      <c r="N121" s="24" t="s">
        <v>872</v>
      </c>
      <c r="O121" s="24" t="s">
        <v>979</v>
      </c>
      <c r="P121" s="26">
        <v>82</v>
      </c>
      <c r="Q121" s="26">
        <v>109.06</v>
      </c>
      <c r="R121" s="24">
        <v>121</v>
      </c>
      <c r="S121" s="24" t="str">
        <f t="shared" si="21"/>
        <v>Sep</v>
      </c>
      <c r="T121" s="46">
        <v>45545</v>
      </c>
      <c r="U121" s="24">
        <v>7</v>
      </c>
      <c r="V121" s="37">
        <v>164</v>
      </c>
      <c r="W121" s="24">
        <v>77</v>
      </c>
      <c r="X121" s="24">
        <v>1</v>
      </c>
      <c r="Y121" s="26">
        <f>combined_tbl!$Q121*(1-combined_tbl!$Z121)</f>
        <v>109.06</v>
      </c>
      <c r="Z121" s="27">
        <f>IF(combined_tbl!$Q121&gt;=500,0.2, IF(combined_tbl!$Q121&gt;=200,0.05, IF(combined_tbl!$X121&gt;=2,0.05,0)))</f>
        <v>0</v>
      </c>
      <c r="AA121" s="26">
        <f>combined_tbl!$Y121*combined_tbl!$X121</f>
        <v>109.06</v>
      </c>
      <c r="AB121" s="28">
        <f>(combined_tbl!$Q121*(1+combined_tbl!$Z121)-combined_tbl!$P121)*combined_tbl!$X121</f>
        <v>27.060000000000002</v>
      </c>
      <c r="AF121" t="str">
        <f t="shared" ca="1" si="25"/>
        <v>North</v>
      </c>
      <c r="AI121" s="24" t="str">
        <f t="shared" si="26"/>
        <v>Customer121</v>
      </c>
      <c r="AJ121" s="10">
        <f t="shared" ca="1" si="22"/>
        <v>45077</v>
      </c>
    </row>
    <row r="122" spans="1:36" x14ac:dyDescent="0.3">
      <c r="A122" s="19">
        <v>121</v>
      </c>
      <c r="B122" s="25" cm="1">
        <f t="array" aca="1" ref="B122" ca="1">MIN(IF($E:$E=E122,$H:$H))</f>
        <v>45260</v>
      </c>
      <c r="C122" s="25">
        <f t="shared" ca="1" si="16"/>
        <v>24</v>
      </c>
      <c r="D122" s="43">
        <f ca="1">COUNTIF(E:E,combined_tbl!$E122)</f>
        <v>13</v>
      </c>
      <c r="E122" s="29" t="str">
        <f t="shared" ca="1" si="23"/>
        <v>Customer001</v>
      </c>
      <c r="F122" s="29" t="str" cm="1">
        <f t="array" aca="1" ref="F122" ca="1">INDEX({"Male","Female"}, RANDBETWEEN(1,2))</f>
        <v>Male</v>
      </c>
      <c r="G122" s="29" t="str">
        <f t="shared" ca="1" si="27"/>
        <v>South</v>
      </c>
      <c r="H122" s="48">
        <f t="shared" ca="1" si="17"/>
        <v>45260</v>
      </c>
      <c r="I122" s="24">
        <f t="shared" ca="1" si="18"/>
        <v>30</v>
      </c>
      <c r="J122" s="46" t="str">
        <f t="shared" ca="1" si="24"/>
        <v>November</v>
      </c>
      <c r="K122" s="24">
        <f t="shared" ca="1" si="19"/>
        <v>2023</v>
      </c>
      <c r="L122" s="24" t="str">
        <f t="shared" ca="1" si="20"/>
        <v>Platinum</v>
      </c>
      <c r="M122" s="29">
        <v>122</v>
      </c>
      <c r="N122" s="29" t="s">
        <v>1359</v>
      </c>
      <c r="O122" s="29" t="s">
        <v>980</v>
      </c>
      <c r="P122" s="30">
        <v>657</v>
      </c>
      <c r="Q122" s="30">
        <v>978.93</v>
      </c>
      <c r="R122" s="29">
        <v>122</v>
      </c>
      <c r="S122" s="24" t="str">
        <f t="shared" si="21"/>
        <v>Aug</v>
      </c>
      <c r="T122" s="47">
        <v>45165</v>
      </c>
      <c r="U122" s="29">
        <v>3</v>
      </c>
      <c r="V122" s="38">
        <v>140</v>
      </c>
      <c r="W122" s="29">
        <v>71</v>
      </c>
      <c r="X122" s="29">
        <v>1</v>
      </c>
      <c r="Y122" s="30">
        <f>combined_tbl!$Q122*(1-combined_tbl!$Z122)</f>
        <v>783.14400000000001</v>
      </c>
      <c r="Z122" s="31">
        <f>IF(combined_tbl!$Q122&gt;=500,0.2, IF(combined_tbl!$Q122&gt;=200,0.05, IF(combined_tbl!$X122&gt;=2,0.05,0)))</f>
        <v>0.2</v>
      </c>
      <c r="AA122" s="30">
        <f>combined_tbl!$Y122*combined_tbl!$X122</f>
        <v>783.14400000000001</v>
      </c>
      <c r="AB122" s="32">
        <f>(combined_tbl!$Q122*(1+combined_tbl!$Z122)-combined_tbl!$P122)*combined_tbl!$X122</f>
        <v>517.71599999999989</v>
      </c>
      <c r="AF122" t="str">
        <f t="shared" ca="1" si="25"/>
        <v>West</v>
      </c>
      <c r="AI122" s="24" t="str">
        <f t="shared" si="26"/>
        <v>Customer122</v>
      </c>
      <c r="AJ122" s="10">
        <f t="shared" ca="1" si="22"/>
        <v>45955</v>
      </c>
    </row>
    <row r="123" spans="1:36" x14ac:dyDescent="0.3">
      <c r="A123" s="24">
        <v>122</v>
      </c>
      <c r="B123" s="25" cm="1">
        <f t="array" aca="1" ref="B123" ca="1">MIN(IF($E:$E=E123,$H:$H))</f>
        <v>45487</v>
      </c>
      <c r="C123" s="25">
        <f t="shared" ca="1" si="16"/>
        <v>16</v>
      </c>
      <c r="D123" s="42">
        <f ca="1">COUNTIF(E:E,combined_tbl!$E123)</f>
        <v>2</v>
      </c>
      <c r="E123" s="24" t="str">
        <f t="shared" ca="1" si="23"/>
        <v>Customer078</v>
      </c>
      <c r="F123" s="24" t="str" cm="1">
        <f t="array" aca="1" ref="F123" ca="1">INDEX({"Male","Female"}, RANDBETWEEN(1,2))</f>
        <v>Female</v>
      </c>
      <c r="G123" s="29" t="str">
        <f t="shared" ca="1" si="27"/>
        <v>North</v>
      </c>
      <c r="H123" s="48">
        <f t="shared" ca="1" si="17"/>
        <v>45487</v>
      </c>
      <c r="I123" s="24">
        <f t="shared" ca="1" si="18"/>
        <v>14</v>
      </c>
      <c r="J123" s="46" t="str">
        <f t="shared" ca="1" si="24"/>
        <v>July</v>
      </c>
      <c r="K123" s="24">
        <f t="shared" ca="1" si="19"/>
        <v>2024</v>
      </c>
      <c r="L123" s="24" t="str">
        <f t="shared" ca="1" si="20"/>
        <v>Bronze</v>
      </c>
      <c r="M123" s="24">
        <v>123</v>
      </c>
      <c r="N123" s="24" t="s">
        <v>954</v>
      </c>
      <c r="O123" s="24" t="s">
        <v>981</v>
      </c>
      <c r="P123" s="26">
        <v>379</v>
      </c>
      <c r="Q123" s="26">
        <v>481.33</v>
      </c>
      <c r="R123" s="24">
        <v>123</v>
      </c>
      <c r="S123" s="24" t="str">
        <f t="shared" si="21"/>
        <v>Apr</v>
      </c>
      <c r="T123" s="46">
        <v>45019</v>
      </c>
      <c r="U123" s="24">
        <v>1</v>
      </c>
      <c r="V123" s="37">
        <v>157</v>
      </c>
      <c r="W123" s="24">
        <v>68</v>
      </c>
      <c r="X123" s="24">
        <v>1</v>
      </c>
      <c r="Y123" s="26">
        <f>combined_tbl!$Q123*(1-combined_tbl!$Z123)</f>
        <v>457.26349999999996</v>
      </c>
      <c r="Z123" s="27">
        <f>IF(combined_tbl!$Q123&gt;=500,0.2, IF(combined_tbl!$Q123&gt;=200,0.05, IF(combined_tbl!$X123&gt;=2,0.05,0)))</f>
        <v>0.05</v>
      </c>
      <c r="AA123" s="26">
        <f>combined_tbl!$Y123*combined_tbl!$X123</f>
        <v>457.26349999999996</v>
      </c>
      <c r="AB123" s="28">
        <f>(combined_tbl!$Q123*(1+combined_tbl!$Z123)-combined_tbl!$P123)*combined_tbl!$X123</f>
        <v>126.3965</v>
      </c>
      <c r="AF123" t="str">
        <f t="shared" ca="1" si="25"/>
        <v>North</v>
      </c>
      <c r="AI123" s="24" t="str">
        <f t="shared" si="26"/>
        <v>Customer123</v>
      </c>
      <c r="AJ123" s="10">
        <f t="shared" ca="1" si="22"/>
        <v>45488</v>
      </c>
    </row>
    <row r="124" spans="1:36" x14ac:dyDescent="0.3">
      <c r="A124" s="29">
        <v>123</v>
      </c>
      <c r="B124" s="25" cm="1">
        <f t="array" aca="1" ref="B124" ca="1">MIN(IF($E:$E=E124,$H:$H))</f>
        <v>45014</v>
      </c>
      <c r="C124" s="25">
        <f t="shared" ca="1" si="16"/>
        <v>32</v>
      </c>
      <c r="D124" s="43">
        <f ca="1">COUNTIF(E:E,combined_tbl!$E124)</f>
        <v>10</v>
      </c>
      <c r="E124" s="29" t="str">
        <f t="shared" ca="1" si="23"/>
        <v>Customer022</v>
      </c>
      <c r="F124" s="29" t="str" cm="1">
        <f t="array" aca="1" ref="F124" ca="1">INDEX({"Male","Female"}, RANDBETWEEN(1,2))</f>
        <v>Male</v>
      </c>
      <c r="G124" s="29" t="str">
        <f t="shared" ca="1" si="27"/>
        <v>South</v>
      </c>
      <c r="H124" s="48">
        <f t="shared" ca="1" si="17"/>
        <v>45014</v>
      </c>
      <c r="I124" s="24">
        <f t="shared" ca="1" si="18"/>
        <v>29</v>
      </c>
      <c r="J124" s="46" t="str">
        <f t="shared" ca="1" si="24"/>
        <v>March</v>
      </c>
      <c r="K124" s="24">
        <f t="shared" ca="1" si="19"/>
        <v>2023</v>
      </c>
      <c r="L124" s="24" t="str">
        <f t="shared" ca="1" si="20"/>
        <v>Platinum</v>
      </c>
      <c r="M124" s="29">
        <v>124</v>
      </c>
      <c r="N124" s="29" t="s">
        <v>954</v>
      </c>
      <c r="O124" s="29" t="s">
        <v>982</v>
      </c>
      <c r="P124" s="30">
        <v>387</v>
      </c>
      <c r="Q124" s="30">
        <v>429.57000000000005</v>
      </c>
      <c r="R124" s="29">
        <v>124</v>
      </c>
      <c r="S124" s="24" t="str">
        <f t="shared" si="21"/>
        <v>Sep</v>
      </c>
      <c r="T124" s="47">
        <v>45550</v>
      </c>
      <c r="U124" s="29">
        <v>8</v>
      </c>
      <c r="V124" s="38">
        <v>144</v>
      </c>
      <c r="W124" s="29">
        <v>79</v>
      </c>
      <c r="X124" s="29">
        <v>2</v>
      </c>
      <c r="Y124" s="30">
        <f>combined_tbl!$Q124*(1-combined_tbl!$Z124)</f>
        <v>408.09150000000005</v>
      </c>
      <c r="Z124" s="31">
        <f>IF(combined_tbl!$Q124&gt;=500,0.2, IF(combined_tbl!$Q124&gt;=200,0.05, IF(combined_tbl!$X124&gt;=2,0.05,0)))</f>
        <v>0.05</v>
      </c>
      <c r="AA124" s="30">
        <f>combined_tbl!$Y124*combined_tbl!$X124</f>
        <v>816.18300000000011</v>
      </c>
      <c r="AB124" s="32">
        <f>(combined_tbl!$Q124*(1+combined_tbl!$Z124)-combined_tbl!$P124)*combined_tbl!$X124</f>
        <v>128.09700000000009</v>
      </c>
      <c r="AF124" t="str">
        <f t="shared" ca="1" si="25"/>
        <v>South</v>
      </c>
      <c r="AI124" s="24" t="str">
        <f t="shared" si="26"/>
        <v>Customer124</v>
      </c>
      <c r="AJ124" s="10">
        <f t="shared" ca="1" si="22"/>
        <v>45812</v>
      </c>
    </row>
    <row r="125" spans="1:36" x14ac:dyDescent="0.3">
      <c r="A125" s="29">
        <v>124</v>
      </c>
      <c r="B125" s="25" cm="1">
        <f t="array" aca="1" ref="B125" ca="1">MIN(IF($E:$E=E125,$H:$H))</f>
        <v>45115</v>
      </c>
      <c r="C125" s="25">
        <f t="shared" ca="1" si="16"/>
        <v>28</v>
      </c>
      <c r="D125" s="42">
        <f ca="1">COUNTIF(E:E,combined_tbl!$E125)</f>
        <v>8</v>
      </c>
      <c r="E125" s="24" t="str">
        <f t="shared" ca="1" si="23"/>
        <v>Customer008</v>
      </c>
      <c r="F125" s="24" t="str" cm="1">
        <f t="array" aca="1" ref="F125" ca="1">INDEX({"Male","Female"}, RANDBETWEEN(1,2))</f>
        <v>Female</v>
      </c>
      <c r="G125" s="29" t="str">
        <f t="shared" ca="1" si="27"/>
        <v>West</v>
      </c>
      <c r="H125" s="48">
        <f t="shared" ca="1" si="17"/>
        <v>45115</v>
      </c>
      <c r="I125" s="24">
        <f t="shared" ca="1" si="18"/>
        <v>8</v>
      </c>
      <c r="J125" s="46" t="str">
        <f t="shared" ca="1" si="24"/>
        <v>July</v>
      </c>
      <c r="K125" s="24">
        <f t="shared" ca="1" si="19"/>
        <v>2023</v>
      </c>
      <c r="L125" s="24" t="str">
        <f t="shared" ca="1" si="20"/>
        <v>Gold</v>
      </c>
      <c r="M125" s="24">
        <v>125</v>
      </c>
      <c r="N125" s="24" t="s">
        <v>957</v>
      </c>
      <c r="O125" s="24" t="s">
        <v>983</v>
      </c>
      <c r="P125" s="26">
        <v>122</v>
      </c>
      <c r="Q125" s="26">
        <v>163.48000000000002</v>
      </c>
      <c r="R125" s="24">
        <v>125</v>
      </c>
      <c r="S125" s="24" t="str">
        <f t="shared" si="21"/>
        <v>Aug</v>
      </c>
      <c r="T125" s="46">
        <v>45164</v>
      </c>
      <c r="U125" s="24">
        <v>2</v>
      </c>
      <c r="V125" s="37">
        <v>118</v>
      </c>
      <c r="W125" s="24">
        <v>47</v>
      </c>
      <c r="X125" s="24">
        <v>2</v>
      </c>
      <c r="Y125" s="26">
        <f>combined_tbl!$Q125*(1-combined_tbl!$Z125)</f>
        <v>155.30600000000001</v>
      </c>
      <c r="Z125" s="27">
        <f>IF(combined_tbl!$Q125&gt;=500,0.2, IF(combined_tbl!$Q125&gt;=200,0.05, IF(combined_tbl!$X125&gt;=2,0.05,0)))</f>
        <v>0.05</v>
      </c>
      <c r="AA125" s="26">
        <f>combined_tbl!$Y125*combined_tbl!$X125</f>
        <v>310.61200000000002</v>
      </c>
      <c r="AB125" s="28">
        <f>(combined_tbl!$Q125*(1+combined_tbl!$Z125)-combined_tbl!$P125)*combined_tbl!$X125</f>
        <v>99.30800000000005</v>
      </c>
      <c r="AF125" t="str">
        <f t="shared" ca="1" si="25"/>
        <v>East</v>
      </c>
      <c r="AI125" s="24" t="str">
        <f t="shared" si="26"/>
        <v>Customer125</v>
      </c>
      <c r="AJ125" s="10">
        <f t="shared" ca="1" si="22"/>
        <v>45368</v>
      </c>
    </row>
    <row r="126" spans="1:36" x14ac:dyDescent="0.3">
      <c r="A126" s="29">
        <v>125</v>
      </c>
      <c r="B126" s="25" cm="1">
        <f t="array" aca="1" ref="B126" ca="1">MIN(IF($E:$E=E126,$H:$H))</f>
        <v>45948</v>
      </c>
      <c r="C126" s="25">
        <f t="shared" ca="1" si="16"/>
        <v>1</v>
      </c>
      <c r="D126" s="43">
        <f ca="1">COUNTIF(E:E,combined_tbl!$E126)</f>
        <v>2</v>
      </c>
      <c r="E126" s="29" t="str">
        <f t="shared" ca="1" si="23"/>
        <v>Customer092</v>
      </c>
      <c r="F126" s="29" t="str" cm="1">
        <f t="array" aca="1" ref="F126" ca="1">INDEX({"Male","Female"}, RANDBETWEEN(1,2))</f>
        <v>Male</v>
      </c>
      <c r="G126" s="29" t="str">
        <f t="shared" ca="1" si="27"/>
        <v>East</v>
      </c>
      <c r="H126" s="48">
        <f t="shared" ca="1" si="17"/>
        <v>45948</v>
      </c>
      <c r="I126" s="24">
        <f t="shared" ca="1" si="18"/>
        <v>18</v>
      </c>
      <c r="J126" s="46" t="str">
        <f t="shared" ca="1" si="24"/>
        <v>October</v>
      </c>
      <c r="K126" s="24">
        <f t="shared" ca="1" si="19"/>
        <v>2025</v>
      </c>
      <c r="L126" s="24" t="str">
        <f t="shared" ca="1" si="20"/>
        <v>Bronze</v>
      </c>
      <c r="M126" s="29">
        <v>126</v>
      </c>
      <c r="N126" s="29" t="s">
        <v>954</v>
      </c>
      <c r="O126" s="29" t="s">
        <v>984</v>
      </c>
      <c r="P126" s="30">
        <v>204</v>
      </c>
      <c r="Q126" s="30">
        <v>252.96</v>
      </c>
      <c r="R126" s="29">
        <v>126</v>
      </c>
      <c r="S126" s="24" t="str">
        <f t="shared" si="21"/>
        <v>Apr</v>
      </c>
      <c r="T126" s="47">
        <v>45407</v>
      </c>
      <c r="U126" s="29">
        <v>3</v>
      </c>
      <c r="V126" s="38">
        <v>92</v>
      </c>
      <c r="W126" s="29">
        <v>41</v>
      </c>
      <c r="X126" s="29">
        <v>1</v>
      </c>
      <c r="Y126" s="30">
        <f>combined_tbl!$Q126*(1-combined_tbl!$Z126)</f>
        <v>240.31199999999998</v>
      </c>
      <c r="Z126" s="31">
        <f>IF(combined_tbl!$Q126&gt;=500,0.2, IF(combined_tbl!$Q126&gt;=200,0.05, IF(combined_tbl!$X126&gt;=2,0.05,0)))</f>
        <v>0.05</v>
      </c>
      <c r="AA126" s="30">
        <f>combined_tbl!$Y126*combined_tbl!$X126</f>
        <v>240.31199999999998</v>
      </c>
      <c r="AB126" s="32">
        <f>(combined_tbl!$Q126*(1+combined_tbl!$Z126)-combined_tbl!$P126)*combined_tbl!$X126</f>
        <v>61.608000000000004</v>
      </c>
      <c r="AF126" t="str">
        <f t="shared" ca="1" si="25"/>
        <v>East</v>
      </c>
      <c r="AI126" s="24" t="str">
        <f t="shared" si="26"/>
        <v>Customer126</v>
      </c>
      <c r="AJ126" s="10">
        <f t="shared" ca="1" si="22"/>
        <v>45610</v>
      </c>
    </row>
    <row r="127" spans="1:36" x14ac:dyDescent="0.3">
      <c r="A127" s="29">
        <v>126</v>
      </c>
      <c r="B127" s="25" cm="1">
        <f t="array" aca="1" ref="B127" ca="1">MIN(IF($E:$E=E127,$H:$H))</f>
        <v>45761</v>
      </c>
      <c r="C127" s="25">
        <f t="shared" ca="1" si="16"/>
        <v>7</v>
      </c>
      <c r="D127" s="42">
        <f ca="1">COUNTIF(E:E,combined_tbl!$E127)</f>
        <v>7</v>
      </c>
      <c r="E127" s="24" t="str">
        <f t="shared" ca="1" si="23"/>
        <v>Customer009</v>
      </c>
      <c r="F127" s="24" t="str" cm="1">
        <f t="array" aca="1" ref="F127" ca="1">INDEX({"Male","Female"}, RANDBETWEEN(1,2))</f>
        <v>Male</v>
      </c>
      <c r="G127" s="29" t="str">
        <f t="shared" ca="1" si="27"/>
        <v>East</v>
      </c>
      <c r="H127" s="48">
        <f t="shared" ca="1" si="17"/>
        <v>45761</v>
      </c>
      <c r="I127" s="24">
        <f t="shared" ca="1" si="18"/>
        <v>14</v>
      </c>
      <c r="J127" s="46" t="str">
        <f t="shared" ca="1" si="24"/>
        <v>April</v>
      </c>
      <c r="K127" s="24">
        <f t="shared" ca="1" si="19"/>
        <v>2025</v>
      </c>
      <c r="L127" s="24" t="str">
        <f t="shared" ca="1" si="20"/>
        <v>Bronze</v>
      </c>
      <c r="M127" s="24">
        <v>127</v>
      </c>
      <c r="N127" s="24" t="s">
        <v>955</v>
      </c>
      <c r="O127" s="24" t="s">
        <v>985</v>
      </c>
      <c r="P127" s="26">
        <v>540</v>
      </c>
      <c r="Q127" s="26">
        <v>648</v>
      </c>
      <c r="R127" s="24">
        <v>127</v>
      </c>
      <c r="S127" s="24" t="str">
        <f t="shared" si="21"/>
        <v>Mar</v>
      </c>
      <c r="T127" s="46">
        <v>45722</v>
      </c>
      <c r="U127" s="24">
        <v>8</v>
      </c>
      <c r="V127" s="37">
        <v>108</v>
      </c>
      <c r="W127" s="24">
        <v>50</v>
      </c>
      <c r="X127" s="24">
        <v>2</v>
      </c>
      <c r="Y127" s="26">
        <f>combined_tbl!$Q127*(1-combined_tbl!$Z127)</f>
        <v>518.4</v>
      </c>
      <c r="Z127" s="27">
        <f>IF(combined_tbl!$Q127&gt;=500,0.2, IF(combined_tbl!$Q127&gt;=200,0.05, IF(combined_tbl!$X127&gt;=2,0.05,0)))</f>
        <v>0.2</v>
      </c>
      <c r="AA127" s="26">
        <f>combined_tbl!$Y127*combined_tbl!$X127</f>
        <v>1036.8</v>
      </c>
      <c r="AB127" s="28">
        <f>(combined_tbl!$Q127*(1+combined_tbl!$Z127)-combined_tbl!$P127)*combined_tbl!$X127</f>
        <v>475.20000000000005</v>
      </c>
      <c r="AF127" t="str">
        <f t="shared" ca="1" si="25"/>
        <v>East</v>
      </c>
      <c r="AI127" s="24" t="str">
        <f t="shared" si="26"/>
        <v>Customer127</v>
      </c>
      <c r="AJ127" s="10">
        <f t="shared" ca="1" si="22"/>
        <v>45101</v>
      </c>
    </row>
    <row r="128" spans="1:36" x14ac:dyDescent="0.3">
      <c r="A128" s="29">
        <v>127</v>
      </c>
      <c r="B128" s="25" cm="1">
        <f t="array" aca="1" ref="B128" ca="1">MIN(IF($E:$E=E128,$H:$H))</f>
        <v>45103</v>
      </c>
      <c r="C128" s="25">
        <f t="shared" ca="1" si="16"/>
        <v>29</v>
      </c>
      <c r="D128" s="43">
        <f ca="1">COUNTIF(E:E,combined_tbl!$E128)</f>
        <v>8</v>
      </c>
      <c r="E128" s="29" t="str">
        <f t="shared" ca="1" si="23"/>
        <v>Customer014</v>
      </c>
      <c r="F128" s="29" t="str" cm="1">
        <f t="array" aca="1" ref="F128" ca="1">INDEX({"Male","Female"}, RANDBETWEEN(1,2))</f>
        <v>Female</v>
      </c>
      <c r="G128" s="29" t="str">
        <f t="shared" ca="1" si="27"/>
        <v>West</v>
      </c>
      <c r="H128" s="48">
        <f t="shared" ca="1" si="17"/>
        <v>45103</v>
      </c>
      <c r="I128" s="24">
        <f t="shared" ca="1" si="18"/>
        <v>26</v>
      </c>
      <c r="J128" s="46" t="str">
        <f t="shared" ca="1" si="24"/>
        <v>June</v>
      </c>
      <c r="K128" s="24">
        <f t="shared" ca="1" si="19"/>
        <v>2023</v>
      </c>
      <c r="L128" s="24" t="str">
        <f t="shared" ca="1" si="20"/>
        <v>Gold</v>
      </c>
      <c r="M128" s="29">
        <v>128</v>
      </c>
      <c r="N128" s="29" t="s">
        <v>831</v>
      </c>
      <c r="O128" s="29" t="s">
        <v>986</v>
      </c>
      <c r="P128" s="30">
        <v>272</v>
      </c>
      <c r="Q128" s="30">
        <v>388.96</v>
      </c>
      <c r="R128" s="29">
        <v>128</v>
      </c>
      <c r="S128" s="24" t="str">
        <f t="shared" si="21"/>
        <v>Jan</v>
      </c>
      <c r="T128" s="47">
        <v>45686</v>
      </c>
      <c r="U128" s="29">
        <v>7</v>
      </c>
      <c r="V128" s="38">
        <v>86</v>
      </c>
      <c r="W128" s="29">
        <v>29</v>
      </c>
      <c r="X128" s="29">
        <v>1</v>
      </c>
      <c r="Y128" s="30">
        <f>combined_tbl!$Q128*(1-combined_tbl!$Z128)</f>
        <v>369.51199999999994</v>
      </c>
      <c r="Z128" s="31">
        <f>IF(combined_tbl!$Q128&gt;=500,0.2, IF(combined_tbl!$Q128&gt;=200,0.05, IF(combined_tbl!$X128&gt;=2,0.05,0)))</f>
        <v>0.05</v>
      </c>
      <c r="AA128" s="30">
        <f>combined_tbl!$Y128*combined_tbl!$X128</f>
        <v>369.51199999999994</v>
      </c>
      <c r="AB128" s="32">
        <f>(combined_tbl!$Q128*(1+combined_tbl!$Z128)-combined_tbl!$P128)*combined_tbl!$X128</f>
        <v>136.40800000000002</v>
      </c>
      <c r="AF128" t="str">
        <f t="shared" ca="1" si="25"/>
        <v>South</v>
      </c>
      <c r="AI128" s="24" t="str">
        <f t="shared" si="26"/>
        <v>Customer128</v>
      </c>
      <c r="AJ128" s="10">
        <f t="shared" ca="1" si="22"/>
        <v>45002</v>
      </c>
    </row>
    <row r="129" spans="1:36" x14ac:dyDescent="0.3">
      <c r="A129" s="29">
        <v>128</v>
      </c>
      <c r="B129" s="25" cm="1">
        <f t="array" aca="1" ref="B129" ca="1">MIN(IF($E:$E=E129,$H:$H))</f>
        <v>45991</v>
      </c>
      <c r="C129" s="25">
        <f t="shared" ca="1" si="16"/>
        <v>0</v>
      </c>
      <c r="D129" s="42">
        <f ca="1">COUNTIF(E:E,combined_tbl!$E129)</f>
        <v>9</v>
      </c>
      <c r="E129" s="24" t="str">
        <f t="shared" ca="1" si="23"/>
        <v>Customer029</v>
      </c>
      <c r="F129" s="24" t="str" cm="1">
        <f t="array" aca="1" ref="F129" ca="1">INDEX({"Male","Female"}, RANDBETWEEN(1,2))</f>
        <v>Male</v>
      </c>
      <c r="G129" s="29" t="str">
        <f t="shared" ca="1" si="27"/>
        <v>East</v>
      </c>
      <c r="H129" s="48">
        <f t="shared" ca="1" si="17"/>
        <v>45991</v>
      </c>
      <c r="I129" s="24">
        <f t="shared" ca="1" si="18"/>
        <v>30</v>
      </c>
      <c r="J129" s="46" t="str">
        <f t="shared" ca="1" si="24"/>
        <v>November</v>
      </c>
      <c r="K129" s="24">
        <f t="shared" ca="1" si="19"/>
        <v>2025</v>
      </c>
      <c r="L129" s="24" t="str">
        <f t="shared" ca="1" si="20"/>
        <v>Bronze</v>
      </c>
      <c r="M129" s="24">
        <v>129</v>
      </c>
      <c r="N129" s="24" t="s">
        <v>872</v>
      </c>
      <c r="O129" s="24" t="s">
        <v>987</v>
      </c>
      <c r="P129" s="26">
        <v>39</v>
      </c>
      <c r="Q129" s="26">
        <v>56.55</v>
      </c>
      <c r="R129" s="24">
        <v>129</v>
      </c>
      <c r="S129" s="24" t="str">
        <f t="shared" si="21"/>
        <v>Nov</v>
      </c>
      <c r="T129" s="46">
        <v>45243</v>
      </c>
      <c r="U129" s="24">
        <v>7</v>
      </c>
      <c r="V129" s="37">
        <v>40</v>
      </c>
      <c r="W129" s="24">
        <v>12</v>
      </c>
      <c r="X129" s="24">
        <v>1</v>
      </c>
      <c r="Y129" s="26">
        <f>combined_tbl!$Q129*(1-combined_tbl!$Z129)</f>
        <v>56.55</v>
      </c>
      <c r="Z129" s="27">
        <f>IF(combined_tbl!$Q129&gt;=500,0.2, IF(combined_tbl!$Q129&gt;=200,0.05, IF(combined_tbl!$X129&gt;=2,0.05,0)))</f>
        <v>0</v>
      </c>
      <c r="AA129" s="26">
        <f>combined_tbl!$Y129*combined_tbl!$X129</f>
        <v>56.55</v>
      </c>
      <c r="AB129" s="28">
        <f>(combined_tbl!$Q129*(1+combined_tbl!$Z129)-combined_tbl!$P129)*combined_tbl!$X129</f>
        <v>17.549999999999997</v>
      </c>
      <c r="AF129" t="str">
        <f t="shared" ca="1" si="25"/>
        <v>East</v>
      </c>
      <c r="AI129" s="24" t="str">
        <f t="shared" ref="AI129:AI139" si="28">"Customer"&amp;TEXT(ROW(A129),"000")</f>
        <v>Customer129</v>
      </c>
      <c r="AJ129" s="10">
        <f t="shared" ca="1" si="22"/>
        <v>45605</v>
      </c>
    </row>
    <row r="130" spans="1:36" x14ac:dyDescent="0.3">
      <c r="A130" s="19">
        <v>129</v>
      </c>
      <c r="B130" s="25" cm="1">
        <f t="array" aca="1" ref="B130" ca="1">MIN(IF($E:$E=E130,$H:$H))</f>
        <v>45495</v>
      </c>
      <c r="C130" s="25">
        <f t="shared" ref="C130:C193" ca="1" si="29">DATEDIF(B130,MAX($H:$H),"m")</f>
        <v>16</v>
      </c>
      <c r="D130" s="43">
        <f ca="1">COUNTIF(E:E,combined_tbl!$E130)</f>
        <v>8</v>
      </c>
      <c r="E130" s="29" t="str">
        <f t="shared" ca="1" si="23"/>
        <v>Customer003</v>
      </c>
      <c r="F130" s="29" t="str" cm="1">
        <f t="array" aca="1" ref="F130" ca="1">INDEX({"Male","Female"}, RANDBETWEEN(1,2))</f>
        <v>Female</v>
      </c>
      <c r="G130" s="29" t="str">
        <f t="shared" ca="1" si="27"/>
        <v>East</v>
      </c>
      <c r="H130" s="48">
        <f t="shared" ref="H130:H193" ca="1" si="30">_xlfn.XLOOKUP(E130,AI$1:AI$139,AJ$1:AJ$139)</f>
        <v>45495</v>
      </c>
      <c r="I130" s="24">
        <f t="shared" ref="I130:I193" ca="1" si="31">DAY(H130)</f>
        <v>22</v>
      </c>
      <c r="J130" s="46" t="str">
        <f t="shared" ca="1" si="24"/>
        <v>July</v>
      </c>
      <c r="K130" s="24">
        <f t="shared" ref="K130:K193" ca="1" si="32">YEAR(H130)</f>
        <v>2024</v>
      </c>
      <c r="L130" s="24" t="str">
        <f t="shared" ref="L130:L193" ca="1" si="33">IF(AND(D130&gt;=10,C130&gt;=24),"Platinum",IF(AND(D130&gt;=7,C130&gt;=18),"Gold",IF(AND(D130&gt;=3,C130&gt;=12),"Silver","Bronze")))</f>
        <v>Silver</v>
      </c>
      <c r="M130" s="29">
        <v>130</v>
      </c>
      <c r="N130" s="29" t="s">
        <v>847</v>
      </c>
      <c r="O130" s="29" t="s">
        <v>988</v>
      </c>
      <c r="P130" s="30">
        <v>61</v>
      </c>
      <c r="Q130" s="30">
        <v>81.740000000000009</v>
      </c>
      <c r="R130" s="29">
        <v>130</v>
      </c>
      <c r="S130" s="24" t="str">
        <f t="shared" ref="S130:S193" si="34">TEXT(T130,"MMM")</f>
        <v>Jul</v>
      </c>
      <c r="T130" s="47">
        <v>45129</v>
      </c>
      <c r="U130" s="29">
        <v>8</v>
      </c>
      <c r="V130" s="38">
        <v>3</v>
      </c>
      <c r="W130" s="29">
        <v>41</v>
      </c>
      <c r="X130" s="29">
        <v>1</v>
      </c>
      <c r="Y130" s="30">
        <f>combined_tbl!$Q130*(1-combined_tbl!$Z130)</f>
        <v>81.740000000000009</v>
      </c>
      <c r="Z130" s="31">
        <f>IF(combined_tbl!$Q130&gt;=500,0.2, IF(combined_tbl!$Q130&gt;=200,0.05, IF(combined_tbl!$X130&gt;=2,0.05,0)))</f>
        <v>0</v>
      </c>
      <c r="AA130" s="30">
        <f>combined_tbl!$Y130*combined_tbl!$X130</f>
        <v>81.740000000000009</v>
      </c>
      <c r="AB130" s="32">
        <f>(combined_tbl!$Q130*(1+combined_tbl!$Z130)-combined_tbl!$P130)*combined_tbl!$X130</f>
        <v>20.740000000000009</v>
      </c>
      <c r="AF130" t="str">
        <f t="shared" ca="1" si="25"/>
        <v>West</v>
      </c>
      <c r="AI130" s="24" t="str">
        <f t="shared" si="28"/>
        <v>Customer130</v>
      </c>
      <c r="AJ130" s="10">
        <f t="shared" ref="AJ130:AJ139" ca="1" si="35">DATE(2023,1,1)+RANDBETWEEN(0,1095)</f>
        <v>45129</v>
      </c>
    </row>
    <row r="131" spans="1:36" x14ac:dyDescent="0.3">
      <c r="A131" s="24">
        <v>130</v>
      </c>
      <c r="B131" s="25" cm="1">
        <f t="array" aca="1" ref="B131" ca="1">MIN(IF($E:$E=E131,$H:$H))</f>
        <v>45582</v>
      </c>
      <c r="C131" s="25">
        <f t="shared" ca="1" si="29"/>
        <v>13</v>
      </c>
      <c r="D131" s="42">
        <f ca="1">COUNTIF(E:E,combined_tbl!$E131)</f>
        <v>11</v>
      </c>
      <c r="E131" s="24" t="str">
        <f t="shared" ref="E131:E194" ca="1" si="36">IF(RAND()&lt;=0.5,
   "Customer"&amp;TEXT(RANDBETWEEN(1,30),"000"),
IF(RAND()&lt;=0.8,
   "Customer"&amp;TEXT(RANDBETWEEN(31,80),"000"),
   "Customer"&amp;TEXT(RANDBETWEEN(81,139),"000")))</f>
        <v>Customer002</v>
      </c>
      <c r="F131" s="24" t="str" cm="1">
        <f t="array" aca="1" ref="F131" ca="1">INDEX({"Male","Female"}, RANDBETWEEN(1,2))</f>
        <v>Female</v>
      </c>
      <c r="G131" s="29" t="str">
        <f t="shared" ca="1" si="27"/>
        <v>East</v>
      </c>
      <c r="H131" s="48">
        <f t="shared" ca="1" si="30"/>
        <v>45582</v>
      </c>
      <c r="I131" s="24">
        <f t="shared" ca="1" si="31"/>
        <v>17</v>
      </c>
      <c r="J131" s="46" t="str">
        <f t="shared" ref="J131:J194" ca="1" si="37">TEXT(H131,"mmmm")</f>
        <v>October</v>
      </c>
      <c r="K131" s="24">
        <f t="shared" ca="1" si="32"/>
        <v>2024</v>
      </c>
      <c r="L131" s="24" t="str">
        <f t="shared" ca="1" si="33"/>
        <v>Silver</v>
      </c>
      <c r="M131" s="24">
        <v>131</v>
      </c>
      <c r="N131" s="24" t="s">
        <v>872</v>
      </c>
      <c r="O131" s="24" t="s">
        <v>989</v>
      </c>
      <c r="P131" s="26">
        <v>49</v>
      </c>
      <c r="Q131" s="26">
        <v>70.069999999999993</v>
      </c>
      <c r="R131" s="24">
        <v>131</v>
      </c>
      <c r="S131" s="24" t="str">
        <f t="shared" si="34"/>
        <v>Apr</v>
      </c>
      <c r="T131" s="46">
        <v>45762</v>
      </c>
      <c r="U131" s="24">
        <v>5</v>
      </c>
      <c r="V131" s="37">
        <v>120</v>
      </c>
      <c r="W131" s="24">
        <v>44</v>
      </c>
      <c r="X131" s="24">
        <v>2</v>
      </c>
      <c r="Y131" s="26">
        <f>combined_tbl!$Q131*(1-combined_tbl!$Z131)</f>
        <v>66.566499999999991</v>
      </c>
      <c r="Z131" s="27">
        <f>IF(combined_tbl!$Q131&gt;=500,0.2, IF(combined_tbl!$Q131&gt;=200,0.05, IF(combined_tbl!$X131&gt;=2,0.05,0)))</f>
        <v>0.05</v>
      </c>
      <c r="AA131" s="26">
        <f>combined_tbl!$Y131*combined_tbl!$X131</f>
        <v>133.13299999999998</v>
      </c>
      <c r="AB131" s="28">
        <f>(combined_tbl!$Q131*(1+combined_tbl!$Z131)-combined_tbl!$P131)*combined_tbl!$X131</f>
        <v>49.146999999999991</v>
      </c>
      <c r="AF131" t="str">
        <f t="shared" ref="AF131:AF139" ca="1" si="38">CHOOSE(RANDBETWEEN(1,4),"West","East","North","South")</f>
        <v>East</v>
      </c>
      <c r="AI131" s="24" t="str">
        <f t="shared" si="28"/>
        <v>Customer131</v>
      </c>
      <c r="AJ131" s="10">
        <f t="shared" ca="1" si="35"/>
        <v>45549</v>
      </c>
    </row>
    <row r="132" spans="1:36" x14ac:dyDescent="0.3">
      <c r="A132" s="29">
        <v>131</v>
      </c>
      <c r="B132" s="25" cm="1">
        <f t="array" aca="1" ref="B132" ca="1">MIN(IF($E:$E=E132,$H:$H))</f>
        <v>45853</v>
      </c>
      <c r="C132" s="25">
        <f t="shared" ca="1" si="29"/>
        <v>4</v>
      </c>
      <c r="D132" s="43">
        <f ca="1">COUNTIF(E:E,combined_tbl!$E132)</f>
        <v>5</v>
      </c>
      <c r="E132" s="29" t="str">
        <f t="shared" ca="1" si="36"/>
        <v>Customer033</v>
      </c>
      <c r="F132" s="29" t="str" cm="1">
        <f t="array" aca="1" ref="F132" ca="1">INDEX({"Male","Female"}, RANDBETWEEN(1,2))</f>
        <v>Female</v>
      </c>
      <c r="G132" s="29" t="str">
        <f t="shared" ca="1" si="27"/>
        <v>West</v>
      </c>
      <c r="H132" s="48">
        <f t="shared" ca="1" si="30"/>
        <v>45853</v>
      </c>
      <c r="I132" s="24">
        <f t="shared" ca="1" si="31"/>
        <v>15</v>
      </c>
      <c r="J132" s="46" t="str">
        <f t="shared" ca="1" si="37"/>
        <v>July</v>
      </c>
      <c r="K132" s="24">
        <f t="shared" ca="1" si="32"/>
        <v>2025</v>
      </c>
      <c r="L132" s="24" t="str">
        <f t="shared" ca="1" si="33"/>
        <v>Bronze</v>
      </c>
      <c r="M132" s="29">
        <v>132</v>
      </c>
      <c r="N132" s="29" t="s">
        <v>957</v>
      </c>
      <c r="O132" s="29" t="s">
        <v>990</v>
      </c>
      <c r="P132" s="30">
        <v>84</v>
      </c>
      <c r="Q132" s="30">
        <v>112.56</v>
      </c>
      <c r="R132" s="29">
        <v>132</v>
      </c>
      <c r="S132" s="24" t="str">
        <f t="shared" si="34"/>
        <v>Mar</v>
      </c>
      <c r="T132" s="47">
        <v>44994</v>
      </c>
      <c r="U132" s="29">
        <v>6</v>
      </c>
      <c r="V132" s="38">
        <v>146</v>
      </c>
      <c r="W132" s="29">
        <v>37</v>
      </c>
      <c r="X132" s="29">
        <v>1</v>
      </c>
      <c r="Y132" s="30">
        <f>combined_tbl!$Q132*(1-combined_tbl!$Z132)</f>
        <v>112.56</v>
      </c>
      <c r="Z132" s="31">
        <f>IF(combined_tbl!$Q132&gt;=500,0.2, IF(combined_tbl!$Q132&gt;=200,0.05, IF(combined_tbl!$X132&gt;=2,0.05,0)))</f>
        <v>0</v>
      </c>
      <c r="AA132" s="30">
        <f>combined_tbl!$Y132*combined_tbl!$X132</f>
        <v>112.56</v>
      </c>
      <c r="AB132" s="32">
        <f>(combined_tbl!$Q132*(1+combined_tbl!$Z132)-combined_tbl!$P132)*combined_tbl!$X132</f>
        <v>28.560000000000002</v>
      </c>
      <c r="AF132" t="str">
        <f t="shared" ca="1" si="38"/>
        <v>South</v>
      </c>
      <c r="AI132" s="24" t="str">
        <f t="shared" si="28"/>
        <v>Customer132</v>
      </c>
      <c r="AJ132" s="10">
        <f t="shared" ca="1" si="35"/>
        <v>45329</v>
      </c>
    </row>
    <row r="133" spans="1:36" x14ac:dyDescent="0.3">
      <c r="A133" s="29">
        <v>132</v>
      </c>
      <c r="B133" s="25" cm="1">
        <f t="array" aca="1" ref="B133" ca="1">MIN(IF($E:$E=E133,$H:$H))</f>
        <v>45100</v>
      </c>
      <c r="C133" s="25">
        <f t="shared" ca="1" si="29"/>
        <v>29</v>
      </c>
      <c r="D133" s="42">
        <f ca="1">COUNTIF(E:E,combined_tbl!$E133)</f>
        <v>1</v>
      </c>
      <c r="E133" s="24" t="str">
        <f t="shared" ca="1" si="36"/>
        <v>Customer072</v>
      </c>
      <c r="F133" s="24" t="str" cm="1">
        <f t="array" aca="1" ref="F133" ca="1">INDEX({"Male","Female"}, RANDBETWEEN(1,2))</f>
        <v>Male</v>
      </c>
      <c r="G133" s="29" t="str">
        <f t="shared" ca="1" si="27"/>
        <v>West</v>
      </c>
      <c r="H133" s="48">
        <f t="shared" ca="1" si="30"/>
        <v>45100</v>
      </c>
      <c r="I133" s="24">
        <f t="shared" ca="1" si="31"/>
        <v>23</v>
      </c>
      <c r="J133" s="46" t="str">
        <f t="shared" ca="1" si="37"/>
        <v>June</v>
      </c>
      <c r="K133" s="24">
        <f t="shared" ca="1" si="32"/>
        <v>2023</v>
      </c>
      <c r="L133" s="24" t="str">
        <f t="shared" ca="1" si="33"/>
        <v>Bronze</v>
      </c>
      <c r="M133" s="24">
        <v>133</v>
      </c>
      <c r="N133" s="24" t="s">
        <v>957</v>
      </c>
      <c r="O133" s="24" t="s">
        <v>991</v>
      </c>
      <c r="P133" s="26">
        <v>180</v>
      </c>
      <c r="Q133" s="26">
        <v>206.99999999999997</v>
      </c>
      <c r="R133" s="24">
        <v>133</v>
      </c>
      <c r="S133" s="24" t="str">
        <f t="shared" si="34"/>
        <v>Mar</v>
      </c>
      <c r="T133" s="46">
        <v>45371</v>
      </c>
      <c r="U133" s="24">
        <v>8</v>
      </c>
      <c r="V133" s="37">
        <v>97</v>
      </c>
      <c r="W133" s="24">
        <v>84</v>
      </c>
      <c r="X133" s="24">
        <v>2</v>
      </c>
      <c r="Y133" s="26">
        <f>combined_tbl!$Q133*(1-combined_tbl!$Z133)</f>
        <v>196.64999999999998</v>
      </c>
      <c r="Z133" s="27">
        <f>IF(combined_tbl!$Q133&gt;=500,0.2, IF(combined_tbl!$Q133&gt;=200,0.05, IF(combined_tbl!$X133&gt;=2,0.05,0)))</f>
        <v>0.05</v>
      </c>
      <c r="AA133" s="26">
        <f>combined_tbl!$Y133*combined_tbl!$X133</f>
        <v>393.29999999999995</v>
      </c>
      <c r="AB133" s="28">
        <f>(combined_tbl!$Q133*(1+combined_tbl!$Z133)-combined_tbl!$P133)*combined_tbl!$X133</f>
        <v>74.699999999999932</v>
      </c>
      <c r="AF133" t="str">
        <f t="shared" ca="1" si="38"/>
        <v>South</v>
      </c>
      <c r="AI133" s="24" t="str">
        <f t="shared" si="28"/>
        <v>Customer133</v>
      </c>
      <c r="AJ133" s="10">
        <f t="shared" ca="1" si="35"/>
        <v>45806</v>
      </c>
    </row>
    <row r="134" spans="1:36" x14ac:dyDescent="0.3">
      <c r="A134" s="29">
        <v>133</v>
      </c>
      <c r="B134" s="25" cm="1">
        <f t="array" aca="1" ref="B134" ca="1">MIN(IF($E:$E=E134,$H:$H))</f>
        <v>45853</v>
      </c>
      <c r="C134" s="25">
        <f t="shared" ca="1" si="29"/>
        <v>4</v>
      </c>
      <c r="D134" s="43">
        <f ca="1">COUNTIF(E:E,combined_tbl!$E134)</f>
        <v>5</v>
      </c>
      <c r="E134" s="29" t="str">
        <f t="shared" ca="1" si="36"/>
        <v>Customer033</v>
      </c>
      <c r="F134" s="29" t="str" cm="1">
        <f t="array" aca="1" ref="F134" ca="1">INDEX({"Male","Female"}, RANDBETWEEN(1,2))</f>
        <v>Female</v>
      </c>
      <c r="G134" s="29" t="str">
        <f t="shared" ca="1" si="27"/>
        <v>West</v>
      </c>
      <c r="H134" s="48">
        <f t="shared" ca="1" si="30"/>
        <v>45853</v>
      </c>
      <c r="I134" s="24">
        <f t="shared" ca="1" si="31"/>
        <v>15</v>
      </c>
      <c r="J134" s="46" t="str">
        <f t="shared" ca="1" si="37"/>
        <v>July</v>
      </c>
      <c r="K134" s="24">
        <f t="shared" ca="1" si="32"/>
        <v>2025</v>
      </c>
      <c r="L134" s="24" t="str">
        <f t="shared" ca="1" si="33"/>
        <v>Bronze</v>
      </c>
      <c r="M134" s="29">
        <v>134</v>
      </c>
      <c r="N134" s="29" t="s">
        <v>847</v>
      </c>
      <c r="O134" s="29" t="s">
        <v>992</v>
      </c>
      <c r="P134" s="30">
        <v>80</v>
      </c>
      <c r="Q134" s="30">
        <v>108.79999999999998</v>
      </c>
      <c r="R134" s="29">
        <v>134</v>
      </c>
      <c r="S134" s="24" t="str">
        <f t="shared" si="34"/>
        <v>Jun</v>
      </c>
      <c r="T134" s="47">
        <v>45837</v>
      </c>
      <c r="U134" s="29">
        <v>4</v>
      </c>
      <c r="V134" s="38">
        <v>154</v>
      </c>
      <c r="W134" s="29">
        <v>81</v>
      </c>
      <c r="X134" s="29">
        <v>1</v>
      </c>
      <c r="Y134" s="30">
        <f>combined_tbl!$Q134*(1-combined_tbl!$Z134)</f>
        <v>108.79999999999998</v>
      </c>
      <c r="Z134" s="31">
        <f>IF(combined_tbl!$Q134&gt;=500,0.2, IF(combined_tbl!$Q134&gt;=200,0.05, IF(combined_tbl!$X134&gt;=2,0.05,0)))</f>
        <v>0</v>
      </c>
      <c r="AA134" s="30">
        <f>combined_tbl!$Y134*combined_tbl!$X134</f>
        <v>108.79999999999998</v>
      </c>
      <c r="AB134" s="32">
        <f>(combined_tbl!$Q134*(1+combined_tbl!$Z134)-combined_tbl!$P134)*combined_tbl!$X134</f>
        <v>28.799999999999983</v>
      </c>
      <c r="AF134" t="str">
        <f t="shared" ca="1" si="38"/>
        <v>North</v>
      </c>
      <c r="AI134" s="24" t="str">
        <f t="shared" si="28"/>
        <v>Customer134</v>
      </c>
      <c r="AJ134" s="10">
        <f t="shared" ca="1" si="35"/>
        <v>45299</v>
      </c>
    </row>
    <row r="135" spans="1:36" x14ac:dyDescent="0.3">
      <c r="A135" s="29">
        <v>134</v>
      </c>
      <c r="B135" s="25" cm="1">
        <f t="array" aca="1" ref="B135" ca="1">MIN(IF($E:$E=E135,$H:$H))</f>
        <v>45637</v>
      </c>
      <c r="C135" s="25">
        <f t="shared" ca="1" si="29"/>
        <v>11</v>
      </c>
      <c r="D135" s="42">
        <f ca="1">COUNTIF(E:E,combined_tbl!$E135)</f>
        <v>4</v>
      </c>
      <c r="E135" s="24" t="str">
        <f t="shared" ca="1" si="36"/>
        <v>Customer059</v>
      </c>
      <c r="F135" s="24" t="str" cm="1">
        <f t="array" aca="1" ref="F135" ca="1">INDEX({"Male","Female"}, RANDBETWEEN(1,2))</f>
        <v>Male</v>
      </c>
      <c r="G135" s="29" t="str">
        <f t="shared" ca="1" si="27"/>
        <v>East</v>
      </c>
      <c r="H135" s="48">
        <f t="shared" ca="1" si="30"/>
        <v>45637</v>
      </c>
      <c r="I135" s="24">
        <f t="shared" ca="1" si="31"/>
        <v>11</v>
      </c>
      <c r="J135" s="46" t="str">
        <f t="shared" ca="1" si="37"/>
        <v>December</v>
      </c>
      <c r="K135" s="24">
        <f t="shared" ca="1" si="32"/>
        <v>2024</v>
      </c>
      <c r="L135" s="24" t="str">
        <f t="shared" ca="1" si="33"/>
        <v>Bronze</v>
      </c>
      <c r="M135" s="24">
        <v>135</v>
      </c>
      <c r="N135" s="24" t="s">
        <v>955</v>
      </c>
      <c r="O135" s="24" t="s">
        <v>993</v>
      </c>
      <c r="P135" s="26">
        <v>304</v>
      </c>
      <c r="Q135" s="26">
        <v>428.64</v>
      </c>
      <c r="R135" s="24">
        <v>135</v>
      </c>
      <c r="S135" s="24" t="str">
        <f t="shared" si="34"/>
        <v>Jan</v>
      </c>
      <c r="T135" s="46">
        <v>45669</v>
      </c>
      <c r="U135" s="24">
        <v>2</v>
      </c>
      <c r="V135" s="37">
        <v>190</v>
      </c>
      <c r="W135" s="24">
        <v>20</v>
      </c>
      <c r="X135" s="24">
        <v>1</v>
      </c>
      <c r="Y135" s="26">
        <f>combined_tbl!$Q135*(1-combined_tbl!$Z135)</f>
        <v>407.20799999999997</v>
      </c>
      <c r="Z135" s="27">
        <f>IF(combined_tbl!$Q135&gt;=500,0.2, IF(combined_tbl!$Q135&gt;=200,0.05, IF(combined_tbl!$X135&gt;=2,0.05,0)))</f>
        <v>0.05</v>
      </c>
      <c r="AA135" s="26">
        <f>combined_tbl!$Y135*combined_tbl!$X135</f>
        <v>407.20799999999997</v>
      </c>
      <c r="AB135" s="28">
        <f>(combined_tbl!$Q135*(1+combined_tbl!$Z135)-combined_tbl!$P135)*combined_tbl!$X135</f>
        <v>146.072</v>
      </c>
      <c r="AF135" t="str">
        <f t="shared" ca="1" si="38"/>
        <v>East</v>
      </c>
      <c r="AI135" s="24" t="str">
        <f t="shared" si="28"/>
        <v>Customer135</v>
      </c>
      <c r="AJ135" s="10">
        <f t="shared" ca="1" si="35"/>
        <v>45203</v>
      </c>
    </row>
    <row r="136" spans="1:36" x14ac:dyDescent="0.3">
      <c r="A136" s="29">
        <v>135</v>
      </c>
      <c r="B136" s="25" cm="1">
        <f t="array" aca="1" ref="B136" ca="1">MIN(IF($E:$E=E136,$H:$H))</f>
        <v>45826</v>
      </c>
      <c r="C136" s="25">
        <f t="shared" ca="1" si="29"/>
        <v>5</v>
      </c>
      <c r="D136" s="43">
        <f ca="1">COUNTIF(E:E,combined_tbl!$E136)</f>
        <v>7</v>
      </c>
      <c r="E136" s="29" t="str">
        <f t="shared" ca="1" si="36"/>
        <v>Customer049</v>
      </c>
      <c r="F136" s="29" t="str" cm="1">
        <f t="array" aca="1" ref="F136" ca="1">INDEX({"Male","Female"}, RANDBETWEEN(1,2))</f>
        <v>Male</v>
      </c>
      <c r="G136" s="29" t="str">
        <f t="shared" ca="1" si="27"/>
        <v>West</v>
      </c>
      <c r="H136" s="48">
        <f t="shared" ca="1" si="30"/>
        <v>45826</v>
      </c>
      <c r="I136" s="24">
        <f t="shared" ca="1" si="31"/>
        <v>18</v>
      </c>
      <c r="J136" s="46" t="str">
        <f t="shared" ca="1" si="37"/>
        <v>June</v>
      </c>
      <c r="K136" s="24">
        <f t="shared" ca="1" si="32"/>
        <v>2025</v>
      </c>
      <c r="L136" s="24" t="str">
        <f t="shared" ca="1" si="33"/>
        <v>Bronze</v>
      </c>
      <c r="M136" s="29">
        <v>136</v>
      </c>
      <c r="N136" s="29" t="s">
        <v>957</v>
      </c>
      <c r="O136" s="29" t="s">
        <v>994</v>
      </c>
      <c r="P136" s="30">
        <v>82</v>
      </c>
      <c r="Q136" s="30">
        <v>95.11999999999999</v>
      </c>
      <c r="R136" s="29">
        <v>136</v>
      </c>
      <c r="S136" s="24" t="str">
        <f t="shared" si="34"/>
        <v>Jan</v>
      </c>
      <c r="T136" s="47">
        <v>45679</v>
      </c>
      <c r="U136" s="29">
        <v>6</v>
      </c>
      <c r="V136" s="38">
        <v>182</v>
      </c>
      <c r="W136" s="29">
        <v>28</v>
      </c>
      <c r="X136" s="29">
        <v>1</v>
      </c>
      <c r="Y136" s="30">
        <f>combined_tbl!$Q136*(1-combined_tbl!$Z136)</f>
        <v>95.11999999999999</v>
      </c>
      <c r="Z136" s="31">
        <f>IF(combined_tbl!$Q136&gt;=500,0.2, IF(combined_tbl!$Q136&gt;=200,0.05, IF(combined_tbl!$X136&gt;=2,0.05,0)))</f>
        <v>0</v>
      </c>
      <c r="AA136" s="30">
        <f>combined_tbl!$Y136*combined_tbl!$X136</f>
        <v>95.11999999999999</v>
      </c>
      <c r="AB136" s="32">
        <f>(combined_tbl!$Q136*(1+combined_tbl!$Z136)-combined_tbl!$P136)*combined_tbl!$X136</f>
        <v>13.11999999999999</v>
      </c>
      <c r="AF136" t="str">
        <f t="shared" ca="1" si="38"/>
        <v>North</v>
      </c>
      <c r="AI136" s="24" t="str">
        <f t="shared" si="28"/>
        <v>Customer136</v>
      </c>
      <c r="AJ136" s="10">
        <f t="shared" ca="1" si="35"/>
        <v>45438</v>
      </c>
    </row>
    <row r="137" spans="1:36" x14ac:dyDescent="0.3">
      <c r="A137" s="29">
        <v>136</v>
      </c>
      <c r="B137" s="25" cm="1">
        <f t="array" aca="1" ref="B137" ca="1">MIN(IF($E:$E=E137,$H:$H))</f>
        <v>45101</v>
      </c>
      <c r="C137" s="25">
        <f t="shared" ca="1" si="29"/>
        <v>29</v>
      </c>
      <c r="D137" s="42">
        <f ca="1">COUNTIF(E:E,combined_tbl!$E137)</f>
        <v>2</v>
      </c>
      <c r="E137" s="24" t="str">
        <f t="shared" ca="1" si="36"/>
        <v>Customer127</v>
      </c>
      <c r="F137" s="24" t="str" cm="1">
        <f t="array" aca="1" ref="F137" ca="1">INDEX({"Male","Female"}, RANDBETWEEN(1,2))</f>
        <v>Female</v>
      </c>
      <c r="G137" s="29" t="str">
        <f t="shared" ca="1" si="27"/>
        <v>South</v>
      </c>
      <c r="H137" s="48">
        <f t="shared" ca="1" si="30"/>
        <v>45101</v>
      </c>
      <c r="I137" s="24">
        <f t="shared" ca="1" si="31"/>
        <v>24</v>
      </c>
      <c r="J137" s="46" t="str">
        <f t="shared" ca="1" si="37"/>
        <v>June</v>
      </c>
      <c r="K137" s="24">
        <f t="shared" ca="1" si="32"/>
        <v>2023</v>
      </c>
      <c r="L137" s="24" t="str">
        <f t="shared" ca="1" si="33"/>
        <v>Bronze</v>
      </c>
      <c r="M137" s="24">
        <v>137</v>
      </c>
      <c r="N137" s="24" t="s">
        <v>851</v>
      </c>
      <c r="O137" s="24" t="s">
        <v>995</v>
      </c>
      <c r="P137" s="26">
        <v>47</v>
      </c>
      <c r="Q137" s="26">
        <v>53.109999999999992</v>
      </c>
      <c r="R137" s="24">
        <v>137</v>
      </c>
      <c r="S137" s="24" t="str">
        <f t="shared" si="34"/>
        <v>May</v>
      </c>
      <c r="T137" s="46">
        <v>45051</v>
      </c>
      <c r="U137" s="24">
        <v>7</v>
      </c>
      <c r="V137" s="37">
        <v>18</v>
      </c>
      <c r="W137" s="24">
        <v>45</v>
      </c>
      <c r="X137" s="24">
        <v>4</v>
      </c>
      <c r="Y137" s="26">
        <f>combined_tbl!$Q137*(1-combined_tbl!$Z137)</f>
        <v>50.454499999999989</v>
      </c>
      <c r="Z137" s="27">
        <f>IF(combined_tbl!$Q137&gt;=500,0.2, IF(combined_tbl!$Q137&gt;=200,0.05, IF(combined_tbl!$X137&gt;=2,0.05,0)))</f>
        <v>0.05</v>
      </c>
      <c r="AA137" s="26">
        <f>combined_tbl!$Y137*combined_tbl!$X137</f>
        <v>201.81799999999996</v>
      </c>
      <c r="AB137" s="28">
        <f>(combined_tbl!$Q137*(1+combined_tbl!$Z137)-combined_tbl!$P137)*combined_tbl!$X137</f>
        <v>35.061999999999983</v>
      </c>
      <c r="AF137" t="str">
        <f t="shared" ca="1" si="38"/>
        <v>South</v>
      </c>
      <c r="AI137" s="24" t="str">
        <f t="shared" si="28"/>
        <v>Customer137</v>
      </c>
      <c r="AJ137" s="10">
        <f t="shared" ca="1" si="35"/>
        <v>45660</v>
      </c>
    </row>
    <row r="138" spans="1:36" x14ac:dyDescent="0.3">
      <c r="A138" s="19">
        <v>137</v>
      </c>
      <c r="B138" s="25" cm="1">
        <f t="array" aca="1" ref="B138" ca="1">MIN(IF($E:$E=E138,$H:$H))</f>
        <v>44992</v>
      </c>
      <c r="C138" s="25">
        <f t="shared" ca="1" si="29"/>
        <v>32</v>
      </c>
      <c r="D138" s="43">
        <f ca="1">COUNTIF(E:E,combined_tbl!$E138)</f>
        <v>8</v>
      </c>
      <c r="E138" s="29" t="str">
        <f t="shared" ca="1" si="36"/>
        <v>Customer020</v>
      </c>
      <c r="F138" s="29" t="str" cm="1">
        <f t="array" aca="1" ref="F138" ca="1">INDEX({"Male","Female"}, RANDBETWEEN(1,2))</f>
        <v>Male</v>
      </c>
      <c r="G138" s="29" t="str">
        <f t="shared" ca="1" si="27"/>
        <v>South</v>
      </c>
      <c r="H138" s="48">
        <f t="shared" ca="1" si="30"/>
        <v>44992</v>
      </c>
      <c r="I138" s="24">
        <f t="shared" ca="1" si="31"/>
        <v>7</v>
      </c>
      <c r="J138" s="46" t="str">
        <f t="shared" ca="1" si="37"/>
        <v>March</v>
      </c>
      <c r="K138" s="24">
        <f t="shared" ca="1" si="32"/>
        <v>2023</v>
      </c>
      <c r="L138" s="24" t="str">
        <f t="shared" ca="1" si="33"/>
        <v>Gold</v>
      </c>
      <c r="M138" s="29">
        <v>138</v>
      </c>
      <c r="N138" s="29" t="s">
        <v>837</v>
      </c>
      <c r="O138" s="29" t="s">
        <v>996</v>
      </c>
      <c r="P138" s="30">
        <v>106</v>
      </c>
      <c r="Q138" s="30">
        <v>132.5</v>
      </c>
      <c r="R138" s="29">
        <v>138</v>
      </c>
      <c r="S138" s="24" t="str">
        <f t="shared" si="34"/>
        <v>Jul</v>
      </c>
      <c r="T138" s="47">
        <v>45492</v>
      </c>
      <c r="U138" s="29">
        <v>4</v>
      </c>
      <c r="V138" s="38">
        <v>143</v>
      </c>
      <c r="W138" s="29">
        <v>1</v>
      </c>
      <c r="X138" s="29">
        <v>1</v>
      </c>
      <c r="Y138" s="30">
        <f>combined_tbl!$Q138*(1-combined_tbl!$Z138)</f>
        <v>132.5</v>
      </c>
      <c r="Z138" s="31">
        <f>IF(combined_tbl!$Q138&gt;=500,0.2, IF(combined_tbl!$Q138&gt;=200,0.05, IF(combined_tbl!$X138&gt;=2,0.05,0)))</f>
        <v>0</v>
      </c>
      <c r="AA138" s="30">
        <f>combined_tbl!$Y138*combined_tbl!$X138</f>
        <v>132.5</v>
      </c>
      <c r="AB138" s="32">
        <f>(combined_tbl!$Q138*(1+combined_tbl!$Z138)-combined_tbl!$P138)*combined_tbl!$X138</f>
        <v>26.5</v>
      </c>
      <c r="AF138" t="str">
        <f t="shared" ca="1" si="38"/>
        <v>West</v>
      </c>
      <c r="AI138" s="24" t="str">
        <f t="shared" si="28"/>
        <v>Customer138</v>
      </c>
      <c r="AJ138" s="10">
        <f t="shared" ca="1" si="35"/>
        <v>45116</v>
      </c>
    </row>
    <row r="139" spans="1:36" x14ac:dyDescent="0.3">
      <c r="A139" s="24">
        <v>138</v>
      </c>
      <c r="B139" s="25" cm="1">
        <f t="array" aca="1" ref="B139" ca="1">MIN(IF($E:$E=E139,$H:$H))</f>
        <v>45896</v>
      </c>
      <c r="C139" s="25">
        <f t="shared" ca="1" si="29"/>
        <v>3</v>
      </c>
      <c r="D139" s="42">
        <f ca="1">COUNTIF(E:E,combined_tbl!$E139)</f>
        <v>10</v>
      </c>
      <c r="E139" s="24" t="str">
        <f t="shared" ca="1" si="36"/>
        <v>Customer004</v>
      </c>
      <c r="F139" s="24" t="str" cm="1">
        <f t="array" aca="1" ref="F139" ca="1">INDEX({"Male","Female"}, RANDBETWEEN(1,2))</f>
        <v>Male</v>
      </c>
      <c r="G139" s="29" t="str">
        <f t="shared" ca="1" si="27"/>
        <v>West</v>
      </c>
      <c r="H139" s="48">
        <f t="shared" ca="1" si="30"/>
        <v>45896</v>
      </c>
      <c r="I139" s="24">
        <f t="shared" ca="1" si="31"/>
        <v>27</v>
      </c>
      <c r="J139" s="46" t="str">
        <f t="shared" ca="1" si="37"/>
        <v>August</v>
      </c>
      <c r="K139" s="24">
        <f t="shared" ca="1" si="32"/>
        <v>2025</v>
      </c>
      <c r="L139" s="24" t="str">
        <f t="shared" ca="1" si="33"/>
        <v>Bronze</v>
      </c>
      <c r="M139" s="24">
        <v>139</v>
      </c>
      <c r="N139" s="24" t="s">
        <v>847</v>
      </c>
      <c r="O139" s="24" t="s">
        <v>997</v>
      </c>
      <c r="P139" s="26">
        <v>99</v>
      </c>
      <c r="Q139" s="26">
        <v>132.66</v>
      </c>
      <c r="R139" s="24">
        <v>139</v>
      </c>
      <c r="S139" s="24" t="str">
        <f t="shared" si="34"/>
        <v>Sep</v>
      </c>
      <c r="T139" s="46">
        <v>45177</v>
      </c>
      <c r="U139" s="24">
        <v>8</v>
      </c>
      <c r="V139" s="37">
        <v>85</v>
      </c>
      <c r="W139" s="24">
        <v>17</v>
      </c>
      <c r="X139" s="24">
        <v>1</v>
      </c>
      <c r="Y139" s="26">
        <f>combined_tbl!$Q139*(1-combined_tbl!$Z139)</f>
        <v>132.66</v>
      </c>
      <c r="Z139" s="27">
        <f>IF(combined_tbl!$Q139&gt;=500,0.2, IF(combined_tbl!$Q139&gt;=200,0.05, IF(combined_tbl!$X139&gt;=2,0.05,0)))</f>
        <v>0</v>
      </c>
      <c r="AA139" s="26">
        <f>combined_tbl!$Y139*combined_tbl!$X139</f>
        <v>132.66</v>
      </c>
      <c r="AB139" s="28">
        <f>(combined_tbl!$Q139*(1+combined_tbl!$Z139)-combined_tbl!$P139)*combined_tbl!$X139</f>
        <v>33.659999999999997</v>
      </c>
      <c r="AF139" t="str">
        <f t="shared" ca="1" si="38"/>
        <v>West</v>
      </c>
      <c r="AI139" s="24" t="str">
        <f t="shared" si="28"/>
        <v>Customer139</v>
      </c>
      <c r="AJ139" s="10">
        <f t="shared" ca="1" si="35"/>
        <v>45474</v>
      </c>
    </row>
    <row r="140" spans="1:36" x14ac:dyDescent="0.3">
      <c r="A140" s="29">
        <v>139</v>
      </c>
      <c r="B140" s="25" cm="1">
        <f t="array" aca="1" ref="B140" ca="1">MIN(IF($E:$E=E140,$H:$H))</f>
        <v>45492</v>
      </c>
      <c r="C140" s="25">
        <f t="shared" ca="1" si="29"/>
        <v>16</v>
      </c>
      <c r="D140" s="43">
        <f ca="1">COUNTIF(E:E,combined_tbl!$E140)</f>
        <v>5</v>
      </c>
      <c r="E140" s="29" t="str">
        <f t="shared" ca="1" si="36"/>
        <v>Customer047</v>
      </c>
      <c r="F140" s="29" t="str" cm="1">
        <f t="array" aca="1" ref="F140" ca="1">INDEX({"Male","Female"}, RANDBETWEEN(1,2))</f>
        <v>Female</v>
      </c>
      <c r="G140" s="29" t="str">
        <f t="shared" ca="1" si="27"/>
        <v>North</v>
      </c>
      <c r="H140" s="48">
        <f t="shared" ca="1" si="30"/>
        <v>45492</v>
      </c>
      <c r="I140" s="24">
        <f t="shared" ca="1" si="31"/>
        <v>19</v>
      </c>
      <c r="J140" s="46" t="str">
        <f t="shared" ca="1" si="37"/>
        <v>July</v>
      </c>
      <c r="K140" s="24">
        <f t="shared" ca="1" si="32"/>
        <v>2024</v>
      </c>
      <c r="L140" s="24" t="str">
        <f t="shared" ca="1" si="33"/>
        <v>Silver</v>
      </c>
      <c r="M140" s="29">
        <v>140</v>
      </c>
      <c r="N140" s="29" t="s">
        <v>851</v>
      </c>
      <c r="O140" s="29" t="s">
        <v>998</v>
      </c>
      <c r="P140" s="30">
        <v>180</v>
      </c>
      <c r="Q140" s="30">
        <v>223.2</v>
      </c>
      <c r="R140" s="29">
        <v>140</v>
      </c>
      <c r="S140" s="24" t="str">
        <f t="shared" si="34"/>
        <v>Jul</v>
      </c>
      <c r="T140" s="47">
        <v>45114</v>
      </c>
      <c r="U140" s="29">
        <v>4</v>
      </c>
      <c r="V140" s="38">
        <v>218</v>
      </c>
      <c r="W140" s="29">
        <v>1</v>
      </c>
      <c r="X140" s="29">
        <v>1</v>
      </c>
      <c r="Y140" s="30">
        <f>combined_tbl!$Q140*(1-combined_tbl!$Z140)</f>
        <v>212.04</v>
      </c>
      <c r="Z140" s="31">
        <f>IF(combined_tbl!$Q140&gt;=500,0.2, IF(combined_tbl!$Q140&gt;=200,0.05, IF(combined_tbl!$X140&gt;=2,0.05,0)))</f>
        <v>0.05</v>
      </c>
      <c r="AA140" s="30">
        <f>combined_tbl!$Y140*combined_tbl!$X140</f>
        <v>212.04</v>
      </c>
      <c r="AB140" s="32">
        <f>(combined_tbl!$Q140*(1+combined_tbl!$Z140)-combined_tbl!$P140)*combined_tbl!$X140</f>
        <v>54.359999999999985</v>
      </c>
    </row>
    <row r="141" spans="1:36" x14ac:dyDescent="0.3">
      <c r="A141" s="29">
        <v>140</v>
      </c>
      <c r="B141" s="25" cm="1">
        <f t="array" aca="1" ref="B141" ca="1">MIN(IF($E:$E=E141,$H:$H))</f>
        <v>45014</v>
      </c>
      <c r="C141" s="25">
        <f t="shared" ca="1" si="29"/>
        <v>32</v>
      </c>
      <c r="D141" s="42">
        <f ca="1">COUNTIF(E:E,combined_tbl!$E141)</f>
        <v>10</v>
      </c>
      <c r="E141" s="24" t="str">
        <f t="shared" ca="1" si="36"/>
        <v>Customer022</v>
      </c>
      <c r="F141" s="24" t="str" cm="1">
        <f t="array" aca="1" ref="F141" ca="1">INDEX({"Male","Female"}, RANDBETWEEN(1,2))</f>
        <v>Female</v>
      </c>
      <c r="G141" s="29" t="str">
        <f t="shared" ca="1" si="27"/>
        <v>South</v>
      </c>
      <c r="H141" s="48">
        <f t="shared" ca="1" si="30"/>
        <v>45014</v>
      </c>
      <c r="I141" s="24">
        <f t="shared" ca="1" si="31"/>
        <v>29</v>
      </c>
      <c r="J141" s="46" t="str">
        <f t="shared" ca="1" si="37"/>
        <v>March</v>
      </c>
      <c r="K141" s="24">
        <f t="shared" ca="1" si="32"/>
        <v>2023</v>
      </c>
      <c r="L141" s="24" t="str">
        <f t="shared" ca="1" si="33"/>
        <v>Platinum</v>
      </c>
      <c r="M141" s="24">
        <v>141</v>
      </c>
      <c r="N141" s="24" t="s">
        <v>847</v>
      </c>
      <c r="O141" s="24" t="s">
        <v>999</v>
      </c>
      <c r="P141" s="26">
        <v>59</v>
      </c>
      <c r="Q141" s="26">
        <v>67.849999999999994</v>
      </c>
      <c r="R141" s="24">
        <v>141</v>
      </c>
      <c r="S141" s="24" t="str">
        <f t="shared" si="34"/>
        <v>Feb</v>
      </c>
      <c r="T141" s="46">
        <v>44970</v>
      </c>
      <c r="U141" s="24">
        <v>1</v>
      </c>
      <c r="V141" s="37">
        <v>10</v>
      </c>
      <c r="W141" s="24">
        <v>2</v>
      </c>
      <c r="X141" s="24">
        <v>1</v>
      </c>
      <c r="Y141" s="26">
        <f>combined_tbl!$Q141*(1-combined_tbl!$Z141)</f>
        <v>67.849999999999994</v>
      </c>
      <c r="Z141" s="27">
        <f>IF(combined_tbl!$Q141&gt;=500,0.2, IF(combined_tbl!$Q141&gt;=200,0.05, IF(combined_tbl!$X141&gt;=2,0.05,0)))</f>
        <v>0</v>
      </c>
      <c r="AA141" s="26">
        <f>combined_tbl!$Y141*combined_tbl!$X141</f>
        <v>67.849999999999994</v>
      </c>
      <c r="AB141" s="28">
        <f>(combined_tbl!$Q141*(1+combined_tbl!$Z141)-combined_tbl!$P141)*combined_tbl!$X141</f>
        <v>8.8499999999999943</v>
      </c>
    </row>
    <row r="142" spans="1:36" x14ac:dyDescent="0.3">
      <c r="A142" s="29">
        <v>141</v>
      </c>
      <c r="B142" s="25" cm="1">
        <f t="array" aca="1" ref="B142" ca="1">MIN(IF($E:$E=E142,$H:$H))</f>
        <v>45582</v>
      </c>
      <c r="C142" s="25">
        <f t="shared" ca="1" si="29"/>
        <v>13</v>
      </c>
      <c r="D142" s="43">
        <f ca="1">COUNTIF(E:E,combined_tbl!$E142)</f>
        <v>11</v>
      </c>
      <c r="E142" s="29" t="str">
        <f t="shared" ca="1" si="36"/>
        <v>Customer002</v>
      </c>
      <c r="F142" s="29" t="str" cm="1">
        <f t="array" aca="1" ref="F142" ca="1">INDEX({"Male","Female"}, RANDBETWEEN(1,2))</f>
        <v>Male</v>
      </c>
      <c r="G142" s="29" t="str">
        <f t="shared" ca="1" si="27"/>
        <v>East</v>
      </c>
      <c r="H142" s="48">
        <f t="shared" ca="1" si="30"/>
        <v>45582</v>
      </c>
      <c r="I142" s="24">
        <f t="shared" ca="1" si="31"/>
        <v>17</v>
      </c>
      <c r="J142" s="46" t="str">
        <f t="shared" ca="1" si="37"/>
        <v>October</v>
      </c>
      <c r="K142" s="24">
        <f t="shared" ca="1" si="32"/>
        <v>2024</v>
      </c>
      <c r="L142" s="24" t="str">
        <f t="shared" ca="1" si="33"/>
        <v>Silver</v>
      </c>
      <c r="M142" s="29">
        <v>142</v>
      </c>
      <c r="N142" s="29" t="s">
        <v>872</v>
      </c>
      <c r="O142" s="29" t="s">
        <v>1000</v>
      </c>
      <c r="P142" s="30">
        <v>53</v>
      </c>
      <c r="Q142" s="30">
        <v>67.84</v>
      </c>
      <c r="R142" s="29">
        <v>142</v>
      </c>
      <c r="S142" s="24" t="str">
        <f t="shared" si="34"/>
        <v>Nov</v>
      </c>
      <c r="T142" s="47">
        <v>45610</v>
      </c>
      <c r="U142" s="29">
        <v>4</v>
      </c>
      <c r="V142" s="38">
        <v>119</v>
      </c>
      <c r="W142" s="29">
        <v>62</v>
      </c>
      <c r="X142" s="29">
        <v>2</v>
      </c>
      <c r="Y142" s="30">
        <f>combined_tbl!$Q142*(1-combined_tbl!$Z142)</f>
        <v>64.447999999999993</v>
      </c>
      <c r="Z142" s="31">
        <f>IF(combined_tbl!$Q142&gt;=500,0.2, IF(combined_tbl!$Q142&gt;=200,0.05, IF(combined_tbl!$X142&gt;=2,0.05,0)))</f>
        <v>0.05</v>
      </c>
      <c r="AA142" s="30">
        <f>combined_tbl!$Y142*combined_tbl!$X142</f>
        <v>128.89599999999999</v>
      </c>
      <c r="AB142" s="32">
        <f>(combined_tbl!$Q142*(1+combined_tbl!$Z142)-combined_tbl!$P142)*combined_tbl!$X142</f>
        <v>36.464000000000027</v>
      </c>
    </row>
    <row r="143" spans="1:36" x14ac:dyDescent="0.3">
      <c r="A143" s="29">
        <v>142</v>
      </c>
      <c r="B143" s="25" cm="1">
        <f t="array" aca="1" ref="B143" ca="1">MIN(IF($E:$E=E143,$H:$H))</f>
        <v>45346</v>
      </c>
      <c r="C143" s="25">
        <f t="shared" ca="1" si="29"/>
        <v>21</v>
      </c>
      <c r="D143" s="42">
        <f ca="1">COUNTIF(E:E,combined_tbl!$E143)</f>
        <v>12</v>
      </c>
      <c r="E143" s="24" t="str">
        <f t="shared" ca="1" si="36"/>
        <v>Customer011</v>
      </c>
      <c r="F143" s="24" t="str" cm="1">
        <f t="array" aca="1" ref="F143" ca="1">INDEX({"Male","Female"}, RANDBETWEEN(1,2))</f>
        <v>Female</v>
      </c>
      <c r="G143" s="29" t="str">
        <f t="shared" ca="1" si="27"/>
        <v>East</v>
      </c>
      <c r="H143" s="48">
        <f t="shared" ca="1" si="30"/>
        <v>45346</v>
      </c>
      <c r="I143" s="24">
        <f t="shared" ca="1" si="31"/>
        <v>24</v>
      </c>
      <c r="J143" s="46" t="str">
        <f t="shared" ca="1" si="37"/>
        <v>February</v>
      </c>
      <c r="K143" s="24">
        <f t="shared" ca="1" si="32"/>
        <v>2024</v>
      </c>
      <c r="L143" s="24" t="str">
        <f t="shared" ca="1" si="33"/>
        <v>Gold</v>
      </c>
      <c r="M143" s="24">
        <v>143</v>
      </c>
      <c r="N143" s="24" t="s">
        <v>954</v>
      </c>
      <c r="O143" s="24" t="s">
        <v>1001</v>
      </c>
      <c r="P143" s="26">
        <v>880</v>
      </c>
      <c r="Q143" s="26">
        <v>1249.5999999999999</v>
      </c>
      <c r="R143" s="24">
        <v>143</v>
      </c>
      <c r="S143" s="24" t="str">
        <f t="shared" si="34"/>
        <v>Sep</v>
      </c>
      <c r="T143" s="46">
        <v>45184</v>
      </c>
      <c r="U143" s="24">
        <v>4</v>
      </c>
      <c r="V143" s="37">
        <v>80</v>
      </c>
      <c r="W143" s="24">
        <v>86</v>
      </c>
      <c r="X143" s="24">
        <v>1</v>
      </c>
      <c r="Y143" s="26">
        <f>combined_tbl!$Q143*(1-combined_tbl!$Z143)</f>
        <v>999.68</v>
      </c>
      <c r="Z143" s="27">
        <f>IF(combined_tbl!$Q143&gt;=500,0.2, IF(combined_tbl!$Q143&gt;=200,0.05, IF(combined_tbl!$X143&gt;=2,0.05,0)))</f>
        <v>0.2</v>
      </c>
      <c r="AA143" s="26">
        <f>combined_tbl!$Y143*combined_tbl!$X143</f>
        <v>999.68</v>
      </c>
      <c r="AB143" s="28">
        <f>(combined_tbl!$Q143*(1+combined_tbl!$Z143)-combined_tbl!$P143)*combined_tbl!$X143</f>
        <v>619.51999999999975</v>
      </c>
    </row>
    <row r="144" spans="1:36" x14ac:dyDescent="0.3">
      <c r="A144" s="29">
        <v>143</v>
      </c>
      <c r="B144" s="25" cm="1">
        <f t="array" aca="1" ref="B144" ca="1">MIN(IF($E:$E=E144,$H:$H))</f>
        <v>44966</v>
      </c>
      <c r="C144" s="25">
        <f t="shared" ca="1" si="29"/>
        <v>33</v>
      </c>
      <c r="D144" s="43">
        <f ca="1">COUNTIF(E:E,combined_tbl!$E144)</f>
        <v>5</v>
      </c>
      <c r="E144" s="29" t="str">
        <f t="shared" ca="1" si="36"/>
        <v>Customer091</v>
      </c>
      <c r="F144" s="29" t="str" cm="1">
        <f t="array" aca="1" ref="F144" ca="1">INDEX({"Male","Female"}, RANDBETWEEN(1,2))</f>
        <v>Female</v>
      </c>
      <c r="G144" s="29" t="str">
        <f t="shared" ca="1" si="27"/>
        <v>East</v>
      </c>
      <c r="H144" s="48">
        <f t="shared" ca="1" si="30"/>
        <v>44966</v>
      </c>
      <c r="I144" s="24">
        <f t="shared" ca="1" si="31"/>
        <v>9</v>
      </c>
      <c r="J144" s="46" t="str">
        <f t="shared" ca="1" si="37"/>
        <v>February</v>
      </c>
      <c r="K144" s="24">
        <f t="shared" ca="1" si="32"/>
        <v>2023</v>
      </c>
      <c r="L144" s="24" t="str">
        <f t="shared" ca="1" si="33"/>
        <v>Silver</v>
      </c>
      <c r="M144" s="29">
        <v>144</v>
      </c>
      <c r="N144" s="29" t="s">
        <v>955</v>
      </c>
      <c r="O144" s="29" t="s">
        <v>1002</v>
      </c>
      <c r="P144" s="30">
        <v>131</v>
      </c>
      <c r="Q144" s="30">
        <v>175.54000000000002</v>
      </c>
      <c r="R144" s="29">
        <v>144</v>
      </c>
      <c r="S144" s="24" t="str">
        <f t="shared" si="34"/>
        <v>May</v>
      </c>
      <c r="T144" s="47">
        <v>45067</v>
      </c>
      <c r="U144" s="29">
        <v>4</v>
      </c>
      <c r="V144" s="38">
        <v>189</v>
      </c>
      <c r="W144" s="29">
        <v>81</v>
      </c>
      <c r="X144" s="29">
        <v>1</v>
      </c>
      <c r="Y144" s="30">
        <f>combined_tbl!$Q144*(1-combined_tbl!$Z144)</f>
        <v>175.54000000000002</v>
      </c>
      <c r="Z144" s="31">
        <f>IF(combined_tbl!$Q144&gt;=500,0.2, IF(combined_tbl!$Q144&gt;=200,0.05, IF(combined_tbl!$X144&gt;=2,0.05,0)))</f>
        <v>0</v>
      </c>
      <c r="AA144" s="30">
        <f>combined_tbl!$Y144*combined_tbl!$X144</f>
        <v>175.54000000000002</v>
      </c>
      <c r="AB144" s="32">
        <f>(combined_tbl!$Q144*(1+combined_tbl!$Z144)-combined_tbl!$P144)*combined_tbl!$X144</f>
        <v>44.54000000000002</v>
      </c>
    </row>
    <row r="145" spans="1:28" x14ac:dyDescent="0.3">
      <c r="A145" s="29">
        <v>144</v>
      </c>
      <c r="B145" s="25" cm="1">
        <f t="array" aca="1" ref="B145" ca="1">MIN(IF($E:$E=E145,$H:$H))</f>
        <v>45103</v>
      </c>
      <c r="C145" s="25">
        <f t="shared" ca="1" si="29"/>
        <v>29</v>
      </c>
      <c r="D145" s="42">
        <f ca="1">COUNTIF(E:E,combined_tbl!$E145)</f>
        <v>8</v>
      </c>
      <c r="E145" s="24" t="str">
        <f t="shared" ca="1" si="36"/>
        <v>Customer014</v>
      </c>
      <c r="F145" s="24" t="str" cm="1">
        <f t="array" aca="1" ref="F145" ca="1">INDEX({"Male","Female"}, RANDBETWEEN(1,2))</f>
        <v>Female</v>
      </c>
      <c r="G145" s="29" t="str">
        <f t="shared" ca="1" si="27"/>
        <v>West</v>
      </c>
      <c r="H145" s="48">
        <f t="shared" ca="1" si="30"/>
        <v>45103</v>
      </c>
      <c r="I145" s="24">
        <f t="shared" ca="1" si="31"/>
        <v>26</v>
      </c>
      <c r="J145" s="46" t="str">
        <f t="shared" ca="1" si="37"/>
        <v>June</v>
      </c>
      <c r="K145" s="24">
        <f t="shared" ca="1" si="32"/>
        <v>2023</v>
      </c>
      <c r="L145" s="24" t="str">
        <f t="shared" ca="1" si="33"/>
        <v>Gold</v>
      </c>
      <c r="M145" s="24">
        <v>145</v>
      </c>
      <c r="N145" s="24" t="s">
        <v>957</v>
      </c>
      <c r="O145" s="24" t="s">
        <v>1003</v>
      </c>
      <c r="P145" s="26">
        <v>198</v>
      </c>
      <c r="Q145" s="26">
        <v>223.73999999999998</v>
      </c>
      <c r="R145" s="24">
        <v>145</v>
      </c>
      <c r="S145" s="24" t="str">
        <f t="shared" si="34"/>
        <v>Mar</v>
      </c>
      <c r="T145" s="46">
        <v>45369</v>
      </c>
      <c r="U145" s="24">
        <v>4</v>
      </c>
      <c r="V145" s="37">
        <v>214</v>
      </c>
      <c r="W145" s="24">
        <v>78</v>
      </c>
      <c r="X145" s="24">
        <v>1</v>
      </c>
      <c r="Y145" s="26">
        <f>combined_tbl!$Q145*(1-combined_tbl!$Z145)</f>
        <v>212.55299999999997</v>
      </c>
      <c r="Z145" s="27">
        <f>IF(combined_tbl!$Q145&gt;=500,0.2, IF(combined_tbl!$Q145&gt;=200,0.05, IF(combined_tbl!$X145&gt;=2,0.05,0)))</f>
        <v>0.05</v>
      </c>
      <c r="AA145" s="26">
        <f>combined_tbl!$Y145*combined_tbl!$X145</f>
        <v>212.55299999999997</v>
      </c>
      <c r="AB145" s="28">
        <f>(combined_tbl!$Q145*(1+combined_tbl!$Z145)-combined_tbl!$P145)*combined_tbl!$X145</f>
        <v>36.926999999999992</v>
      </c>
    </row>
    <row r="146" spans="1:28" x14ac:dyDescent="0.3">
      <c r="A146" s="19">
        <v>145</v>
      </c>
      <c r="B146" s="25" cm="1">
        <f t="array" aca="1" ref="B146" ca="1">MIN(IF($E:$E=E146,$H:$H))</f>
        <v>45615</v>
      </c>
      <c r="C146" s="25">
        <f t="shared" ca="1" si="29"/>
        <v>12</v>
      </c>
      <c r="D146" s="43">
        <f ca="1">COUNTIF(E:E,combined_tbl!$E146)</f>
        <v>2</v>
      </c>
      <c r="E146" s="29" t="str">
        <f t="shared" ca="1" si="36"/>
        <v>Customer046</v>
      </c>
      <c r="F146" s="29" t="str" cm="1">
        <f t="array" aca="1" ref="F146" ca="1">INDEX({"Male","Female"}, RANDBETWEEN(1,2))</f>
        <v>Male</v>
      </c>
      <c r="G146" s="29" t="str">
        <f t="shared" ca="1" si="27"/>
        <v>North</v>
      </c>
      <c r="H146" s="48">
        <f t="shared" ca="1" si="30"/>
        <v>45615</v>
      </c>
      <c r="I146" s="24">
        <f t="shared" ca="1" si="31"/>
        <v>19</v>
      </c>
      <c r="J146" s="46" t="str">
        <f t="shared" ca="1" si="37"/>
        <v>November</v>
      </c>
      <c r="K146" s="24">
        <f t="shared" ca="1" si="32"/>
        <v>2024</v>
      </c>
      <c r="L146" s="24" t="str">
        <f t="shared" ca="1" si="33"/>
        <v>Bronze</v>
      </c>
      <c r="M146" s="29">
        <v>146</v>
      </c>
      <c r="N146" s="29" t="s">
        <v>955</v>
      </c>
      <c r="O146" s="29" t="s">
        <v>1004</v>
      </c>
      <c r="P146" s="30">
        <v>50</v>
      </c>
      <c r="Q146" s="30">
        <v>57.000000000000007</v>
      </c>
      <c r="R146" s="29">
        <v>146</v>
      </c>
      <c r="S146" s="24" t="str">
        <f t="shared" si="34"/>
        <v>Nov</v>
      </c>
      <c r="T146" s="47">
        <v>45599</v>
      </c>
      <c r="U146" s="29">
        <v>3</v>
      </c>
      <c r="V146" s="38">
        <v>182</v>
      </c>
      <c r="W146" s="29">
        <v>73</v>
      </c>
      <c r="X146" s="29">
        <v>1</v>
      </c>
      <c r="Y146" s="30">
        <f>combined_tbl!$Q146*(1-combined_tbl!$Z146)</f>
        <v>57.000000000000007</v>
      </c>
      <c r="Z146" s="31">
        <f>IF(combined_tbl!$Q146&gt;=500,0.2, IF(combined_tbl!$Q146&gt;=200,0.05, IF(combined_tbl!$X146&gt;=2,0.05,0)))</f>
        <v>0</v>
      </c>
      <c r="AA146" s="30">
        <f>combined_tbl!$Y146*combined_tbl!$X146</f>
        <v>57.000000000000007</v>
      </c>
      <c r="AB146" s="32">
        <f>(combined_tbl!$Q146*(1+combined_tbl!$Z146)-combined_tbl!$P146)*combined_tbl!$X146</f>
        <v>7.0000000000000071</v>
      </c>
    </row>
    <row r="147" spans="1:28" x14ac:dyDescent="0.3">
      <c r="A147" s="24">
        <v>146</v>
      </c>
      <c r="B147" s="25" cm="1">
        <f t="array" aca="1" ref="B147" ca="1">MIN(IF($E:$E=E147,$H:$H))</f>
        <v>45345</v>
      </c>
      <c r="C147" s="25">
        <f t="shared" ca="1" si="29"/>
        <v>21</v>
      </c>
      <c r="D147" s="42">
        <f ca="1">COUNTIF(E:E,combined_tbl!$E147)</f>
        <v>4</v>
      </c>
      <c r="E147" s="24" t="str">
        <f t="shared" ca="1" si="36"/>
        <v>Customer032</v>
      </c>
      <c r="F147" s="24" t="str" cm="1">
        <f t="array" aca="1" ref="F147" ca="1">INDEX({"Male","Female"}, RANDBETWEEN(1,2))</f>
        <v>Male</v>
      </c>
      <c r="G147" s="29" t="str">
        <f t="shared" ca="1" si="27"/>
        <v>North</v>
      </c>
      <c r="H147" s="48">
        <f t="shared" ca="1" si="30"/>
        <v>45345</v>
      </c>
      <c r="I147" s="24">
        <f t="shared" ca="1" si="31"/>
        <v>23</v>
      </c>
      <c r="J147" s="46" t="str">
        <f t="shared" ca="1" si="37"/>
        <v>February</v>
      </c>
      <c r="K147" s="24">
        <f t="shared" ca="1" si="32"/>
        <v>2024</v>
      </c>
      <c r="L147" s="24" t="str">
        <f t="shared" ca="1" si="33"/>
        <v>Silver</v>
      </c>
      <c r="M147" s="24">
        <v>147</v>
      </c>
      <c r="N147" s="24" t="s">
        <v>831</v>
      </c>
      <c r="O147" s="24" t="s">
        <v>1005</v>
      </c>
      <c r="P147" s="26">
        <v>314</v>
      </c>
      <c r="Q147" s="26">
        <v>345.40000000000003</v>
      </c>
      <c r="R147" s="24">
        <v>147</v>
      </c>
      <c r="S147" s="24" t="str">
        <f t="shared" si="34"/>
        <v>Jan</v>
      </c>
      <c r="T147" s="46">
        <v>44932</v>
      </c>
      <c r="U147" s="24">
        <v>5</v>
      </c>
      <c r="V147" s="37">
        <v>32</v>
      </c>
      <c r="W147" s="24">
        <v>97</v>
      </c>
      <c r="X147" s="24">
        <v>1</v>
      </c>
      <c r="Y147" s="26">
        <f>combined_tbl!$Q147*(1-combined_tbl!$Z147)</f>
        <v>328.13</v>
      </c>
      <c r="Z147" s="27">
        <f>IF(combined_tbl!$Q147&gt;=500,0.2, IF(combined_tbl!$Q147&gt;=200,0.05, IF(combined_tbl!$X147&gt;=2,0.05,0)))</f>
        <v>0.05</v>
      </c>
      <c r="AA147" s="26">
        <f>combined_tbl!$Y147*combined_tbl!$X147</f>
        <v>328.13</v>
      </c>
      <c r="AB147" s="28">
        <f>(combined_tbl!$Q147*(1+combined_tbl!$Z147)-combined_tbl!$P147)*combined_tbl!$X147</f>
        <v>48.670000000000073</v>
      </c>
    </row>
    <row r="148" spans="1:28" x14ac:dyDescent="0.3">
      <c r="A148" s="29">
        <v>147</v>
      </c>
      <c r="B148" s="25" cm="1">
        <f t="array" aca="1" ref="B148" ca="1">MIN(IF($E:$E=E148,$H:$H))</f>
        <v>45995</v>
      </c>
      <c r="C148" s="25">
        <f t="shared" ca="1" si="29"/>
        <v>0</v>
      </c>
      <c r="D148" s="43">
        <f ca="1">COUNTIF(E:E,combined_tbl!$E148)</f>
        <v>8</v>
      </c>
      <c r="E148" s="29" t="str">
        <f t="shared" ca="1" si="36"/>
        <v>Customer013</v>
      </c>
      <c r="F148" s="29" t="str" cm="1">
        <f t="array" aca="1" ref="F148" ca="1">INDEX({"Male","Female"}, RANDBETWEEN(1,2))</f>
        <v>Male</v>
      </c>
      <c r="G148" s="29" t="str">
        <f t="shared" ca="1" si="27"/>
        <v>North</v>
      </c>
      <c r="H148" s="48">
        <f t="shared" ca="1" si="30"/>
        <v>45995</v>
      </c>
      <c r="I148" s="24">
        <f t="shared" ca="1" si="31"/>
        <v>4</v>
      </c>
      <c r="J148" s="46" t="str">
        <f t="shared" ca="1" si="37"/>
        <v>December</v>
      </c>
      <c r="K148" s="24">
        <f t="shared" ca="1" si="32"/>
        <v>2025</v>
      </c>
      <c r="L148" s="24" t="str">
        <f t="shared" ca="1" si="33"/>
        <v>Bronze</v>
      </c>
      <c r="M148" s="29">
        <v>148</v>
      </c>
      <c r="N148" s="29" t="s">
        <v>954</v>
      </c>
      <c r="O148" s="29" t="s">
        <v>1006</v>
      </c>
      <c r="P148" s="30">
        <v>764</v>
      </c>
      <c r="Q148" s="30">
        <v>878.59999999999991</v>
      </c>
      <c r="R148" s="29">
        <v>148</v>
      </c>
      <c r="S148" s="24" t="str">
        <f t="shared" si="34"/>
        <v>Oct</v>
      </c>
      <c r="T148" s="47">
        <v>45223</v>
      </c>
      <c r="U148" s="29">
        <v>3</v>
      </c>
      <c r="V148" s="38">
        <v>210</v>
      </c>
      <c r="W148" s="29">
        <v>15</v>
      </c>
      <c r="X148" s="29">
        <v>1</v>
      </c>
      <c r="Y148" s="30">
        <f>combined_tbl!$Q148*(1-combined_tbl!$Z148)</f>
        <v>702.88</v>
      </c>
      <c r="Z148" s="31">
        <f>IF(combined_tbl!$Q148&gt;=500,0.2, IF(combined_tbl!$Q148&gt;=200,0.05, IF(combined_tbl!$X148&gt;=2,0.05,0)))</f>
        <v>0.2</v>
      </c>
      <c r="AA148" s="30">
        <f>combined_tbl!$Y148*combined_tbl!$X148</f>
        <v>702.88</v>
      </c>
      <c r="AB148" s="32">
        <f>(combined_tbl!$Q148*(1+combined_tbl!$Z148)-combined_tbl!$P148)*combined_tbl!$X148</f>
        <v>290.31999999999994</v>
      </c>
    </row>
    <row r="149" spans="1:28" x14ac:dyDescent="0.3">
      <c r="A149" s="29">
        <v>148</v>
      </c>
      <c r="B149" s="25" cm="1">
        <f t="array" aca="1" ref="B149" ca="1">MIN(IF($E:$E=E149,$H:$H))</f>
        <v>45991</v>
      </c>
      <c r="C149" s="25">
        <f t="shared" ca="1" si="29"/>
        <v>0</v>
      </c>
      <c r="D149" s="42">
        <f ca="1">COUNTIF(E:E,combined_tbl!$E149)</f>
        <v>9</v>
      </c>
      <c r="E149" s="24" t="str">
        <f t="shared" ca="1" si="36"/>
        <v>Customer029</v>
      </c>
      <c r="F149" s="24" t="str" cm="1">
        <f t="array" aca="1" ref="F149" ca="1">INDEX({"Male","Female"}, RANDBETWEEN(1,2))</f>
        <v>Female</v>
      </c>
      <c r="G149" s="29" t="str">
        <f t="shared" ca="1" si="27"/>
        <v>East</v>
      </c>
      <c r="H149" s="48">
        <f t="shared" ca="1" si="30"/>
        <v>45991</v>
      </c>
      <c r="I149" s="24">
        <f t="shared" ca="1" si="31"/>
        <v>30</v>
      </c>
      <c r="J149" s="46" t="str">
        <f t="shared" ca="1" si="37"/>
        <v>November</v>
      </c>
      <c r="K149" s="24">
        <f t="shared" ca="1" si="32"/>
        <v>2025</v>
      </c>
      <c r="L149" s="24" t="str">
        <f t="shared" ca="1" si="33"/>
        <v>Bronze</v>
      </c>
      <c r="M149" s="24">
        <v>149</v>
      </c>
      <c r="N149" s="24" t="s">
        <v>851</v>
      </c>
      <c r="O149" s="24" t="s">
        <v>1007</v>
      </c>
      <c r="P149" s="26">
        <v>40</v>
      </c>
      <c r="Q149" s="26">
        <v>57.199999999999996</v>
      </c>
      <c r="R149" s="24">
        <v>149</v>
      </c>
      <c r="S149" s="24" t="str">
        <f t="shared" si="34"/>
        <v>May</v>
      </c>
      <c r="T149" s="46">
        <v>45440</v>
      </c>
      <c r="U149" s="24">
        <v>3</v>
      </c>
      <c r="V149" s="37">
        <v>97</v>
      </c>
      <c r="W149" s="24">
        <v>45</v>
      </c>
      <c r="X149" s="24">
        <v>1</v>
      </c>
      <c r="Y149" s="26">
        <f>combined_tbl!$Q149*(1-combined_tbl!$Z149)</f>
        <v>57.199999999999996</v>
      </c>
      <c r="Z149" s="27">
        <f>IF(combined_tbl!$Q149&gt;=500,0.2, IF(combined_tbl!$Q149&gt;=200,0.05, IF(combined_tbl!$X149&gt;=2,0.05,0)))</f>
        <v>0</v>
      </c>
      <c r="AA149" s="26">
        <f>combined_tbl!$Y149*combined_tbl!$X149</f>
        <v>57.199999999999996</v>
      </c>
      <c r="AB149" s="28">
        <f>(combined_tbl!$Q149*(1+combined_tbl!$Z149)-combined_tbl!$P149)*combined_tbl!$X149</f>
        <v>17.199999999999996</v>
      </c>
    </row>
    <row r="150" spans="1:28" x14ac:dyDescent="0.3">
      <c r="A150" s="29">
        <v>149</v>
      </c>
      <c r="B150" s="25" cm="1">
        <f t="array" aca="1" ref="B150" ca="1">MIN(IF($E:$E=E150,$H:$H))</f>
        <v>45048</v>
      </c>
      <c r="C150" s="25">
        <f t="shared" ca="1" si="29"/>
        <v>31</v>
      </c>
      <c r="D150" s="43">
        <f ca="1">COUNTIF(E:E,combined_tbl!$E150)</f>
        <v>1</v>
      </c>
      <c r="E150" s="29" t="str">
        <f t="shared" ca="1" si="36"/>
        <v>Customer116</v>
      </c>
      <c r="F150" s="29" t="str" cm="1">
        <f t="array" aca="1" ref="F150" ca="1">INDEX({"Male","Female"}, RANDBETWEEN(1,2))</f>
        <v>Male</v>
      </c>
      <c r="G150" s="29" t="str">
        <f t="shared" ca="1" si="27"/>
        <v>East</v>
      </c>
      <c r="H150" s="48">
        <f t="shared" ca="1" si="30"/>
        <v>45048</v>
      </c>
      <c r="I150" s="24">
        <f t="shared" ca="1" si="31"/>
        <v>2</v>
      </c>
      <c r="J150" s="46" t="str">
        <f t="shared" ca="1" si="37"/>
        <v>May</v>
      </c>
      <c r="K150" s="24">
        <f t="shared" ca="1" si="32"/>
        <v>2023</v>
      </c>
      <c r="L150" s="24" t="str">
        <f t="shared" ca="1" si="33"/>
        <v>Bronze</v>
      </c>
      <c r="M150" s="29">
        <v>150</v>
      </c>
      <c r="N150" s="29" t="s">
        <v>957</v>
      </c>
      <c r="O150" s="29" t="s">
        <v>1008</v>
      </c>
      <c r="P150" s="30">
        <v>89</v>
      </c>
      <c r="Q150" s="30">
        <v>123.71000000000001</v>
      </c>
      <c r="R150" s="29">
        <v>150</v>
      </c>
      <c r="S150" s="24" t="str">
        <f t="shared" si="34"/>
        <v>Aug</v>
      </c>
      <c r="T150" s="47">
        <v>45152</v>
      </c>
      <c r="U150" s="29">
        <v>1</v>
      </c>
      <c r="V150" s="38">
        <v>6</v>
      </c>
      <c r="W150" s="29">
        <v>58</v>
      </c>
      <c r="X150" s="29">
        <v>1</v>
      </c>
      <c r="Y150" s="30">
        <f>combined_tbl!$Q150*(1-combined_tbl!$Z150)</f>
        <v>123.71000000000001</v>
      </c>
      <c r="Z150" s="31">
        <f>IF(combined_tbl!$Q150&gt;=500,0.2, IF(combined_tbl!$Q150&gt;=200,0.05, IF(combined_tbl!$X150&gt;=2,0.05,0)))</f>
        <v>0</v>
      </c>
      <c r="AA150" s="30">
        <f>combined_tbl!$Y150*combined_tbl!$X150</f>
        <v>123.71000000000001</v>
      </c>
      <c r="AB150" s="32">
        <f>(combined_tbl!$Q150*(1+combined_tbl!$Z150)-combined_tbl!$P150)*combined_tbl!$X150</f>
        <v>34.710000000000008</v>
      </c>
    </row>
    <row r="151" spans="1:28" x14ac:dyDescent="0.3">
      <c r="A151" s="29">
        <v>150</v>
      </c>
      <c r="B151" s="25" cm="1">
        <f t="array" aca="1" ref="B151" ca="1">MIN(IF($E:$E=E151,$H:$H))</f>
        <v>45881</v>
      </c>
      <c r="C151" s="25">
        <f t="shared" ca="1" si="29"/>
        <v>3</v>
      </c>
      <c r="D151" s="42">
        <f ca="1">COUNTIF(E:E,combined_tbl!$E151)</f>
        <v>4</v>
      </c>
      <c r="E151" s="24" t="str">
        <f t="shared" ca="1" si="36"/>
        <v>Customer037</v>
      </c>
      <c r="F151" s="24" t="str" cm="1">
        <f t="array" aca="1" ref="F151" ca="1">INDEX({"Male","Female"}, RANDBETWEEN(1,2))</f>
        <v>Male</v>
      </c>
      <c r="G151" s="29" t="str">
        <f t="shared" ca="1" si="27"/>
        <v>West</v>
      </c>
      <c r="H151" s="48">
        <f t="shared" ca="1" si="30"/>
        <v>45881</v>
      </c>
      <c r="I151" s="24">
        <f t="shared" ca="1" si="31"/>
        <v>12</v>
      </c>
      <c r="J151" s="46" t="str">
        <f t="shared" ca="1" si="37"/>
        <v>August</v>
      </c>
      <c r="K151" s="24">
        <f t="shared" ca="1" si="32"/>
        <v>2025</v>
      </c>
      <c r="L151" s="24" t="str">
        <f t="shared" ca="1" si="33"/>
        <v>Bronze</v>
      </c>
      <c r="M151" s="24">
        <v>151</v>
      </c>
      <c r="N151" s="24" t="s">
        <v>847</v>
      </c>
      <c r="O151" s="24" t="s">
        <v>1009</v>
      </c>
      <c r="P151" s="26">
        <v>99</v>
      </c>
      <c r="Q151" s="26">
        <v>123.75</v>
      </c>
      <c r="R151" s="24">
        <v>151</v>
      </c>
      <c r="S151" s="24" t="str">
        <f t="shared" si="34"/>
        <v>Sep</v>
      </c>
      <c r="T151" s="46">
        <v>45196</v>
      </c>
      <c r="U151" s="24">
        <v>1</v>
      </c>
      <c r="V151" s="37">
        <v>194</v>
      </c>
      <c r="W151" s="24">
        <v>17</v>
      </c>
      <c r="X151" s="24">
        <v>1</v>
      </c>
      <c r="Y151" s="26">
        <f>combined_tbl!$Q151*(1-combined_tbl!$Z151)</f>
        <v>123.75</v>
      </c>
      <c r="Z151" s="27">
        <f>IF(combined_tbl!$Q151&gt;=500,0.2, IF(combined_tbl!$Q151&gt;=200,0.05, IF(combined_tbl!$X151&gt;=2,0.05,0)))</f>
        <v>0</v>
      </c>
      <c r="AA151" s="26">
        <f>combined_tbl!$Y151*combined_tbl!$X151</f>
        <v>123.75</v>
      </c>
      <c r="AB151" s="28">
        <f>(combined_tbl!$Q151*(1+combined_tbl!$Z151)-combined_tbl!$P151)*combined_tbl!$X151</f>
        <v>24.75</v>
      </c>
    </row>
    <row r="152" spans="1:28" x14ac:dyDescent="0.3">
      <c r="A152" s="29">
        <v>151</v>
      </c>
      <c r="B152" s="25" cm="1">
        <f t="array" aca="1" ref="B152" ca="1">MIN(IF($E:$E=E152,$H:$H))</f>
        <v>45297</v>
      </c>
      <c r="C152" s="25">
        <f t="shared" ca="1" si="29"/>
        <v>22</v>
      </c>
      <c r="D152" s="43">
        <f ca="1">COUNTIF(E:E,combined_tbl!$E152)</f>
        <v>8</v>
      </c>
      <c r="E152" s="29" t="str">
        <f t="shared" ca="1" si="36"/>
        <v>Customer010</v>
      </c>
      <c r="F152" s="29" t="str" cm="1">
        <f t="array" aca="1" ref="F152" ca="1">INDEX({"Male","Female"}, RANDBETWEEN(1,2))</f>
        <v>Female</v>
      </c>
      <c r="G152" s="29" t="str">
        <f t="shared" ca="1" si="27"/>
        <v>East</v>
      </c>
      <c r="H152" s="48">
        <f t="shared" ca="1" si="30"/>
        <v>45297</v>
      </c>
      <c r="I152" s="24">
        <f t="shared" ca="1" si="31"/>
        <v>6</v>
      </c>
      <c r="J152" s="46" t="str">
        <f t="shared" ca="1" si="37"/>
        <v>January</v>
      </c>
      <c r="K152" s="24">
        <f t="shared" ca="1" si="32"/>
        <v>2024</v>
      </c>
      <c r="L152" s="24" t="str">
        <f t="shared" ca="1" si="33"/>
        <v>Gold</v>
      </c>
      <c r="M152" s="29">
        <v>152</v>
      </c>
      <c r="N152" s="29" t="s">
        <v>957</v>
      </c>
      <c r="O152" s="29" t="s">
        <v>1010</v>
      </c>
      <c r="P152" s="30">
        <v>25</v>
      </c>
      <c r="Q152" s="30">
        <v>37.25</v>
      </c>
      <c r="R152" s="29">
        <v>152</v>
      </c>
      <c r="S152" s="24" t="str">
        <f t="shared" si="34"/>
        <v>Jan</v>
      </c>
      <c r="T152" s="47">
        <v>45660</v>
      </c>
      <c r="U152" s="29">
        <v>4</v>
      </c>
      <c r="V152" s="38">
        <v>179</v>
      </c>
      <c r="W152" s="29">
        <v>76</v>
      </c>
      <c r="X152" s="29">
        <v>1</v>
      </c>
      <c r="Y152" s="30">
        <f>combined_tbl!$Q152*(1-combined_tbl!$Z152)</f>
        <v>37.25</v>
      </c>
      <c r="Z152" s="31">
        <f>IF(combined_tbl!$Q152&gt;=500,0.2, IF(combined_tbl!$Q152&gt;=200,0.05, IF(combined_tbl!$X152&gt;=2,0.05,0)))</f>
        <v>0</v>
      </c>
      <c r="AA152" s="30">
        <f>combined_tbl!$Y152*combined_tbl!$X152</f>
        <v>37.25</v>
      </c>
      <c r="AB152" s="32">
        <f>(combined_tbl!$Q152*(1+combined_tbl!$Z152)-combined_tbl!$P152)*combined_tbl!$X152</f>
        <v>12.25</v>
      </c>
    </row>
    <row r="153" spans="1:28" x14ac:dyDescent="0.3">
      <c r="A153" s="29">
        <v>152</v>
      </c>
      <c r="B153" s="25" cm="1">
        <f t="array" aca="1" ref="B153" ca="1">MIN(IF($E:$E=E153,$H:$H))</f>
        <v>45750</v>
      </c>
      <c r="C153" s="25">
        <f t="shared" ca="1" si="29"/>
        <v>8</v>
      </c>
      <c r="D153" s="42">
        <f ca="1">COUNTIF(E:E,combined_tbl!$E153)</f>
        <v>6</v>
      </c>
      <c r="E153" s="24" t="str">
        <f t="shared" ca="1" si="36"/>
        <v>Customer005</v>
      </c>
      <c r="F153" s="24" t="str" cm="1">
        <f t="array" aca="1" ref="F153" ca="1">INDEX({"Male","Female"}, RANDBETWEEN(1,2))</f>
        <v>Male</v>
      </c>
      <c r="G153" s="29" t="str">
        <f t="shared" ca="1" si="27"/>
        <v>East</v>
      </c>
      <c r="H153" s="48">
        <f t="shared" ca="1" si="30"/>
        <v>45750</v>
      </c>
      <c r="I153" s="24">
        <f t="shared" ca="1" si="31"/>
        <v>3</v>
      </c>
      <c r="J153" s="46" t="str">
        <f t="shared" ca="1" si="37"/>
        <v>April</v>
      </c>
      <c r="K153" s="24">
        <f t="shared" ca="1" si="32"/>
        <v>2025</v>
      </c>
      <c r="L153" s="24" t="str">
        <f t="shared" ca="1" si="33"/>
        <v>Bronze</v>
      </c>
      <c r="M153" s="24">
        <v>153</v>
      </c>
      <c r="N153" s="24" t="s">
        <v>831</v>
      </c>
      <c r="O153" s="24" t="s">
        <v>1011</v>
      </c>
      <c r="P153" s="26">
        <v>220</v>
      </c>
      <c r="Q153" s="26">
        <v>272.8</v>
      </c>
      <c r="R153" s="24">
        <v>153</v>
      </c>
      <c r="S153" s="24" t="str">
        <f t="shared" si="34"/>
        <v>Oct</v>
      </c>
      <c r="T153" s="46">
        <v>45590</v>
      </c>
      <c r="U153" s="24">
        <v>1</v>
      </c>
      <c r="V153" s="37">
        <v>31</v>
      </c>
      <c r="W153" s="24">
        <v>43</v>
      </c>
      <c r="X153" s="24">
        <v>2</v>
      </c>
      <c r="Y153" s="26">
        <f>combined_tbl!$Q153*(1-combined_tbl!$Z153)</f>
        <v>259.16000000000003</v>
      </c>
      <c r="Z153" s="27">
        <f>IF(combined_tbl!$Q153&gt;=500,0.2, IF(combined_tbl!$Q153&gt;=200,0.05, IF(combined_tbl!$X153&gt;=2,0.05,0)))</f>
        <v>0.05</v>
      </c>
      <c r="AA153" s="26">
        <f>combined_tbl!$Y153*combined_tbl!$X153</f>
        <v>518.32000000000005</v>
      </c>
      <c r="AB153" s="28">
        <f>(combined_tbl!$Q153*(1+combined_tbl!$Z153)-combined_tbl!$P153)*combined_tbl!$X153</f>
        <v>132.88</v>
      </c>
    </row>
    <row r="154" spans="1:28" x14ac:dyDescent="0.3">
      <c r="A154" s="19">
        <v>153</v>
      </c>
      <c r="B154" s="25" cm="1">
        <f t="array" aca="1" ref="B154" ca="1">MIN(IF($E:$E=E154,$H:$H))</f>
        <v>45356</v>
      </c>
      <c r="C154" s="25">
        <f t="shared" ca="1" si="29"/>
        <v>20</v>
      </c>
      <c r="D154" s="43">
        <f ca="1">COUNTIF(E:E,combined_tbl!$E154)</f>
        <v>2</v>
      </c>
      <c r="E154" s="29" t="str">
        <f t="shared" ca="1" si="36"/>
        <v>Customer053</v>
      </c>
      <c r="F154" s="29" t="str" cm="1">
        <f t="array" aca="1" ref="F154" ca="1">INDEX({"Male","Female"}, RANDBETWEEN(1,2))</f>
        <v>Female</v>
      </c>
      <c r="G154" s="29" t="str">
        <f t="shared" ca="1" si="27"/>
        <v>North</v>
      </c>
      <c r="H154" s="48">
        <f t="shared" ca="1" si="30"/>
        <v>45356</v>
      </c>
      <c r="I154" s="24">
        <f t="shared" ca="1" si="31"/>
        <v>5</v>
      </c>
      <c r="J154" s="46" t="str">
        <f t="shared" ca="1" si="37"/>
        <v>March</v>
      </c>
      <c r="K154" s="24">
        <f t="shared" ca="1" si="32"/>
        <v>2024</v>
      </c>
      <c r="L154" s="24" t="str">
        <f t="shared" ca="1" si="33"/>
        <v>Bronze</v>
      </c>
      <c r="M154" s="29">
        <v>154</v>
      </c>
      <c r="N154" s="29" t="s">
        <v>847</v>
      </c>
      <c r="O154" s="29" t="s">
        <v>1012</v>
      </c>
      <c r="P154" s="30">
        <v>131</v>
      </c>
      <c r="Q154" s="30">
        <v>148.02999999999997</v>
      </c>
      <c r="R154" s="29">
        <v>154</v>
      </c>
      <c r="S154" s="24" t="str">
        <f t="shared" si="34"/>
        <v>Dec</v>
      </c>
      <c r="T154" s="47">
        <v>45283</v>
      </c>
      <c r="U154" s="29">
        <v>5</v>
      </c>
      <c r="V154" s="38">
        <v>5</v>
      </c>
      <c r="W154" s="29">
        <v>16</v>
      </c>
      <c r="X154" s="29">
        <v>1</v>
      </c>
      <c r="Y154" s="30">
        <f>combined_tbl!$Q154*(1-combined_tbl!$Z154)</f>
        <v>148.02999999999997</v>
      </c>
      <c r="Z154" s="31">
        <f>IF(combined_tbl!$Q154&gt;=500,0.2, IF(combined_tbl!$Q154&gt;=200,0.05, IF(combined_tbl!$X154&gt;=2,0.05,0)))</f>
        <v>0</v>
      </c>
      <c r="AA154" s="30">
        <f>combined_tbl!$Y154*combined_tbl!$X154</f>
        <v>148.02999999999997</v>
      </c>
      <c r="AB154" s="32">
        <f>(combined_tbl!$Q154*(1+combined_tbl!$Z154)-combined_tbl!$P154)*combined_tbl!$X154</f>
        <v>17.029999999999973</v>
      </c>
    </row>
    <row r="155" spans="1:28" x14ac:dyDescent="0.3">
      <c r="A155" s="24">
        <v>154</v>
      </c>
      <c r="B155" s="25" cm="1">
        <f t="array" aca="1" ref="B155" ca="1">MIN(IF($E:$E=E155,$H:$H))</f>
        <v>45819</v>
      </c>
      <c r="C155" s="25">
        <f t="shared" ca="1" si="29"/>
        <v>5</v>
      </c>
      <c r="D155" s="42">
        <f ca="1">COUNTIF(E:E,combined_tbl!$E155)</f>
        <v>1</v>
      </c>
      <c r="E155" s="24" t="str">
        <f t="shared" ca="1" si="36"/>
        <v>Customer106</v>
      </c>
      <c r="F155" s="24" t="str" cm="1">
        <f t="array" aca="1" ref="F155" ca="1">INDEX({"Male","Female"}, RANDBETWEEN(1,2))</f>
        <v>Female</v>
      </c>
      <c r="G155" s="29" t="str">
        <f t="shared" ca="1" si="27"/>
        <v>South</v>
      </c>
      <c r="H155" s="48">
        <f t="shared" ca="1" si="30"/>
        <v>45819</v>
      </c>
      <c r="I155" s="24">
        <f t="shared" ca="1" si="31"/>
        <v>11</v>
      </c>
      <c r="J155" s="46" t="str">
        <f t="shared" ca="1" si="37"/>
        <v>June</v>
      </c>
      <c r="K155" s="24">
        <f t="shared" ca="1" si="32"/>
        <v>2025</v>
      </c>
      <c r="L155" s="24" t="str">
        <f t="shared" ca="1" si="33"/>
        <v>Bronze</v>
      </c>
      <c r="M155" s="24">
        <v>155</v>
      </c>
      <c r="N155" s="24" t="s">
        <v>837</v>
      </c>
      <c r="O155" s="24" t="s">
        <v>1013</v>
      </c>
      <c r="P155" s="26">
        <v>249</v>
      </c>
      <c r="Q155" s="26">
        <v>318.72000000000003</v>
      </c>
      <c r="R155" s="24">
        <v>155</v>
      </c>
      <c r="S155" s="24" t="str">
        <f t="shared" si="34"/>
        <v>Apr</v>
      </c>
      <c r="T155" s="46">
        <v>45034</v>
      </c>
      <c r="U155" s="24">
        <v>3</v>
      </c>
      <c r="V155" s="37">
        <v>133</v>
      </c>
      <c r="W155" s="24">
        <v>96</v>
      </c>
      <c r="X155" s="24">
        <v>1</v>
      </c>
      <c r="Y155" s="26">
        <f>combined_tbl!$Q155*(1-combined_tbl!$Z155)</f>
        <v>302.78399999999999</v>
      </c>
      <c r="Z155" s="27">
        <f>IF(combined_tbl!$Q155&gt;=500,0.2, IF(combined_tbl!$Q155&gt;=200,0.05, IF(combined_tbl!$X155&gt;=2,0.05,0)))</f>
        <v>0.05</v>
      </c>
      <c r="AA155" s="26">
        <f>combined_tbl!$Y155*combined_tbl!$X155</f>
        <v>302.78399999999999</v>
      </c>
      <c r="AB155" s="28">
        <f>(combined_tbl!$Q155*(1+combined_tbl!$Z155)-combined_tbl!$P155)*combined_tbl!$X155</f>
        <v>85.656000000000063</v>
      </c>
    </row>
    <row r="156" spans="1:28" x14ac:dyDescent="0.3">
      <c r="A156" s="29">
        <v>155</v>
      </c>
      <c r="B156" s="25" cm="1">
        <f t="array" aca="1" ref="B156" ca="1">MIN(IF($E:$E=E156,$H:$H))</f>
        <v>45148</v>
      </c>
      <c r="C156" s="25">
        <f t="shared" ca="1" si="29"/>
        <v>27</v>
      </c>
      <c r="D156" s="43">
        <f ca="1">COUNTIF(E:E,combined_tbl!$E156)</f>
        <v>3</v>
      </c>
      <c r="E156" s="29" t="str">
        <f t="shared" ca="1" si="36"/>
        <v>Customer036</v>
      </c>
      <c r="F156" s="29" t="str" cm="1">
        <f t="array" aca="1" ref="F156" ca="1">INDEX({"Male","Female"}, RANDBETWEEN(1,2))</f>
        <v>Male</v>
      </c>
      <c r="G156" s="29" t="str">
        <f t="shared" ca="1" si="27"/>
        <v>North</v>
      </c>
      <c r="H156" s="48">
        <f t="shared" ca="1" si="30"/>
        <v>45148</v>
      </c>
      <c r="I156" s="24">
        <f t="shared" ca="1" si="31"/>
        <v>10</v>
      </c>
      <c r="J156" s="46" t="str">
        <f t="shared" ca="1" si="37"/>
        <v>August</v>
      </c>
      <c r="K156" s="24">
        <f t="shared" ca="1" si="32"/>
        <v>2023</v>
      </c>
      <c r="L156" s="24" t="str">
        <f t="shared" ca="1" si="33"/>
        <v>Silver</v>
      </c>
      <c r="M156" s="29">
        <v>156</v>
      </c>
      <c r="N156" s="29" t="s">
        <v>847</v>
      </c>
      <c r="O156" s="29" t="s">
        <v>1014</v>
      </c>
      <c r="P156" s="30">
        <v>135</v>
      </c>
      <c r="Q156" s="30">
        <v>153.9</v>
      </c>
      <c r="R156" s="29">
        <v>156</v>
      </c>
      <c r="S156" s="24" t="str">
        <f t="shared" si="34"/>
        <v>May</v>
      </c>
      <c r="T156" s="47">
        <v>45789</v>
      </c>
      <c r="U156" s="29">
        <v>2</v>
      </c>
      <c r="V156" s="38">
        <v>84</v>
      </c>
      <c r="W156" s="29">
        <v>19</v>
      </c>
      <c r="X156" s="29">
        <v>1</v>
      </c>
      <c r="Y156" s="30">
        <f>combined_tbl!$Q156*(1-combined_tbl!$Z156)</f>
        <v>153.9</v>
      </c>
      <c r="Z156" s="31">
        <f>IF(combined_tbl!$Q156&gt;=500,0.2, IF(combined_tbl!$Q156&gt;=200,0.05, IF(combined_tbl!$X156&gt;=2,0.05,0)))</f>
        <v>0</v>
      </c>
      <c r="AA156" s="30">
        <f>combined_tbl!$Y156*combined_tbl!$X156</f>
        <v>153.9</v>
      </c>
      <c r="AB156" s="32">
        <f>(combined_tbl!$Q156*(1+combined_tbl!$Z156)-combined_tbl!$P156)*combined_tbl!$X156</f>
        <v>18.900000000000006</v>
      </c>
    </row>
    <row r="157" spans="1:28" x14ac:dyDescent="0.3">
      <c r="A157" s="29">
        <v>156</v>
      </c>
      <c r="B157" s="25" cm="1">
        <f t="array" aca="1" ref="B157" ca="1">MIN(IF($E:$E=E157,$H:$H))</f>
        <v>45182</v>
      </c>
      <c r="C157" s="25">
        <f t="shared" ca="1" si="29"/>
        <v>26</v>
      </c>
      <c r="D157" s="42">
        <f ca="1">COUNTIF(E:E,combined_tbl!$E157)</f>
        <v>13</v>
      </c>
      <c r="E157" s="24" t="str">
        <f t="shared" ca="1" si="36"/>
        <v>Customer024</v>
      </c>
      <c r="F157" s="24" t="str" cm="1">
        <f t="array" aca="1" ref="F157" ca="1">INDEX({"Male","Female"}, RANDBETWEEN(1,2))</f>
        <v>Female</v>
      </c>
      <c r="G157" s="29" t="str">
        <f t="shared" ca="1" si="27"/>
        <v>East</v>
      </c>
      <c r="H157" s="48">
        <f t="shared" ca="1" si="30"/>
        <v>45182</v>
      </c>
      <c r="I157" s="24">
        <f t="shared" ca="1" si="31"/>
        <v>13</v>
      </c>
      <c r="J157" s="46" t="str">
        <f t="shared" ca="1" si="37"/>
        <v>September</v>
      </c>
      <c r="K157" s="24">
        <f t="shared" ca="1" si="32"/>
        <v>2023</v>
      </c>
      <c r="L157" s="24" t="str">
        <f t="shared" ca="1" si="33"/>
        <v>Platinum</v>
      </c>
      <c r="M157" s="24">
        <v>157</v>
      </c>
      <c r="N157" s="24" t="s">
        <v>851</v>
      </c>
      <c r="O157" s="24" t="s">
        <v>1015</v>
      </c>
      <c r="P157" s="26">
        <v>189</v>
      </c>
      <c r="Q157" s="26">
        <v>228.69</v>
      </c>
      <c r="R157" s="24">
        <v>157</v>
      </c>
      <c r="S157" s="24" t="str">
        <f t="shared" si="34"/>
        <v>May</v>
      </c>
      <c r="T157" s="46">
        <v>45057</v>
      </c>
      <c r="U157" s="24">
        <v>8</v>
      </c>
      <c r="V157" s="37">
        <v>192</v>
      </c>
      <c r="W157" s="24">
        <v>28</v>
      </c>
      <c r="X157" s="24">
        <v>2</v>
      </c>
      <c r="Y157" s="26">
        <f>combined_tbl!$Q157*(1-combined_tbl!$Z157)</f>
        <v>217.25549999999998</v>
      </c>
      <c r="Z157" s="27">
        <f>IF(combined_tbl!$Q157&gt;=500,0.2, IF(combined_tbl!$Q157&gt;=200,0.05, IF(combined_tbl!$X157&gt;=2,0.05,0)))</f>
        <v>0.05</v>
      </c>
      <c r="AA157" s="26">
        <f>combined_tbl!$Y157*combined_tbl!$X157</f>
        <v>434.51099999999997</v>
      </c>
      <c r="AB157" s="28">
        <f>(combined_tbl!$Q157*(1+combined_tbl!$Z157)-combined_tbl!$P157)*combined_tbl!$X157</f>
        <v>102.24900000000002</v>
      </c>
    </row>
    <row r="158" spans="1:28" x14ac:dyDescent="0.3">
      <c r="A158" s="29">
        <v>157</v>
      </c>
      <c r="B158" s="25" cm="1">
        <f t="array" aca="1" ref="B158" ca="1">MIN(IF($E:$E=E158,$H:$H))</f>
        <v>45826</v>
      </c>
      <c r="C158" s="25">
        <f t="shared" ca="1" si="29"/>
        <v>5</v>
      </c>
      <c r="D158" s="43">
        <f ca="1">COUNTIF(E:E,combined_tbl!$E158)</f>
        <v>7</v>
      </c>
      <c r="E158" s="29" t="str">
        <f t="shared" ca="1" si="36"/>
        <v>Customer049</v>
      </c>
      <c r="F158" s="29" t="str" cm="1">
        <f t="array" aca="1" ref="F158" ca="1">INDEX({"Male","Female"}, RANDBETWEEN(1,2))</f>
        <v>Male</v>
      </c>
      <c r="G158" s="29" t="str">
        <f t="shared" ca="1" si="27"/>
        <v>West</v>
      </c>
      <c r="H158" s="48">
        <f t="shared" ca="1" si="30"/>
        <v>45826</v>
      </c>
      <c r="I158" s="24">
        <f t="shared" ca="1" si="31"/>
        <v>18</v>
      </c>
      <c r="J158" s="46" t="str">
        <f t="shared" ca="1" si="37"/>
        <v>June</v>
      </c>
      <c r="K158" s="24">
        <f t="shared" ca="1" si="32"/>
        <v>2025</v>
      </c>
      <c r="L158" s="24" t="str">
        <f t="shared" ca="1" si="33"/>
        <v>Bronze</v>
      </c>
      <c r="M158" s="29">
        <v>158</v>
      </c>
      <c r="N158" s="29" t="s">
        <v>957</v>
      </c>
      <c r="O158" s="29" t="s">
        <v>1016</v>
      </c>
      <c r="P158" s="30">
        <v>154</v>
      </c>
      <c r="Q158" s="30">
        <v>204.82000000000002</v>
      </c>
      <c r="R158" s="29">
        <v>158</v>
      </c>
      <c r="S158" s="24" t="str">
        <f t="shared" si="34"/>
        <v>Jul</v>
      </c>
      <c r="T158" s="47">
        <v>45845</v>
      </c>
      <c r="U158" s="29">
        <v>6</v>
      </c>
      <c r="V158" s="38">
        <v>184</v>
      </c>
      <c r="W158" s="29">
        <v>23</v>
      </c>
      <c r="X158" s="29">
        <v>1</v>
      </c>
      <c r="Y158" s="30">
        <f>combined_tbl!$Q158*(1-combined_tbl!$Z158)</f>
        <v>194.57900000000001</v>
      </c>
      <c r="Z158" s="31">
        <f>IF(combined_tbl!$Q158&gt;=500,0.2, IF(combined_tbl!$Q158&gt;=200,0.05, IF(combined_tbl!$X158&gt;=2,0.05,0)))</f>
        <v>0.05</v>
      </c>
      <c r="AA158" s="30">
        <f>combined_tbl!$Y158*combined_tbl!$X158</f>
        <v>194.57900000000001</v>
      </c>
      <c r="AB158" s="32">
        <f>(combined_tbl!$Q158*(1+combined_tbl!$Z158)-combined_tbl!$P158)*combined_tbl!$X158</f>
        <v>61.061000000000035</v>
      </c>
    </row>
    <row r="159" spans="1:28" x14ac:dyDescent="0.3">
      <c r="A159" s="29">
        <v>158</v>
      </c>
      <c r="B159" s="25" cm="1">
        <f t="array" aca="1" ref="B159" ca="1">MIN(IF($E:$E=E159,$H:$H))</f>
        <v>45667</v>
      </c>
      <c r="C159" s="25">
        <f t="shared" ca="1" si="29"/>
        <v>10</v>
      </c>
      <c r="D159" s="42">
        <f ca="1">COUNTIF(E:E,combined_tbl!$E159)</f>
        <v>5</v>
      </c>
      <c r="E159" s="24" t="str">
        <f t="shared" ca="1" si="36"/>
        <v>Customer067</v>
      </c>
      <c r="F159" s="24" t="str" cm="1">
        <f t="array" aca="1" ref="F159" ca="1">INDEX({"Male","Female"}, RANDBETWEEN(1,2))</f>
        <v>Male</v>
      </c>
      <c r="G159" s="29" t="str">
        <f t="shared" ca="1" si="27"/>
        <v>East</v>
      </c>
      <c r="H159" s="48">
        <f t="shared" ca="1" si="30"/>
        <v>45667</v>
      </c>
      <c r="I159" s="24">
        <f t="shared" ca="1" si="31"/>
        <v>10</v>
      </c>
      <c r="J159" s="46" t="str">
        <f t="shared" ca="1" si="37"/>
        <v>January</v>
      </c>
      <c r="K159" s="24">
        <f t="shared" ca="1" si="32"/>
        <v>2025</v>
      </c>
      <c r="L159" s="24" t="str">
        <f t="shared" ca="1" si="33"/>
        <v>Bronze</v>
      </c>
      <c r="M159" s="24">
        <v>159</v>
      </c>
      <c r="N159" s="24" t="s">
        <v>851</v>
      </c>
      <c r="O159" s="24" t="s">
        <v>1017</v>
      </c>
      <c r="P159" s="26">
        <v>21</v>
      </c>
      <c r="Q159" s="26">
        <v>30.66</v>
      </c>
      <c r="R159" s="24">
        <v>159</v>
      </c>
      <c r="S159" s="24" t="str">
        <f t="shared" si="34"/>
        <v>Aug</v>
      </c>
      <c r="T159" s="46">
        <v>45150</v>
      </c>
      <c r="U159" s="24">
        <v>8</v>
      </c>
      <c r="V159" s="37">
        <v>126</v>
      </c>
      <c r="W159" s="24">
        <v>62</v>
      </c>
      <c r="X159" s="24">
        <v>2</v>
      </c>
      <c r="Y159" s="26">
        <f>combined_tbl!$Q159*(1-combined_tbl!$Z159)</f>
        <v>29.126999999999999</v>
      </c>
      <c r="Z159" s="27">
        <f>IF(combined_tbl!$Q159&gt;=500,0.2, IF(combined_tbl!$Q159&gt;=200,0.05, IF(combined_tbl!$X159&gt;=2,0.05,0)))</f>
        <v>0.05</v>
      </c>
      <c r="AA159" s="26">
        <f>combined_tbl!$Y159*combined_tbl!$X159</f>
        <v>58.253999999999998</v>
      </c>
      <c r="AB159" s="28">
        <f>(combined_tbl!$Q159*(1+combined_tbl!$Z159)-combined_tbl!$P159)*combined_tbl!$X159</f>
        <v>22.38600000000001</v>
      </c>
    </row>
    <row r="160" spans="1:28" x14ac:dyDescent="0.3">
      <c r="A160" s="29">
        <v>159</v>
      </c>
      <c r="B160" s="25" cm="1">
        <f t="array" aca="1" ref="B160" ca="1">MIN(IF($E:$E=E160,$H:$H))</f>
        <v>45809</v>
      </c>
      <c r="C160" s="25">
        <f t="shared" ca="1" si="29"/>
        <v>6</v>
      </c>
      <c r="D160" s="43">
        <f ca="1">COUNTIF(E:E,combined_tbl!$E160)</f>
        <v>10</v>
      </c>
      <c r="E160" s="29" t="str">
        <f t="shared" ca="1" si="36"/>
        <v>Customer019</v>
      </c>
      <c r="F160" s="29" t="str" cm="1">
        <f t="array" aca="1" ref="F160" ca="1">INDEX({"Male","Female"}, RANDBETWEEN(1,2))</f>
        <v>Female</v>
      </c>
      <c r="G160" s="29" t="str">
        <f t="shared" ca="1" si="27"/>
        <v>North</v>
      </c>
      <c r="H160" s="48">
        <f t="shared" ca="1" si="30"/>
        <v>45809</v>
      </c>
      <c r="I160" s="24">
        <f t="shared" ca="1" si="31"/>
        <v>1</v>
      </c>
      <c r="J160" s="46" t="str">
        <f t="shared" ca="1" si="37"/>
        <v>June</v>
      </c>
      <c r="K160" s="24">
        <f t="shared" ca="1" si="32"/>
        <v>2025</v>
      </c>
      <c r="L160" s="24" t="str">
        <f t="shared" ca="1" si="33"/>
        <v>Bronze</v>
      </c>
      <c r="M160" s="29">
        <v>160</v>
      </c>
      <c r="N160" s="29" t="s">
        <v>851</v>
      </c>
      <c r="O160" s="29" t="s">
        <v>1018</v>
      </c>
      <c r="P160" s="30">
        <v>55</v>
      </c>
      <c r="Q160" s="30">
        <v>66.55</v>
      </c>
      <c r="R160" s="29">
        <v>160</v>
      </c>
      <c r="S160" s="24" t="str">
        <f t="shared" si="34"/>
        <v>Oct</v>
      </c>
      <c r="T160" s="47">
        <v>45958</v>
      </c>
      <c r="U160" s="29">
        <v>4</v>
      </c>
      <c r="V160" s="38">
        <v>40</v>
      </c>
      <c r="W160" s="29">
        <v>56</v>
      </c>
      <c r="X160" s="29">
        <v>4</v>
      </c>
      <c r="Y160" s="30">
        <f>combined_tbl!$Q160*(1-combined_tbl!$Z160)</f>
        <v>63.222499999999997</v>
      </c>
      <c r="Z160" s="31">
        <f>IF(combined_tbl!$Q160&gt;=500,0.2, IF(combined_tbl!$Q160&gt;=200,0.05, IF(combined_tbl!$X160&gt;=2,0.05,0)))</f>
        <v>0.05</v>
      </c>
      <c r="AA160" s="30">
        <f>combined_tbl!$Y160*combined_tbl!$X160</f>
        <v>252.89</v>
      </c>
      <c r="AB160" s="32">
        <f>(combined_tbl!$Q160*(1+combined_tbl!$Z160)-combined_tbl!$P160)*combined_tbl!$X160</f>
        <v>59.509999999999991</v>
      </c>
    </row>
    <row r="161" spans="1:28" x14ac:dyDescent="0.3">
      <c r="A161" s="29">
        <v>160</v>
      </c>
      <c r="B161" s="25" cm="1">
        <f t="array" aca="1" ref="B161" ca="1">MIN(IF($E:$E=E161,$H:$H))</f>
        <v>45987</v>
      </c>
      <c r="C161" s="25">
        <f t="shared" ca="1" si="29"/>
        <v>0</v>
      </c>
      <c r="D161" s="42">
        <f ca="1">COUNTIF(E:E,combined_tbl!$E161)</f>
        <v>1</v>
      </c>
      <c r="E161" s="24" t="str">
        <f t="shared" ca="1" si="36"/>
        <v>Customer117</v>
      </c>
      <c r="F161" s="24" t="str" cm="1">
        <f t="array" aca="1" ref="F161" ca="1">INDEX({"Male","Female"}, RANDBETWEEN(1,2))</f>
        <v>Male</v>
      </c>
      <c r="G161" s="29" t="str">
        <f t="shared" ca="1" si="27"/>
        <v>West</v>
      </c>
      <c r="H161" s="48">
        <f t="shared" ca="1" si="30"/>
        <v>45987</v>
      </c>
      <c r="I161" s="24">
        <f t="shared" ca="1" si="31"/>
        <v>26</v>
      </c>
      <c r="J161" s="46" t="str">
        <f t="shared" ca="1" si="37"/>
        <v>November</v>
      </c>
      <c r="K161" s="24">
        <f t="shared" ca="1" si="32"/>
        <v>2025</v>
      </c>
      <c r="L161" s="24" t="str">
        <f t="shared" ca="1" si="33"/>
        <v>Bronze</v>
      </c>
      <c r="M161" s="24">
        <v>161</v>
      </c>
      <c r="N161" s="24" t="s">
        <v>831</v>
      </c>
      <c r="O161" s="24" t="s">
        <v>1019</v>
      </c>
      <c r="P161" s="26">
        <v>49</v>
      </c>
      <c r="Q161" s="26">
        <v>60.269999999999996</v>
      </c>
      <c r="R161" s="24">
        <v>161</v>
      </c>
      <c r="S161" s="24" t="str">
        <f t="shared" si="34"/>
        <v>Mar</v>
      </c>
      <c r="T161" s="46">
        <v>45015</v>
      </c>
      <c r="U161" s="24">
        <v>5</v>
      </c>
      <c r="V161" s="37">
        <v>103</v>
      </c>
      <c r="W161" s="24">
        <v>71</v>
      </c>
      <c r="X161" s="24">
        <v>1</v>
      </c>
      <c r="Y161" s="26">
        <f>combined_tbl!$Q161*(1-combined_tbl!$Z161)</f>
        <v>60.269999999999996</v>
      </c>
      <c r="Z161" s="27">
        <f>IF(combined_tbl!$Q161&gt;=500,0.2, IF(combined_tbl!$Q161&gt;=200,0.05, IF(combined_tbl!$X161&gt;=2,0.05,0)))</f>
        <v>0</v>
      </c>
      <c r="AA161" s="26">
        <f>combined_tbl!$Y161*combined_tbl!$X161</f>
        <v>60.269999999999996</v>
      </c>
      <c r="AB161" s="28">
        <f>(combined_tbl!$Q161*(1+combined_tbl!$Z161)-combined_tbl!$P161)*combined_tbl!$X161</f>
        <v>11.269999999999996</v>
      </c>
    </row>
    <row r="162" spans="1:28" x14ac:dyDescent="0.3">
      <c r="A162" s="19">
        <v>161</v>
      </c>
      <c r="B162" s="25" cm="1">
        <f t="array" aca="1" ref="B162" ca="1">MIN(IF($E:$E=E162,$H:$H))</f>
        <v>45582</v>
      </c>
      <c r="C162" s="25">
        <f t="shared" ca="1" si="29"/>
        <v>13</v>
      </c>
      <c r="D162" s="43">
        <f ca="1">COUNTIF(E:E,combined_tbl!$E162)</f>
        <v>11</v>
      </c>
      <c r="E162" s="29" t="str">
        <f t="shared" ca="1" si="36"/>
        <v>Customer002</v>
      </c>
      <c r="F162" s="29" t="str" cm="1">
        <f t="array" aca="1" ref="F162" ca="1">INDEX({"Male","Female"}, RANDBETWEEN(1,2))</f>
        <v>Female</v>
      </c>
      <c r="G162" s="29" t="str">
        <f t="shared" ca="1" si="27"/>
        <v>East</v>
      </c>
      <c r="H162" s="48">
        <f t="shared" ca="1" si="30"/>
        <v>45582</v>
      </c>
      <c r="I162" s="24">
        <f t="shared" ca="1" si="31"/>
        <v>17</v>
      </c>
      <c r="J162" s="46" t="str">
        <f t="shared" ca="1" si="37"/>
        <v>October</v>
      </c>
      <c r="K162" s="24">
        <f t="shared" ca="1" si="32"/>
        <v>2024</v>
      </c>
      <c r="L162" s="24" t="str">
        <f t="shared" ca="1" si="33"/>
        <v>Silver</v>
      </c>
      <c r="M162" s="29">
        <v>162</v>
      </c>
      <c r="N162" s="29" t="s">
        <v>837</v>
      </c>
      <c r="O162" s="29" t="s">
        <v>1020</v>
      </c>
      <c r="P162" s="30">
        <v>296</v>
      </c>
      <c r="Q162" s="30">
        <v>396.64000000000004</v>
      </c>
      <c r="R162" s="29">
        <v>162</v>
      </c>
      <c r="S162" s="24" t="str">
        <f t="shared" si="34"/>
        <v>Jul</v>
      </c>
      <c r="T162" s="47">
        <v>45865</v>
      </c>
      <c r="U162" s="29">
        <v>1</v>
      </c>
      <c r="V162" s="38">
        <v>129</v>
      </c>
      <c r="W162" s="29">
        <v>88</v>
      </c>
      <c r="X162" s="29">
        <v>1</v>
      </c>
      <c r="Y162" s="30">
        <f>combined_tbl!$Q162*(1-combined_tbl!$Z162)</f>
        <v>376.80800000000005</v>
      </c>
      <c r="Z162" s="31">
        <f>IF(combined_tbl!$Q162&gt;=500,0.2, IF(combined_tbl!$Q162&gt;=200,0.05, IF(combined_tbl!$X162&gt;=2,0.05,0)))</f>
        <v>0.05</v>
      </c>
      <c r="AA162" s="30">
        <f>combined_tbl!$Y162*combined_tbl!$X162</f>
        <v>376.80800000000005</v>
      </c>
      <c r="AB162" s="32">
        <f>(combined_tbl!$Q162*(1+combined_tbl!$Z162)-combined_tbl!$P162)*combined_tbl!$X162</f>
        <v>120.47200000000004</v>
      </c>
    </row>
    <row r="163" spans="1:28" x14ac:dyDescent="0.3">
      <c r="A163" s="24">
        <v>162</v>
      </c>
      <c r="B163" s="25" cm="1">
        <f t="array" aca="1" ref="B163" ca="1">MIN(IF($E:$E=E163,$H:$H))</f>
        <v>45995</v>
      </c>
      <c r="C163" s="25">
        <f t="shared" ca="1" si="29"/>
        <v>0</v>
      </c>
      <c r="D163" s="42">
        <f ca="1">COUNTIF(E:E,combined_tbl!$E163)</f>
        <v>8</v>
      </c>
      <c r="E163" s="24" t="str">
        <f t="shared" ca="1" si="36"/>
        <v>Customer013</v>
      </c>
      <c r="F163" s="24" t="str" cm="1">
        <f t="array" aca="1" ref="F163" ca="1">INDEX({"Male","Female"}, RANDBETWEEN(1,2))</f>
        <v>Female</v>
      </c>
      <c r="G163" s="29" t="str">
        <f t="shared" ca="1" si="27"/>
        <v>North</v>
      </c>
      <c r="H163" s="48">
        <f t="shared" ca="1" si="30"/>
        <v>45995</v>
      </c>
      <c r="I163" s="24">
        <f t="shared" ca="1" si="31"/>
        <v>4</v>
      </c>
      <c r="J163" s="46" t="str">
        <f t="shared" ca="1" si="37"/>
        <v>December</v>
      </c>
      <c r="K163" s="24">
        <f t="shared" ca="1" si="32"/>
        <v>2025</v>
      </c>
      <c r="L163" s="24" t="str">
        <f t="shared" ca="1" si="33"/>
        <v>Bronze</v>
      </c>
      <c r="M163" s="24">
        <v>163</v>
      </c>
      <c r="N163" s="24" t="s">
        <v>872</v>
      </c>
      <c r="O163" s="24" t="s">
        <v>1021</v>
      </c>
      <c r="P163" s="26">
        <v>137</v>
      </c>
      <c r="Q163" s="26">
        <v>202.76</v>
      </c>
      <c r="R163" s="24">
        <v>163</v>
      </c>
      <c r="S163" s="24" t="str">
        <f t="shared" si="34"/>
        <v>May</v>
      </c>
      <c r="T163" s="46">
        <v>45051</v>
      </c>
      <c r="U163" s="24">
        <v>8</v>
      </c>
      <c r="V163" s="37">
        <v>137</v>
      </c>
      <c r="W163" s="24">
        <v>57</v>
      </c>
      <c r="X163" s="24">
        <v>1</v>
      </c>
      <c r="Y163" s="26">
        <f>combined_tbl!$Q163*(1-combined_tbl!$Z163)</f>
        <v>192.62199999999999</v>
      </c>
      <c r="Z163" s="27">
        <f>IF(combined_tbl!$Q163&gt;=500,0.2, IF(combined_tbl!$Q163&gt;=200,0.05, IF(combined_tbl!$X163&gt;=2,0.05,0)))</f>
        <v>0.05</v>
      </c>
      <c r="AA163" s="26">
        <f>combined_tbl!$Y163*combined_tbl!$X163</f>
        <v>192.62199999999999</v>
      </c>
      <c r="AB163" s="28">
        <f>(combined_tbl!$Q163*(1+combined_tbl!$Z163)-combined_tbl!$P163)*combined_tbl!$X163</f>
        <v>75.897999999999996</v>
      </c>
    </row>
    <row r="164" spans="1:28" x14ac:dyDescent="0.3">
      <c r="A164" s="29">
        <v>163</v>
      </c>
      <c r="B164" s="25" cm="1">
        <f t="array" aca="1" ref="B164" ca="1">MIN(IF($E:$E=E164,$H:$H))</f>
        <v>45862</v>
      </c>
      <c r="C164" s="25">
        <f t="shared" ca="1" si="29"/>
        <v>4</v>
      </c>
      <c r="D164" s="43">
        <f ca="1">COUNTIF(E:E,combined_tbl!$E164)</f>
        <v>1</v>
      </c>
      <c r="E164" s="29" t="str">
        <f t="shared" ca="1" si="36"/>
        <v>Customer084</v>
      </c>
      <c r="F164" s="29" t="str" cm="1">
        <f t="array" aca="1" ref="F164" ca="1">INDEX({"Male","Female"}, RANDBETWEEN(1,2))</f>
        <v>Female</v>
      </c>
      <c r="G164" s="29" t="str">
        <f t="shared" ca="1" si="27"/>
        <v>East</v>
      </c>
      <c r="H164" s="48">
        <f t="shared" ca="1" si="30"/>
        <v>45862</v>
      </c>
      <c r="I164" s="24">
        <f t="shared" ca="1" si="31"/>
        <v>24</v>
      </c>
      <c r="J164" s="46" t="str">
        <f t="shared" ca="1" si="37"/>
        <v>July</v>
      </c>
      <c r="K164" s="24">
        <f t="shared" ca="1" si="32"/>
        <v>2025</v>
      </c>
      <c r="L164" s="24" t="str">
        <f t="shared" ca="1" si="33"/>
        <v>Bronze</v>
      </c>
      <c r="M164" s="29">
        <v>164</v>
      </c>
      <c r="N164" s="29" t="s">
        <v>851</v>
      </c>
      <c r="O164" s="29" t="s">
        <v>1022</v>
      </c>
      <c r="P164" s="30">
        <v>36</v>
      </c>
      <c r="Q164" s="30">
        <v>46.08</v>
      </c>
      <c r="R164" s="29">
        <v>164</v>
      </c>
      <c r="S164" s="24" t="str">
        <f t="shared" si="34"/>
        <v>Apr</v>
      </c>
      <c r="T164" s="47">
        <v>45749</v>
      </c>
      <c r="U164" s="29">
        <v>7</v>
      </c>
      <c r="V164" s="38">
        <v>109</v>
      </c>
      <c r="W164" s="29">
        <v>55</v>
      </c>
      <c r="X164" s="29">
        <v>2</v>
      </c>
      <c r="Y164" s="30">
        <f>combined_tbl!$Q164*(1-combined_tbl!$Z164)</f>
        <v>43.775999999999996</v>
      </c>
      <c r="Z164" s="31">
        <f>IF(combined_tbl!$Q164&gt;=500,0.2, IF(combined_tbl!$Q164&gt;=200,0.05, IF(combined_tbl!$X164&gt;=2,0.05,0)))</f>
        <v>0.05</v>
      </c>
      <c r="AA164" s="30">
        <f>combined_tbl!$Y164*combined_tbl!$X164</f>
        <v>87.551999999999992</v>
      </c>
      <c r="AB164" s="32">
        <f>(combined_tbl!$Q164*(1+combined_tbl!$Z164)-combined_tbl!$P164)*combined_tbl!$X164</f>
        <v>24.768000000000001</v>
      </c>
    </row>
    <row r="165" spans="1:28" x14ac:dyDescent="0.3">
      <c r="A165" s="29">
        <v>164</v>
      </c>
      <c r="B165" s="25" cm="1">
        <f t="array" aca="1" ref="B165" ca="1">MIN(IF($E:$E=E165,$H:$H))</f>
        <v>45884</v>
      </c>
      <c r="C165" s="25">
        <f t="shared" ca="1" si="29"/>
        <v>3</v>
      </c>
      <c r="D165" s="42">
        <f ca="1">COUNTIF(E:E,combined_tbl!$E165)</f>
        <v>2</v>
      </c>
      <c r="E165" s="24" t="str">
        <f t="shared" ca="1" si="36"/>
        <v>Customer081</v>
      </c>
      <c r="F165" s="24" t="str" cm="1">
        <f t="array" aca="1" ref="F165" ca="1">INDEX({"Male","Female"}, RANDBETWEEN(1,2))</f>
        <v>Female</v>
      </c>
      <c r="G165" s="29" t="str">
        <f t="shared" ca="1" si="27"/>
        <v>South</v>
      </c>
      <c r="H165" s="48">
        <f t="shared" ca="1" si="30"/>
        <v>45884</v>
      </c>
      <c r="I165" s="24">
        <f t="shared" ca="1" si="31"/>
        <v>15</v>
      </c>
      <c r="J165" s="46" t="str">
        <f t="shared" ca="1" si="37"/>
        <v>August</v>
      </c>
      <c r="K165" s="24">
        <f t="shared" ca="1" si="32"/>
        <v>2025</v>
      </c>
      <c r="L165" s="24" t="str">
        <f t="shared" ca="1" si="33"/>
        <v>Bronze</v>
      </c>
      <c r="M165" s="24">
        <v>165</v>
      </c>
      <c r="N165" s="24" t="s">
        <v>851</v>
      </c>
      <c r="O165" s="24" t="s">
        <v>1023</v>
      </c>
      <c r="P165" s="26">
        <v>109</v>
      </c>
      <c r="Q165" s="26">
        <v>128.62</v>
      </c>
      <c r="R165" s="24">
        <v>165</v>
      </c>
      <c r="S165" s="24" t="str">
        <f t="shared" si="34"/>
        <v>Aug</v>
      </c>
      <c r="T165" s="46">
        <v>45148</v>
      </c>
      <c r="U165" s="24">
        <v>8</v>
      </c>
      <c r="V165" s="37">
        <v>120</v>
      </c>
      <c r="W165" s="24">
        <v>89</v>
      </c>
      <c r="X165" s="24">
        <v>1</v>
      </c>
      <c r="Y165" s="26">
        <f>combined_tbl!$Q165*(1-combined_tbl!$Z165)</f>
        <v>128.62</v>
      </c>
      <c r="Z165" s="27">
        <f>IF(combined_tbl!$Q165&gt;=500,0.2, IF(combined_tbl!$Q165&gt;=200,0.05, IF(combined_tbl!$X165&gt;=2,0.05,0)))</f>
        <v>0</v>
      </c>
      <c r="AA165" s="26">
        <f>combined_tbl!$Y165*combined_tbl!$X165</f>
        <v>128.62</v>
      </c>
      <c r="AB165" s="28">
        <f>(combined_tbl!$Q165*(1+combined_tbl!$Z165)-combined_tbl!$P165)*combined_tbl!$X165</f>
        <v>19.620000000000005</v>
      </c>
    </row>
    <row r="166" spans="1:28" x14ac:dyDescent="0.3">
      <c r="A166" s="29">
        <v>165</v>
      </c>
      <c r="B166" s="25" cm="1">
        <f t="array" aca="1" ref="B166" ca="1">MIN(IF($E:$E=E166,$H:$H))</f>
        <v>45787</v>
      </c>
      <c r="C166" s="25">
        <f t="shared" ca="1" si="29"/>
        <v>6</v>
      </c>
      <c r="D166" s="43">
        <f ca="1">COUNTIF(E:E,combined_tbl!$E166)</f>
        <v>8</v>
      </c>
      <c r="E166" s="29" t="str">
        <f t="shared" ca="1" si="36"/>
        <v>Customer006</v>
      </c>
      <c r="F166" s="29" t="str" cm="1">
        <f t="array" aca="1" ref="F166" ca="1">INDEX({"Male","Female"}, RANDBETWEEN(1,2))</f>
        <v>Male</v>
      </c>
      <c r="G166" s="29" t="str">
        <f t="shared" ca="1" si="27"/>
        <v>North</v>
      </c>
      <c r="H166" s="48">
        <f t="shared" ca="1" si="30"/>
        <v>45787</v>
      </c>
      <c r="I166" s="24">
        <f t="shared" ca="1" si="31"/>
        <v>10</v>
      </c>
      <c r="J166" s="46" t="str">
        <f t="shared" ca="1" si="37"/>
        <v>May</v>
      </c>
      <c r="K166" s="24">
        <f t="shared" ca="1" si="32"/>
        <v>2025</v>
      </c>
      <c r="L166" s="24" t="str">
        <f t="shared" ca="1" si="33"/>
        <v>Bronze</v>
      </c>
      <c r="M166" s="29">
        <v>166</v>
      </c>
      <c r="N166" s="29" t="s">
        <v>955</v>
      </c>
      <c r="O166" s="29" t="s">
        <v>1024</v>
      </c>
      <c r="P166" s="30">
        <v>364</v>
      </c>
      <c r="Q166" s="30">
        <v>516.88</v>
      </c>
      <c r="R166" s="29">
        <v>166</v>
      </c>
      <c r="S166" s="24" t="str">
        <f t="shared" si="34"/>
        <v>Jun</v>
      </c>
      <c r="T166" s="47">
        <v>45835</v>
      </c>
      <c r="U166" s="29">
        <v>2</v>
      </c>
      <c r="V166" s="38">
        <v>134</v>
      </c>
      <c r="W166" s="29">
        <v>65</v>
      </c>
      <c r="X166" s="29">
        <v>1</v>
      </c>
      <c r="Y166" s="30">
        <f>combined_tbl!$Q166*(1-combined_tbl!$Z166)</f>
        <v>413.50400000000002</v>
      </c>
      <c r="Z166" s="31">
        <f>IF(combined_tbl!$Q166&gt;=500,0.2, IF(combined_tbl!$Q166&gt;=200,0.05, IF(combined_tbl!$X166&gt;=2,0.05,0)))</f>
        <v>0.2</v>
      </c>
      <c r="AA166" s="30">
        <f>combined_tbl!$Y166*combined_tbl!$X166</f>
        <v>413.50400000000002</v>
      </c>
      <c r="AB166" s="32">
        <f>(combined_tbl!$Q166*(1+combined_tbl!$Z166)-combined_tbl!$P166)*combined_tbl!$X166</f>
        <v>256.25599999999997</v>
      </c>
    </row>
    <row r="167" spans="1:28" x14ac:dyDescent="0.3">
      <c r="A167" s="29">
        <v>166</v>
      </c>
      <c r="B167" s="25" cm="1">
        <f t="array" aca="1" ref="B167" ca="1">MIN(IF($E:$E=E167,$H:$H))</f>
        <v>44966</v>
      </c>
      <c r="C167" s="25">
        <f t="shared" ca="1" si="29"/>
        <v>33</v>
      </c>
      <c r="D167" s="42">
        <f ca="1">COUNTIF(E:E,combined_tbl!$E167)</f>
        <v>5</v>
      </c>
      <c r="E167" s="24" t="str">
        <f t="shared" ca="1" si="36"/>
        <v>Customer091</v>
      </c>
      <c r="F167" s="24" t="str" cm="1">
        <f t="array" aca="1" ref="F167" ca="1">INDEX({"Male","Female"}, RANDBETWEEN(1,2))</f>
        <v>Female</v>
      </c>
      <c r="G167" s="29" t="str">
        <f t="shared" ca="1" si="27"/>
        <v>East</v>
      </c>
      <c r="H167" s="48">
        <f t="shared" ca="1" si="30"/>
        <v>44966</v>
      </c>
      <c r="I167" s="24">
        <f t="shared" ca="1" si="31"/>
        <v>9</v>
      </c>
      <c r="J167" s="46" t="str">
        <f t="shared" ca="1" si="37"/>
        <v>February</v>
      </c>
      <c r="K167" s="24">
        <f t="shared" ca="1" si="32"/>
        <v>2023</v>
      </c>
      <c r="L167" s="24" t="str">
        <f t="shared" ca="1" si="33"/>
        <v>Silver</v>
      </c>
      <c r="M167" s="24">
        <v>167</v>
      </c>
      <c r="N167" s="24" t="s">
        <v>1359</v>
      </c>
      <c r="O167" s="24" t="s">
        <v>1025</v>
      </c>
      <c r="P167" s="26">
        <v>62</v>
      </c>
      <c r="Q167" s="26">
        <v>76.88</v>
      </c>
      <c r="R167" s="24">
        <v>167</v>
      </c>
      <c r="S167" s="24" t="str">
        <f t="shared" si="34"/>
        <v>Jun</v>
      </c>
      <c r="T167" s="46">
        <v>45092</v>
      </c>
      <c r="U167" s="24">
        <v>6</v>
      </c>
      <c r="V167" s="37">
        <v>71</v>
      </c>
      <c r="W167" s="24">
        <v>11</v>
      </c>
      <c r="X167" s="24">
        <v>1</v>
      </c>
      <c r="Y167" s="26">
        <f>combined_tbl!$Q167*(1-combined_tbl!$Z167)</f>
        <v>76.88</v>
      </c>
      <c r="Z167" s="27">
        <f>IF(combined_tbl!$Q167&gt;=500,0.2, IF(combined_tbl!$Q167&gt;=200,0.05, IF(combined_tbl!$X167&gt;=2,0.05,0)))</f>
        <v>0</v>
      </c>
      <c r="AA167" s="26">
        <f>combined_tbl!$Y167*combined_tbl!$X167</f>
        <v>76.88</v>
      </c>
      <c r="AB167" s="28">
        <f>(combined_tbl!$Q167*(1+combined_tbl!$Z167)-combined_tbl!$P167)*combined_tbl!$X167</f>
        <v>14.879999999999995</v>
      </c>
    </row>
    <row r="168" spans="1:28" x14ac:dyDescent="0.3">
      <c r="A168" s="29">
        <v>167</v>
      </c>
      <c r="B168" s="25" cm="1">
        <f t="array" aca="1" ref="B168" ca="1">MIN(IF($E:$E=E168,$H:$H))</f>
        <v>45439</v>
      </c>
      <c r="C168" s="25">
        <f t="shared" ca="1" si="29"/>
        <v>18</v>
      </c>
      <c r="D168" s="43">
        <f ca="1">COUNTIF(E:E,combined_tbl!$E168)</f>
        <v>10</v>
      </c>
      <c r="E168" s="29" t="str">
        <f t="shared" ca="1" si="36"/>
        <v>Customer018</v>
      </c>
      <c r="F168" s="29" t="str" cm="1">
        <f t="array" aca="1" ref="F168" ca="1">INDEX({"Male","Female"}, RANDBETWEEN(1,2))</f>
        <v>Female</v>
      </c>
      <c r="G168" s="29" t="str">
        <f t="shared" ca="1" si="27"/>
        <v>East</v>
      </c>
      <c r="H168" s="48">
        <f t="shared" ca="1" si="30"/>
        <v>45439</v>
      </c>
      <c r="I168" s="24">
        <f t="shared" ca="1" si="31"/>
        <v>27</v>
      </c>
      <c r="J168" s="46" t="str">
        <f t="shared" ca="1" si="37"/>
        <v>May</v>
      </c>
      <c r="K168" s="24">
        <f t="shared" ca="1" si="32"/>
        <v>2024</v>
      </c>
      <c r="L168" s="24" t="str">
        <f t="shared" ca="1" si="33"/>
        <v>Gold</v>
      </c>
      <c r="M168" s="29">
        <v>168</v>
      </c>
      <c r="N168" s="29" t="s">
        <v>851</v>
      </c>
      <c r="O168" s="29" t="s">
        <v>1026</v>
      </c>
      <c r="P168" s="30">
        <v>199</v>
      </c>
      <c r="Q168" s="30">
        <v>290.54000000000002</v>
      </c>
      <c r="R168" s="29">
        <v>168</v>
      </c>
      <c r="S168" s="24" t="str">
        <f t="shared" si="34"/>
        <v>Oct</v>
      </c>
      <c r="T168" s="47">
        <v>45230</v>
      </c>
      <c r="U168" s="29">
        <v>2</v>
      </c>
      <c r="V168" s="38">
        <v>49</v>
      </c>
      <c r="W168" s="29">
        <v>62</v>
      </c>
      <c r="X168" s="29">
        <v>1</v>
      </c>
      <c r="Y168" s="30">
        <f>combined_tbl!$Q168*(1-combined_tbl!$Z168)</f>
        <v>276.01300000000003</v>
      </c>
      <c r="Z168" s="31">
        <f>IF(combined_tbl!$Q168&gt;=500,0.2, IF(combined_tbl!$Q168&gt;=200,0.05, IF(combined_tbl!$X168&gt;=2,0.05,0)))</f>
        <v>0.05</v>
      </c>
      <c r="AA168" s="30">
        <f>combined_tbl!$Y168*combined_tbl!$X168</f>
        <v>276.01300000000003</v>
      </c>
      <c r="AB168" s="32">
        <f>(combined_tbl!$Q168*(1+combined_tbl!$Z168)-combined_tbl!$P168)*combined_tbl!$X168</f>
        <v>106.06700000000001</v>
      </c>
    </row>
    <row r="169" spans="1:28" x14ac:dyDescent="0.3">
      <c r="A169" s="29">
        <v>168</v>
      </c>
      <c r="B169" s="25" cm="1">
        <f t="array" aca="1" ref="B169" ca="1">MIN(IF($E:$E=E169,$H:$H))</f>
        <v>45495</v>
      </c>
      <c r="C169" s="25">
        <f t="shared" ca="1" si="29"/>
        <v>16</v>
      </c>
      <c r="D169" s="42">
        <f ca="1">COUNTIF(E:E,combined_tbl!$E169)</f>
        <v>8</v>
      </c>
      <c r="E169" s="24" t="str">
        <f t="shared" ca="1" si="36"/>
        <v>Customer003</v>
      </c>
      <c r="F169" s="24" t="str" cm="1">
        <f t="array" aca="1" ref="F169" ca="1">INDEX({"Male","Female"}, RANDBETWEEN(1,2))</f>
        <v>Male</v>
      </c>
      <c r="G169" s="29" t="str">
        <f t="shared" ca="1" si="27"/>
        <v>East</v>
      </c>
      <c r="H169" s="48">
        <f t="shared" ca="1" si="30"/>
        <v>45495</v>
      </c>
      <c r="I169" s="24">
        <f t="shared" ca="1" si="31"/>
        <v>22</v>
      </c>
      <c r="J169" s="46" t="str">
        <f t="shared" ca="1" si="37"/>
        <v>July</v>
      </c>
      <c r="K169" s="24">
        <f t="shared" ca="1" si="32"/>
        <v>2024</v>
      </c>
      <c r="L169" s="24" t="str">
        <f t="shared" ca="1" si="33"/>
        <v>Silver</v>
      </c>
      <c r="M169" s="24">
        <v>169</v>
      </c>
      <c r="N169" s="24" t="s">
        <v>847</v>
      </c>
      <c r="O169" s="24" t="s">
        <v>1027</v>
      </c>
      <c r="P169" s="26">
        <v>150</v>
      </c>
      <c r="Q169" s="26">
        <v>223.5</v>
      </c>
      <c r="R169" s="24">
        <v>169</v>
      </c>
      <c r="S169" s="24" t="str">
        <f t="shared" si="34"/>
        <v>Sep</v>
      </c>
      <c r="T169" s="46">
        <v>45185</v>
      </c>
      <c r="U169" s="24">
        <v>5</v>
      </c>
      <c r="V169" s="37">
        <v>21</v>
      </c>
      <c r="W169" s="24">
        <v>60</v>
      </c>
      <c r="X169" s="24">
        <v>1</v>
      </c>
      <c r="Y169" s="26">
        <f>combined_tbl!$Q169*(1-combined_tbl!$Z169)</f>
        <v>212.32499999999999</v>
      </c>
      <c r="Z169" s="27">
        <f>IF(combined_tbl!$Q169&gt;=500,0.2, IF(combined_tbl!$Q169&gt;=200,0.05, IF(combined_tbl!$X169&gt;=2,0.05,0)))</f>
        <v>0.05</v>
      </c>
      <c r="AA169" s="26">
        <f>combined_tbl!$Y169*combined_tbl!$X169</f>
        <v>212.32499999999999</v>
      </c>
      <c r="AB169" s="28">
        <f>(combined_tbl!$Q169*(1+combined_tbl!$Z169)-combined_tbl!$P169)*combined_tbl!$X169</f>
        <v>84.675000000000011</v>
      </c>
    </row>
    <row r="170" spans="1:28" x14ac:dyDescent="0.3">
      <c r="A170" s="19">
        <v>169</v>
      </c>
      <c r="B170" s="25" cm="1">
        <f t="array" aca="1" ref="B170" ca="1">MIN(IF($E:$E=E170,$H:$H))</f>
        <v>45622</v>
      </c>
      <c r="C170" s="25">
        <f t="shared" ca="1" si="29"/>
        <v>12</v>
      </c>
      <c r="D170" s="43">
        <f ca="1">COUNTIF(E:E,combined_tbl!$E170)</f>
        <v>8</v>
      </c>
      <c r="E170" s="29" t="str">
        <f t="shared" ca="1" si="36"/>
        <v>Customer023</v>
      </c>
      <c r="F170" s="29" t="str" cm="1">
        <f t="array" aca="1" ref="F170" ca="1">INDEX({"Male","Female"}, RANDBETWEEN(1,2))</f>
        <v>Female</v>
      </c>
      <c r="G170" s="29" t="str">
        <f t="shared" ca="1" si="27"/>
        <v>North</v>
      </c>
      <c r="H170" s="48">
        <f t="shared" ca="1" si="30"/>
        <v>45622</v>
      </c>
      <c r="I170" s="24">
        <f t="shared" ca="1" si="31"/>
        <v>26</v>
      </c>
      <c r="J170" s="46" t="str">
        <f t="shared" ca="1" si="37"/>
        <v>November</v>
      </c>
      <c r="K170" s="24">
        <f t="shared" ca="1" si="32"/>
        <v>2024</v>
      </c>
      <c r="L170" s="24" t="str">
        <f t="shared" ca="1" si="33"/>
        <v>Silver</v>
      </c>
      <c r="M170" s="29">
        <v>170</v>
      </c>
      <c r="N170" s="29" t="s">
        <v>851</v>
      </c>
      <c r="O170" s="29" t="s">
        <v>1028</v>
      </c>
      <c r="P170" s="30">
        <v>25</v>
      </c>
      <c r="Q170" s="30">
        <v>28.000000000000004</v>
      </c>
      <c r="R170" s="29">
        <v>170</v>
      </c>
      <c r="S170" s="24" t="str">
        <f t="shared" si="34"/>
        <v>Oct</v>
      </c>
      <c r="T170" s="47">
        <v>45592</v>
      </c>
      <c r="U170" s="29">
        <v>7</v>
      </c>
      <c r="V170" s="38">
        <v>151</v>
      </c>
      <c r="W170" s="29">
        <v>48</v>
      </c>
      <c r="X170" s="29">
        <v>2</v>
      </c>
      <c r="Y170" s="30">
        <f>combined_tbl!$Q170*(1-combined_tbl!$Z170)</f>
        <v>26.6</v>
      </c>
      <c r="Z170" s="31">
        <f>IF(combined_tbl!$Q170&gt;=500,0.2, IF(combined_tbl!$Q170&gt;=200,0.05, IF(combined_tbl!$X170&gt;=2,0.05,0)))</f>
        <v>0.05</v>
      </c>
      <c r="AA170" s="30">
        <f>combined_tbl!$Y170*combined_tbl!$X170</f>
        <v>53.2</v>
      </c>
      <c r="AB170" s="32">
        <f>(combined_tbl!$Q170*(1+combined_tbl!$Z170)-combined_tbl!$P170)*combined_tbl!$X170</f>
        <v>8.8000000000000114</v>
      </c>
    </row>
    <row r="171" spans="1:28" x14ac:dyDescent="0.3">
      <c r="A171" s="24">
        <v>170</v>
      </c>
      <c r="B171" s="25" cm="1">
        <f t="array" aca="1" ref="B171" ca="1">MIN(IF($E:$E=E171,$H:$H))</f>
        <v>45922</v>
      </c>
      <c r="C171" s="25">
        <f t="shared" ca="1" si="29"/>
        <v>2</v>
      </c>
      <c r="D171" s="42">
        <f ca="1">COUNTIF(E:E,combined_tbl!$E171)</f>
        <v>4</v>
      </c>
      <c r="E171" s="24" t="str">
        <f t="shared" ca="1" si="36"/>
        <v>Customer055</v>
      </c>
      <c r="F171" s="24" t="str" cm="1">
        <f t="array" aca="1" ref="F171" ca="1">INDEX({"Male","Female"}, RANDBETWEEN(1,2))</f>
        <v>Male</v>
      </c>
      <c r="G171" s="29" t="str">
        <f t="shared" ca="1" si="27"/>
        <v>North</v>
      </c>
      <c r="H171" s="48">
        <f t="shared" ca="1" si="30"/>
        <v>45922</v>
      </c>
      <c r="I171" s="24">
        <f t="shared" ca="1" si="31"/>
        <v>22</v>
      </c>
      <c r="J171" s="46" t="str">
        <f t="shared" ca="1" si="37"/>
        <v>September</v>
      </c>
      <c r="K171" s="24">
        <f t="shared" ca="1" si="32"/>
        <v>2025</v>
      </c>
      <c r="L171" s="24" t="str">
        <f t="shared" ca="1" si="33"/>
        <v>Bronze</v>
      </c>
      <c r="M171" s="24">
        <v>171</v>
      </c>
      <c r="N171" s="24" t="s">
        <v>851</v>
      </c>
      <c r="O171" s="24" t="s">
        <v>1029</v>
      </c>
      <c r="P171" s="26">
        <v>40</v>
      </c>
      <c r="Q171" s="26">
        <v>56</v>
      </c>
      <c r="R171" s="24">
        <v>171</v>
      </c>
      <c r="S171" s="24" t="str">
        <f t="shared" si="34"/>
        <v>Aug</v>
      </c>
      <c r="T171" s="46">
        <v>45530</v>
      </c>
      <c r="U171" s="24">
        <v>8</v>
      </c>
      <c r="V171" s="37">
        <v>190</v>
      </c>
      <c r="W171" s="24">
        <v>63</v>
      </c>
      <c r="X171" s="24">
        <v>1</v>
      </c>
      <c r="Y171" s="26">
        <f>combined_tbl!$Q171*(1-combined_tbl!$Z171)</f>
        <v>56</v>
      </c>
      <c r="Z171" s="27">
        <f>IF(combined_tbl!$Q171&gt;=500,0.2, IF(combined_tbl!$Q171&gt;=200,0.05, IF(combined_tbl!$X171&gt;=2,0.05,0)))</f>
        <v>0</v>
      </c>
      <c r="AA171" s="26">
        <f>combined_tbl!$Y171*combined_tbl!$X171</f>
        <v>56</v>
      </c>
      <c r="AB171" s="28">
        <f>(combined_tbl!$Q171*(1+combined_tbl!$Z171)-combined_tbl!$P171)*combined_tbl!$X171</f>
        <v>16</v>
      </c>
    </row>
    <row r="172" spans="1:28" x14ac:dyDescent="0.3">
      <c r="A172" s="29">
        <v>171</v>
      </c>
      <c r="B172" s="25" cm="1">
        <f t="array" aca="1" ref="B172" ca="1">MIN(IF($E:$E=E172,$H:$H))</f>
        <v>45439</v>
      </c>
      <c r="C172" s="25">
        <f t="shared" ca="1" si="29"/>
        <v>18</v>
      </c>
      <c r="D172" s="43">
        <f ca="1">COUNTIF(E:E,combined_tbl!$E172)</f>
        <v>10</v>
      </c>
      <c r="E172" s="29" t="str">
        <f t="shared" ca="1" si="36"/>
        <v>Customer018</v>
      </c>
      <c r="F172" s="29" t="str" cm="1">
        <f t="array" aca="1" ref="F172" ca="1">INDEX({"Male","Female"}, RANDBETWEEN(1,2))</f>
        <v>Male</v>
      </c>
      <c r="G172" s="29" t="str">
        <f t="shared" ca="1" si="27"/>
        <v>East</v>
      </c>
      <c r="H172" s="48">
        <f t="shared" ca="1" si="30"/>
        <v>45439</v>
      </c>
      <c r="I172" s="24">
        <f t="shared" ca="1" si="31"/>
        <v>27</v>
      </c>
      <c r="J172" s="46" t="str">
        <f t="shared" ca="1" si="37"/>
        <v>May</v>
      </c>
      <c r="K172" s="24">
        <f t="shared" ca="1" si="32"/>
        <v>2024</v>
      </c>
      <c r="L172" s="24" t="str">
        <f t="shared" ca="1" si="33"/>
        <v>Gold</v>
      </c>
      <c r="M172" s="29">
        <v>172</v>
      </c>
      <c r="N172" s="29" t="s">
        <v>837</v>
      </c>
      <c r="O172" s="29" t="s">
        <v>1030</v>
      </c>
      <c r="P172" s="30">
        <v>91</v>
      </c>
      <c r="Q172" s="30">
        <v>106.47</v>
      </c>
      <c r="R172" s="29">
        <v>172</v>
      </c>
      <c r="S172" s="24" t="str">
        <f t="shared" si="34"/>
        <v>Nov</v>
      </c>
      <c r="T172" s="47">
        <v>45962</v>
      </c>
      <c r="U172" s="29">
        <v>7</v>
      </c>
      <c r="V172" s="38">
        <v>74</v>
      </c>
      <c r="W172" s="29">
        <v>86</v>
      </c>
      <c r="X172" s="29">
        <v>1</v>
      </c>
      <c r="Y172" s="30">
        <f>combined_tbl!$Q172*(1-combined_tbl!$Z172)</f>
        <v>106.47</v>
      </c>
      <c r="Z172" s="31">
        <f>IF(combined_tbl!$Q172&gt;=500,0.2, IF(combined_tbl!$Q172&gt;=200,0.05, IF(combined_tbl!$X172&gt;=2,0.05,0)))</f>
        <v>0</v>
      </c>
      <c r="AA172" s="30">
        <f>combined_tbl!$Y172*combined_tbl!$X172</f>
        <v>106.47</v>
      </c>
      <c r="AB172" s="32">
        <f>(combined_tbl!$Q172*(1+combined_tbl!$Z172)-combined_tbl!$P172)*combined_tbl!$X172</f>
        <v>15.469999999999999</v>
      </c>
    </row>
    <row r="173" spans="1:28" x14ac:dyDescent="0.3">
      <c r="A173" s="29">
        <v>172</v>
      </c>
      <c r="B173" s="25" cm="1">
        <f t="array" aca="1" ref="B173" ca="1">MIN(IF($E:$E=E173,$H:$H))</f>
        <v>44939</v>
      </c>
      <c r="C173" s="25">
        <f t="shared" ca="1" si="29"/>
        <v>34</v>
      </c>
      <c r="D173" s="42">
        <f ca="1">COUNTIF(E:E,combined_tbl!$E173)</f>
        <v>4</v>
      </c>
      <c r="E173" s="24" t="str">
        <f t="shared" ca="1" si="36"/>
        <v>Customer079</v>
      </c>
      <c r="F173" s="24" t="str" cm="1">
        <f t="array" aca="1" ref="F173" ca="1">INDEX({"Male","Female"}, RANDBETWEEN(1,2))</f>
        <v>Female</v>
      </c>
      <c r="G173" s="29" t="str">
        <f t="shared" ca="1" si="27"/>
        <v>South</v>
      </c>
      <c r="H173" s="48">
        <f t="shared" ca="1" si="30"/>
        <v>44939</v>
      </c>
      <c r="I173" s="24">
        <f t="shared" ca="1" si="31"/>
        <v>13</v>
      </c>
      <c r="J173" s="46" t="str">
        <f t="shared" ca="1" si="37"/>
        <v>January</v>
      </c>
      <c r="K173" s="24">
        <f t="shared" ca="1" si="32"/>
        <v>2023</v>
      </c>
      <c r="L173" s="24" t="str">
        <f t="shared" ca="1" si="33"/>
        <v>Silver</v>
      </c>
      <c r="M173" s="24">
        <v>173</v>
      </c>
      <c r="N173" s="24" t="s">
        <v>955</v>
      </c>
      <c r="O173" s="24" t="s">
        <v>1031</v>
      </c>
      <c r="P173" s="26">
        <v>459</v>
      </c>
      <c r="Q173" s="26">
        <v>550.79999999999995</v>
      </c>
      <c r="R173" s="24">
        <v>173</v>
      </c>
      <c r="S173" s="24" t="str">
        <f t="shared" si="34"/>
        <v>Jul</v>
      </c>
      <c r="T173" s="46">
        <v>45130</v>
      </c>
      <c r="U173" s="24">
        <v>2</v>
      </c>
      <c r="V173" s="37">
        <v>128</v>
      </c>
      <c r="W173" s="24">
        <v>49</v>
      </c>
      <c r="X173" s="24">
        <v>1</v>
      </c>
      <c r="Y173" s="26">
        <f>combined_tbl!$Q173*(1-combined_tbl!$Z173)</f>
        <v>440.64</v>
      </c>
      <c r="Z173" s="27">
        <f>IF(combined_tbl!$Q173&gt;=500,0.2, IF(combined_tbl!$Q173&gt;=200,0.05, IF(combined_tbl!$X173&gt;=2,0.05,0)))</f>
        <v>0.2</v>
      </c>
      <c r="AA173" s="26">
        <f>combined_tbl!$Y173*combined_tbl!$X173</f>
        <v>440.64</v>
      </c>
      <c r="AB173" s="28">
        <f>(combined_tbl!$Q173*(1+combined_tbl!$Z173)-combined_tbl!$P173)*combined_tbl!$X173</f>
        <v>201.95999999999992</v>
      </c>
    </row>
    <row r="174" spans="1:28" x14ac:dyDescent="0.3">
      <c r="A174" s="29">
        <v>173</v>
      </c>
      <c r="B174" s="25" cm="1">
        <f t="array" aca="1" ref="B174" ca="1">MIN(IF($E:$E=E174,$H:$H))</f>
        <v>45927</v>
      </c>
      <c r="C174" s="25">
        <f t="shared" ca="1" si="29"/>
        <v>2</v>
      </c>
      <c r="D174" s="43">
        <f ca="1">COUNTIF(E:E,combined_tbl!$E174)</f>
        <v>2</v>
      </c>
      <c r="E174" s="29" t="str">
        <f t="shared" ca="1" si="36"/>
        <v>Customer103</v>
      </c>
      <c r="F174" s="29" t="str" cm="1">
        <f t="array" aca="1" ref="F174" ca="1">INDEX({"Male","Female"}, RANDBETWEEN(1,2))</f>
        <v>Female</v>
      </c>
      <c r="G174" s="29" t="str">
        <f t="shared" ca="1" si="27"/>
        <v>West</v>
      </c>
      <c r="H174" s="48">
        <f t="shared" ca="1" si="30"/>
        <v>45927</v>
      </c>
      <c r="I174" s="24">
        <f t="shared" ca="1" si="31"/>
        <v>27</v>
      </c>
      <c r="J174" s="46" t="str">
        <f t="shared" ca="1" si="37"/>
        <v>September</v>
      </c>
      <c r="K174" s="24">
        <f t="shared" ca="1" si="32"/>
        <v>2025</v>
      </c>
      <c r="L174" s="24" t="str">
        <f t="shared" ca="1" si="33"/>
        <v>Bronze</v>
      </c>
      <c r="M174" s="29">
        <v>174</v>
      </c>
      <c r="N174" s="29" t="s">
        <v>957</v>
      </c>
      <c r="O174" s="29" t="s">
        <v>1032</v>
      </c>
      <c r="P174" s="30">
        <v>18</v>
      </c>
      <c r="Q174" s="30">
        <v>23.76</v>
      </c>
      <c r="R174" s="29">
        <v>174</v>
      </c>
      <c r="S174" s="24" t="str">
        <f t="shared" si="34"/>
        <v>Mar</v>
      </c>
      <c r="T174" s="47">
        <v>45367</v>
      </c>
      <c r="U174" s="29">
        <v>7</v>
      </c>
      <c r="V174" s="38">
        <v>216</v>
      </c>
      <c r="W174" s="29">
        <v>15</v>
      </c>
      <c r="X174" s="29">
        <v>1</v>
      </c>
      <c r="Y174" s="30">
        <f>combined_tbl!$Q174*(1-combined_tbl!$Z174)</f>
        <v>23.76</v>
      </c>
      <c r="Z174" s="31">
        <f>IF(combined_tbl!$Q174&gt;=500,0.2, IF(combined_tbl!$Q174&gt;=200,0.05, IF(combined_tbl!$X174&gt;=2,0.05,0)))</f>
        <v>0</v>
      </c>
      <c r="AA174" s="30">
        <f>combined_tbl!$Y174*combined_tbl!$X174</f>
        <v>23.76</v>
      </c>
      <c r="AB174" s="32">
        <f>(combined_tbl!$Q174*(1+combined_tbl!$Z174)-combined_tbl!$P174)*combined_tbl!$X174</f>
        <v>5.7600000000000016</v>
      </c>
    </row>
    <row r="175" spans="1:28" x14ac:dyDescent="0.3">
      <c r="A175" s="29">
        <v>174</v>
      </c>
      <c r="B175" s="25" cm="1">
        <f t="array" aca="1" ref="B175" ca="1">MIN(IF($E:$E=E175,$H:$H))</f>
        <v>45734</v>
      </c>
      <c r="C175" s="25">
        <f t="shared" ca="1" si="29"/>
        <v>8</v>
      </c>
      <c r="D175" s="42">
        <f ca="1">COUNTIF(E:E,combined_tbl!$E175)</f>
        <v>5</v>
      </c>
      <c r="E175" s="24" t="str">
        <f t="shared" ca="1" si="36"/>
        <v>Customer034</v>
      </c>
      <c r="F175" s="24" t="str" cm="1">
        <f t="array" aca="1" ref="F175" ca="1">INDEX({"Male","Female"}, RANDBETWEEN(1,2))</f>
        <v>Female</v>
      </c>
      <c r="G175" s="29" t="str">
        <f t="shared" ca="1" si="27"/>
        <v>East</v>
      </c>
      <c r="H175" s="48">
        <f t="shared" ca="1" si="30"/>
        <v>45734</v>
      </c>
      <c r="I175" s="24">
        <f t="shared" ca="1" si="31"/>
        <v>18</v>
      </c>
      <c r="J175" s="46" t="str">
        <f t="shared" ca="1" si="37"/>
        <v>March</v>
      </c>
      <c r="K175" s="24">
        <f t="shared" ca="1" si="32"/>
        <v>2025</v>
      </c>
      <c r="L175" s="24" t="str">
        <f t="shared" ca="1" si="33"/>
        <v>Bronze</v>
      </c>
      <c r="M175" s="24">
        <v>175</v>
      </c>
      <c r="N175" s="24" t="s">
        <v>847</v>
      </c>
      <c r="O175" s="24" t="s">
        <v>1033</v>
      </c>
      <c r="P175" s="26">
        <v>21</v>
      </c>
      <c r="Q175" s="26">
        <v>31.08</v>
      </c>
      <c r="R175" s="24">
        <v>175</v>
      </c>
      <c r="S175" s="24" t="str">
        <f t="shared" si="34"/>
        <v>Jul</v>
      </c>
      <c r="T175" s="46">
        <v>45851</v>
      </c>
      <c r="U175" s="24">
        <v>4</v>
      </c>
      <c r="V175" s="37">
        <v>162</v>
      </c>
      <c r="W175" s="24">
        <v>94</v>
      </c>
      <c r="X175" s="24">
        <v>2</v>
      </c>
      <c r="Y175" s="26">
        <f>combined_tbl!$Q175*(1-combined_tbl!$Z175)</f>
        <v>29.525999999999996</v>
      </c>
      <c r="Z175" s="27">
        <f>IF(combined_tbl!$Q175&gt;=500,0.2, IF(combined_tbl!$Q175&gt;=200,0.05, IF(combined_tbl!$X175&gt;=2,0.05,0)))</f>
        <v>0.05</v>
      </c>
      <c r="AA175" s="26">
        <f>combined_tbl!$Y175*combined_tbl!$X175</f>
        <v>59.051999999999992</v>
      </c>
      <c r="AB175" s="28">
        <f>(combined_tbl!$Q175*(1+combined_tbl!$Z175)-combined_tbl!$P175)*combined_tbl!$X175</f>
        <v>23.268000000000001</v>
      </c>
    </row>
    <row r="176" spans="1:28" x14ac:dyDescent="0.3">
      <c r="A176" s="29">
        <v>175</v>
      </c>
      <c r="B176" s="25" cm="1">
        <f t="array" aca="1" ref="B176" ca="1">MIN(IF($E:$E=E176,$H:$H))</f>
        <v>45115</v>
      </c>
      <c r="C176" s="25">
        <f t="shared" ca="1" si="29"/>
        <v>28</v>
      </c>
      <c r="D176" s="43">
        <f ca="1">COUNTIF(E:E,combined_tbl!$E176)</f>
        <v>8</v>
      </c>
      <c r="E176" s="29" t="str">
        <f t="shared" ca="1" si="36"/>
        <v>Customer008</v>
      </c>
      <c r="F176" s="29" t="str" cm="1">
        <f t="array" aca="1" ref="F176" ca="1">INDEX({"Male","Female"}, RANDBETWEEN(1,2))</f>
        <v>Male</v>
      </c>
      <c r="G176" s="29" t="str">
        <f t="shared" ca="1" si="27"/>
        <v>West</v>
      </c>
      <c r="H176" s="48">
        <f t="shared" ca="1" si="30"/>
        <v>45115</v>
      </c>
      <c r="I176" s="24">
        <f t="shared" ca="1" si="31"/>
        <v>8</v>
      </c>
      <c r="J176" s="46" t="str">
        <f t="shared" ca="1" si="37"/>
        <v>July</v>
      </c>
      <c r="K176" s="24">
        <f t="shared" ca="1" si="32"/>
        <v>2023</v>
      </c>
      <c r="L176" s="24" t="str">
        <f t="shared" ca="1" si="33"/>
        <v>Gold</v>
      </c>
      <c r="M176" s="29">
        <v>176</v>
      </c>
      <c r="N176" s="29" t="s">
        <v>851</v>
      </c>
      <c r="O176" s="29" t="s">
        <v>1034</v>
      </c>
      <c r="P176" s="30">
        <v>103</v>
      </c>
      <c r="Q176" s="30">
        <v>152.44</v>
      </c>
      <c r="R176" s="29">
        <v>176</v>
      </c>
      <c r="S176" s="24" t="str">
        <f t="shared" si="34"/>
        <v>Apr</v>
      </c>
      <c r="T176" s="47">
        <v>45774</v>
      </c>
      <c r="U176" s="29">
        <v>6</v>
      </c>
      <c r="V176" s="38">
        <v>5</v>
      </c>
      <c r="W176" s="29">
        <v>75</v>
      </c>
      <c r="X176" s="29">
        <v>1</v>
      </c>
      <c r="Y176" s="30">
        <f>combined_tbl!$Q176*(1-combined_tbl!$Z176)</f>
        <v>152.44</v>
      </c>
      <c r="Z176" s="31">
        <f>IF(combined_tbl!$Q176&gt;=500,0.2, IF(combined_tbl!$Q176&gt;=200,0.05, IF(combined_tbl!$X176&gt;=2,0.05,0)))</f>
        <v>0</v>
      </c>
      <c r="AA176" s="30">
        <f>combined_tbl!$Y176*combined_tbl!$X176</f>
        <v>152.44</v>
      </c>
      <c r="AB176" s="32">
        <f>(combined_tbl!$Q176*(1+combined_tbl!$Z176)-combined_tbl!$P176)*combined_tbl!$X176</f>
        <v>49.44</v>
      </c>
    </row>
    <row r="177" spans="1:28" x14ac:dyDescent="0.3">
      <c r="A177" s="29">
        <v>176</v>
      </c>
      <c r="B177" s="25" cm="1">
        <f t="array" aca="1" ref="B177" ca="1">MIN(IF($E:$E=E177,$H:$H))</f>
        <v>45495</v>
      </c>
      <c r="C177" s="25">
        <f t="shared" ca="1" si="29"/>
        <v>16</v>
      </c>
      <c r="D177" s="42">
        <f ca="1">COUNTIF(E:E,combined_tbl!$E177)</f>
        <v>8</v>
      </c>
      <c r="E177" s="24" t="str">
        <f t="shared" ca="1" si="36"/>
        <v>Customer003</v>
      </c>
      <c r="F177" s="24" t="str" cm="1">
        <f t="array" aca="1" ref="F177" ca="1">INDEX({"Male","Female"}, RANDBETWEEN(1,2))</f>
        <v>Female</v>
      </c>
      <c r="G177" s="29" t="str">
        <f t="shared" ca="1" si="27"/>
        <v>East</v>
      </c>
      <c r="H177" s="48">
        <f t="shared" ca="1" si="30"/>
        <v>45495</v>
      </c>
      <c r="I177" s="24">
        <f t="shared" ca="1" si="31"/>
        <v>22</v>
      </c>
      <c r="J177" s="46" t="str">
        <f t="shared" ca="1" si="37"/>
        <v>July</v>
      </c>
      <c r="K177" s="24">
        <f t="shared" ca="1" si="32"/>
        <v>2024</v>
      </c>
      <c r="L177" s="24" t="str">
        <f t="shared" ca="1" si="33"/>
        <v>Silver</v>
      </c>
      <c r="M177" s="24">
        <v>177</v>
      </c>
      <c r="N177" s="24" t="s">
        <v>831</v>
      </c>
      <c r="O177" s="24" t="s">
        <v>1035</v>
      </c>
      <c r="P177" s="26">
        <v>203</v>
      </c>
      <c r="Q177" s="26">
        <v>282.17</v>
      </c>
      <c r="R177" s="24">
        <v>177</v>
      </c>
      <c r="S177" s="24" t="str">
        <f t="shared" si="34"/>
        <v>Jul</v>
      </c>
      <c r="T177" s="46">
        <v>45855</v>
      </c>
      <c r="U177" s="24">
        <v>7</v>
      </c>
      <c r="V177" s="37">
        <v>28</v>
      </c>
      <c r="W177" s="24">
        <v>75</v>
      </c>
      <c r="X177" s="24">
        <v>3</v>
      </c>
      <c r="Y177" s="26">
        <f>combined_tbl!$Q177*(1-combined_tbl!$Z177)</f>
        <v>268.06150000000002</v>
      </c>
      <c r="Z177" s="27">
        <f>IF(combined_tbl!$Q177&gt;=500,0.2, IF(combined_tbl!$Q177&gt;=200,0.05, IF(combined_tbl!$X177&gt;=2,0.05,0)))</f>
        <v>0.05</v>
      </c>
      <c r="AA177" s="26">
        <f>combined_tbl!$Y177*combined_tbl!$X177</f>
        <v>804.18450000000007</v>
      </c>
      <c r="AB177" s="28">
        <f>(combined_tbl!$Q177*(1+combined_tbl!$Z177)-combined_tbl!$P177)*combined_tbl!$X177</f>
        <v>279.83550000000002</v>
      </c>
    </row>
    <row r="178" spans="1:28" x14ac:dyDescent="0.3">
      <c r="A178" s="19">
        <v>177</v>
      </c>
      <c r="B178" s="25" cm="1">
        <f t="array" aca="1" ref="B178" ca="1">MIN(IF($E:$E=E178,$H:$H))</f>
        <v>45268</v>
      </c>
      <c r="C178" s="25">
        <f t="shared" ca="1" si="29"/>
        <v>23</v>
      </c>
      <c r="D178" s="43">
        <f ca="1">COUNTIF(E:E,combined_tbl!$E178)</f>
        <v>9</v>
      </c>
      <c r="E178" s="29" t="str">
        <f t="shared" ca="1" si="36"/>
        <v>Customer012</v>
      </c>
      <c r="F178" s="29" t="str" cm="1">
        <f t="array" aca="1" ref="F178" ca="1">INDEX({"Male","Female"}, RANDBETWEEN(1,2))</f>
        <v>Male</v>
      </c>
      <c r="G178" s="29" t="str">
        <f t="shared" ca="1" si="27"/>
        <v>East</v>
      </c>
      <c r="H178" s="48">
        <f t="shared" ca="1" si="30"/>
        <v>45268</v>
      </c>
      <c r="I178" s="24">
        <f t="shared" ca="1" si="31"/>
        <v>8</v>
      </c>
      <c r="J178" s="46" t="str">
        <f t="shared" ca="1" si="37"/>
        <v>December</v>
      </c>
      <c r="K178" s="24">
        <f t="shared" ca="1" si="32"/>
        <v>2023</v>
      </c>
      <c r="L178" s="24" t="str">
        <f t="shared" ca="1" si="33"/>
        <v>Gold</v>
      </c>
      <c r="M178" s="29">
        <v>178</v>
      </c>
      <c r="N178" s="29" t="s">
        <v>955</v>
      </c>
      <c r="O178" s="29" t="s">
        <v>1036</v>
      </c>
      <c r="P178" s="30">
        <v>241</v>
      </c>
      <c r="Q178" s="30">
        <v>347.03999999999996</v>
      </c>
      <c r="R178" s="29">
        <v>178</v>
      </c>
      <c r="S178" s="24" t="str">
        <f t="shared" si="34"/>
        <v>May</v>
      </c>
      <c r="T178" s="47">
        <v>45778</v>
      </c>
      <c r="U178" s="29">
        <v>2</v>
      </c>
      <c r="V178" s="38">
        <v>171</v>
      </c>
      <c r="W178" s="29">
        <v>47</v>
      </c>
      <c r="X178" s="29">
        <v>1</v>
      </c>
      <c r="Y178" s="30">
        <f>combined_tbl!$Q178*(1-combined_tbl!$Z178)</f>
        <v>329.68799999999993</v>
      </c>
      <c r="Z178" s="31">
        <f>IF(combined_tbl!$Q178&gt;=500,0.2, IF(combined_tbl!$Q178&gt;=200,0.05, IF(combined_tbl!$X178&gt;=2,0.05,0)))</f>
        <v>0.05</v>
      </c>
      <c r="AA178" s="30">
        <f>combined_tbl!$Y178*combined_tbl!$X178</f>
        <v>329.68799999999993</v>
      </c>
      <c r="AB178" s="32">
        <f>(combined_tbl!$Q178*(1+combined_tbl!$Z178)-combined_tbl!$P178)*combined_tbl!$X178</f>
        <v>123.392</v>
      </c>
    </row>
    <row r="179" spans="1:28" x14ac:dyDescent="0.3">
      <c r="A179" s="24">
        <v>178</v>
      </c>
      <c r="B179" s="25" cm="1">
        <f t="array" aca="1" ref="B179" ca="1">MIN(IF($E:$E=E179,$H:$H))</f>
        <v>45853</v>
      </c>
      <c r="C179" s="25">
        <f t="shared" ca="1" si="29"/>
        <v>4</v>
      </c>
      <c r="D179" s="42">
        <f ca="1">COUNTIF(E:E,combined_tbl!$E179)</f>
        <v>7</v>
      </c>
      <c r="E179" s="24" t="str">
        <f t="shared" ca="1" si="36"/>
        <v>Customer025</v>
      </c>
      <c r="F179" s="24" t="str" cm="1">
        <f t="array" aca="1" ref="F179" ca="1">INDEX({"Male","Female"}, RANDBETWEEN(1,2))</f>
        <v>Female</v>
      </c>
      <c r="G179" s="29" t="str">
        <f t="shared" ca="1" si="27"/>
        <v>West</v>
      </c>
      <c r="H179" s="48">
        <f t="shared" ca="1" si="30"/>
        <v>45853</v>
      </c>
      <c r="I179" s="24">
        <f t="shared" ca="1" si="31"/>
        <v>15</v>
      </c>
      <c r="J179" s="46" t="str">
        <f t="shared" ca="1" si="37"/>
        <v>July</v>
      </c>
      <c r="K179" s="24">
        <f t="shared" ca="1" si="32"/>
        <v>2025</v>
      </c>
      <c r="L179" s="24" t="str">
        <f t="shared" ca="1" si="33"/>
        <v>Bronze</v>
      </c>
      <c r="M179" s="24">
        <v>179</v>
      </c>
      <c r="N179" s="24" t="s">
        <v>872</v>
      </c>
      <c r="O179" s="24" t="s">
        <v>1037</v>
      </c>
      <c r="P179" s="26">
        <v>20</v>
      </c>
      <c r="Q179" s="26">
        <v>27.400000000000002</v>
      </c>
      <c r="R179" s="24">
        <v>179</v>
      </c>
      <c r="S179" s="24" t="str">
        <f t="shared" si="34"/>
        <v>Oct</v>
      </c>
      <c r="T179" s="46">
        <v>45567</v>
      </c>
      <c r="U179" s="24">
        <v>7</v>
      </c>
      <c r="V179" s="37">
        <v>95</v>
      </c>
      <c r="W179" s="24">
        <v>91</v>
      </c>
      <c r="X179" s="24">
        <v>1</v>
      </c>
      <c r="Y179" s="26">
        <f>combined_tbl!$Q179*(1-combined_tbl!$Z179)</f>
        <v>27.400000000000002</v>
      </c>
      <c r="Z179" s="27">
        <f>IF(combined_tbl!$Q179&gt;=500,0.2, IF(combined_tbl!$Q179&gt;=200,0.05, IF(combined_tbl!$X179&gt;=2,0.05,0)))</f>
        <v>0</v>
      </c>
      <c r="AA179" s="26">
        <f>combined_tbl!$Y179*combined_tbl!$X179</f>
        <v>27.400000000000002</v>
      </c>
      <c r="AB179" s="28">
        <f>(combined_tbl!$Q179*(1+combined_tbl!$Z179)-combined_tbl!$P179)*combined_tbl!$X179</f>
        <v>7.4000000000000021</v>
      </c>
    </row>
    <row r="180" spans="1:28" x14ac:dyDescent="0.3">
      <c r="A180" s="29">
        <v>179</v>
      </c>
      <c r="B180" s="25" cm="1">
        <f t="array" aca="1" ref="B180" ca="1">MIN(IF($E:$E=E180,$H:$H))</f>
        <v>45382</v>
      </c>
      <c r="C180" s="25">
        <f t="shared" ca="1" si="29"/>
        <v>20</v>
      </c>
      <c r="D180" s="43">
        <f ca="1">COUNTIF(E:E,combined_tbl!$E180)</f>
        <v>4</v>
      </c>
      <c r="E180" s="29" t="str">
        <f t="shared" ca="1" si="36"/>
        <v>Customer028</v>
      </c>
      <c r="F180" s="29" t="str" cm="1">
        <f t="array" aca="1" ref="F180" ca="1">INDEX({"Male","Female"}, RANDBETWEEN(1,2))</f>
        <v>Male</v>
      </c>
      <c r="G180" s="29" t="str">
        <f t="shared" ca="1" si="27"/>
        <v>East</v>
      </c>
      <c r="H180" s="48">
        <f t="shared" ca="1" si="30"/>
        <v>45382</v>
      </c>
      <c r="I180" s="24">
        <f t="shared" ca="1" si="31"/>
        <v>31</v>
      </c>
      <c r="J180" s="46" t="str">
        <f t="shared" ca="1" si="37"/>
        <v>March</v>
      </c>
      <c r="K180" s="24">
        <f t="shared" ca="1" si="32"/>
        <v>2024</v>
      </c>
      <c r="L180" s="24" t="str">
        <f t="shared" ca="1" si="33"/>
        <v>Silver</v>
      </c>
      <c r="M180" s="29">
        <v>180</v>
      </c>
      <c r="N180" s="29" t="s">
        <v>954</v>
      </c>
      <c r="O180" s="29" t="s">
        <v>1038</v>
      </c>
      <c r="P180" s="30">
        <v>289</v>
      </c>
      <c r="Q180" s="30">
        <v>364.14</v>
      </c>
      <c r="R180" s="29">
        <v>180</v>
      </c>
      <c r="S180" s="24" t="str">
        <f t="shared" si="34"/>
        <v>Oct</v>
      </c>
      <c r="T180" s="47">
        <v>45567</v>
      </c>
      <c r="U180" s="29">
        <v>5</v>
      </c>
      <c r="V180" s="38">
        <v>208</v>
      </c>
      <c r="W180" s="29">
        <v>36</v>
      </c>
      <c r="X180" s="29">
        <v>2</v>
      </c>
      <c r="Y180" s="30">
        <f>combined_tbl!$Q180*(1-combined_tbl!$Z180)</f>
        <v>345.93299999999999</v>
      </c>
      <c r="Z180" s="31">
        <f>IF(combined_tbl!$Q180&gt;=500,0.2, IF(combined_tbl!$Q180&gt;=200,0.05, IF(combined_tbl!$X180&gt;=2,0.05,0)))</f>
        <v>0.05</v>
      </c>
      <c r="AA180" s="30">
        <f>combined_tbl!$Y180*combined_tbl!$X180</f>
        <v>691.86599999999999</v>
      </c>
      <c r="AB180" s="32">
        <f>(combined_tbl!$Q180*(1+combined_tbl!$Z180)-combined_tbl!$P180)*combined_tbl!$X180</f>
        <v>186.69399999999996</v>
      </c>
    </row>
    <row r="181" spans="1:28" x14ac:dyDescent="0.3">
      <c r="A181" s="29">
        <v>180</v>
      </c>
      <c r="B181" s="25" cm="1">
        <f t="array" aca="1" ref="B181" ca="1">MIN(IF($E:$E=E181,$H:$H))</f>
        <v>45307</v>
      </c>
      <c r="C181" s="25">
        <f t="shared" ca="1" si="29"/>
        <v>22</v>
      </c>
      <c r="D181" s="42">
        <f ca="1">COUNTIF(E:E,combined_tbl!$E181)</f>
        <v>5</v>
      </c>
      <c r="E181" s="24" t="str">
        <f t="shared" ca="1" si="36"/>
        <v>Customer063</v>
      </c>
      <c r="F181" s="24" t="str" cm="1">
        <f t="array" aca="1" ref="F181" ca="1">INDEX({"Male","Female"}, RANDBETWEEN(1,2))</f>
        <v>Male</v>
      </c>
      <c r="G181" s="29" t="str">
        <f t="shared" ca="1" si="27"/>
        <v>North</v>
      </c>
      <c r="H181" s="48">
        <f t="shared" ca="1" si="30"/>
        <v>45307</v>
      </c>
      <c r="I181" s="24">
        <f t="shared" ca="1" si="31"/>
        <v>16</v>
      </c>
      <c r="J181" s="46" t="str">
        <f t="shared" ca="1" si="37"/>
        <v>January</v>
      </c>
      <c r="K181" s="24">
        <f t="shared" ca="1" si="32"/>
        <v>2024</v>
      </c>
      <c r="L181" s="24" t="str">
        <f t="shared" ca="1" si="33"/>
        <v>Silver</v>
      </c>
      <c r="M181" s="24">
        <v>181</v>
      </c>
      <c r="N181" s="24" t="s">
        <v>1359</v>
      </c>
      <c r="O181" s="24" t="s">
        <v>1039</v>
      </c>
      <c r="P181" s="26">
        <v>107</v>
      </c>
      <c r="Q181" s="26">
        <v>148.73000000000002</v>
      </c>
      <c r="R181" s="24">
        <v>181</v>
      </c>
      <c r="S181" s="24" t="str">
        <f t="shared" si="34"/>
        <v>Feb</v>
      </c>
      <c r="T181" s="46">
        <v>45693</v>
      </c>
      <c r="U181" s="24">
        <v>3</v>
      </c>
      <c r="V181" s="37">
        <v>84</v>
      </c>
      <c r="W181" s="24">
        <v>37</v>
      </c>
      <c r="X181" s="24">
        <v>1</v>
      </c>
      <c r="Y181" s="26">
        <f>combined_tbl!$Q181*(1-combined_tbl!$Z181)</f>
        <v>148.73000000000002</v>
      </c>
      <c r="Z181" s="27">
        <f>IF(combined_tbl!$Q181&gt;=500,0.2, IF(combined_tbl!$Q181&gt;=200,0.05, IF(combined_tbl!$X181&gt;=2,0.05,0)))</f>
        <v>0</v>
      </c>
      <c r="AA181" s="26">
        <f>combined_tbl!$Y181*combined_tbl!$X181</f>
        <v>148.73000000000002</v>
      </c>
      <c r="AB181" s="28">
        <f>(combined_tbl!$Q181*(1+combined_tbl!$Z181)-combined_tbl!$P181)*combined_tbl!$X181</f>
        <v>41.730000000000018</v>
      </c>
    </row>
    <row r="182" spans="1:28" x14ac:dyDescent="0.3">
      <c r="A182" s="29">
        <v>181</v>
      </c>
      <c r="B182" s="25" cm="1">
        <f t="array" aca="1" ref="B182" ca="1">MIN(IF($E:$E=E182,$H:$H))</f>
        <v>45896</v>
      </c>
      <c r="C182" s="25">
        <f t="shared" ca="1" si="29"/>
        <v>3</v>
      </c>
      <c r="D182" s="43">
        <f ca="1">COUNTIF(E:E,combined_tbl!$E182)</f>
        <v>10</v>
      </c>
      <c r="E182" s="29" t="str">
        <f t="shared" ca="1" si="36"/>
        <v>Customer004</v>
      </c>
      <c r="F182" s="29" t="str" cm="1">
        <f t="array" aca="1" ref="F182" ca="1">INDEX({"Male","Female"}, RANDBETWEEN(1,2))</f>
        <v>Male</v>
      </c>
      <c r="G182" s="29" t="str">
        <f t="shared" ca="1" si="27"/>
        <v>West</v>
      </c>
      <c r="H182" s="48">
        <f t="shared" ca="1" si="30"/>
        <v>45896</v>
      </c>
      <c r="I182" s="24">
        <f t="shared" ca="1" si="31"/>
        <v>27</v>
      </c>
      <c r="J182" s="46" t="str">
        <f t="shared" ca="1" si="37"/>
        <v>August</v>
      </c>
      <c r="K182" s="24">
        <f t="shared" ca="1" si="32"/>
        <v>2025</v>
      </c>
      <c r="L182" s="24" t="str">
        <f t="shared" ca="1" si="33"/>
        <v>Bronze</v>
      </c>
      <c r="M182" s="29">
        <v>182</v>
      </c>
      <c r="N182" s="29" t="s">
        <v>837</v>
      </c>
      <c r="O182" s="29" t="s">
        <v>1040</v>
      </c>
      <c r="P182" s="30">
        <v>166</v>
      </c>
      <c r="Q182" s="30">
        <v>219.12</v>
      </c>
      <c r="R182" s="29">
        <v>182</v>
      </c>
      <c r="S182" s="24" t="str">
        <f t="shared" si="34"/>
        <v>Aug</v>
      </c>
      <c r="T182" s="47">
        <v>45898</v>
      </c>
      <c r="U182" s="29">
        <v>2</v>
      </c>
      <c r="V182" s="38">
        <v>94</v>
      </c>
      <c r="W182" s="29">
        <v>24</v>
      </c>
      <c r="X182" s="29">
        <v>1</v>
      </c>
      <c r="Y182" s="30">
        <f>combined_tbl!$Q182*(1-combined_tbl!$Z182)</f>
        <v>208.16399999999999</v>
      </c>
      <c r="Z182" s="31">
        <f>IF(combined_tbl!$Q182&gt;=500,0.2, IF(combined_tbl!$Q182&gt;=200,0.05, IF(combined_tbl!$X182&gt;=2,0.05,0)))</f>
        <v>0.05</v>
      </c>
      <c r="AA182" s="30">
        <f>combined_tbl!$Y182*combined_tbl!$X182</f>
        <v>208.16399999999999</v>
      </c>
      <c r="AB182" s="32">
        <f>(combined_tbl!$Q182*(1+combined_tbl!$Z182)-combined_tbl!$P182)*combined_tbl!$X182</f>
        <v>64.076000000000022</v>
      </c>
    </row>
    <row r="183" spans="1:28" x14ac:dyDescent="0.3">
      <c r="A183" s="29">
        <v>182</v>
      </c>
      <c r="B183" s="25" cm="1">
        <f t="array" aca="1" ref="B183" ca="1">MIN(IF($E:$E=E183,$H:$H))</f>
        <v>45085</v>
      </c>
      <c r="C183" s="25">
        <f t="shared" ca="1" si="29"/>
        <v>29</v>
      </c>
      <c r="D183" s="42">
        <f ca="1">COUNTIF(E:E,combined_tbl!$E183)</f>
        <v>10</v>
      </c>
      <c r="E183" s="24" t="str">
        <f t="shared" ca="1" si="36"/>
        <v>Customer007</v>
      </c>
      <c r="F183" s="24" t="str" cm="1">
        <f t="array" aca="1" ref="F183" ca="1">INDEX({"Male","Female"}, RANDBETWEEN(1,2))</f>
        <v>Female</v>
      </c>
      <c r="G183" s="29" t="str">
        <f t="shared" ref="G183:G246" ca="1" si="39">_xlfn.XLOOKUP(E183,AI$1:AI$139,AF$2:AF$140)</f>
        <v>East</v>
      </c>
      <c r="H183" s="48">
        <f t="shared" ca="1" si="30"/>
        <v>45085</v>
      </c>
      <c r="I183" s="24">
        <f t="shared" ca="1" si="31"/>
        <v>8</v>
      </c>
      <c r="J183" s="46" t="str">
        <f t="shared" ca="1" si="37"/>
        <v>June</v>
      </c>
      <c r="K183" s="24">
        <f t="shared" ca="1" si="32"/>
        <v>2023</v>
      </c>
      <c r="L183" s="24" t="str">
        <f t="shared" ca="1" si="33"/>
        <v>Platinum</v>
      </c>
      <c r="M183" s="24">
        <v>183</v>
      </c>
      <c r="N183" s="24" t="s">
        <v>837</v>
      </c>
      <c r="O183" s="24" t="s">
        <v>1041</v>
      </c>
      <c r="P183" s="26">
        <v>207</v>
      </c>
      <c r="Q183" s="26">
        <v>291.87</v>
      </c>
      <c r="R183" s="24">
        <v>183</v>
      </c>
      <c r="S183" s="24" t="str">
        <f t="shared" si="34"/>
        <v>Jul</v>
      </c>
      <c r="T183" s="46">
        <v>45113</v>
      </c>
      <c r="U183" s="24">
        <v>2</v>
      </c>
      <c r="V183" s="37">
        <v>110</v>
      </c>
      <c r="W183" s="24">
        <v>58</v>
      </c>
      <c r="X183" s="24">
        <v>2</v>
      </c>
      <c r="Y183" s="26">
        <f>combined_tbl!$Q183*(1-combined_tbl!$Z183)</f>
        <v>277.2765</v>
      </c>
      <c r="Z183" s="27">
        <f>IF(combined_tbl!$Q183&gt;=500,0.2, IF(combined_tbl!$Q183&gt;=200,0.05, IF(combined_tbl!$X183&gt;=2,0.05,0)))</f>
        <v>0.05</v>
      </c>
      <c r="AA183" s="26">
        <f>combined_tbl!$Y183*combined_tbl!$X183</f>
        <v>554.553</v>
      </c>
      <c r="AB183" s="28">
        <f>(combined_tbl!$Q183*(1+combined_tbl!$Z183)-combined_tbl!$P183)*combined_tbl!$X183</f>
        <v>198.92700000000002</v>
      </c>
    </row>
    <row r="184" spans="1:28" x14ac:dyDescent="0.3">
      <c r="A184" s="29">
        <v>183</v>
      </c>
      <c r="B184" s="25" cm="1">
        <f t="array" aca="1" ref="B184" ca="1">MIN(IF($E:$E=E184,$H:$H))</f>
        <v>45014</v>
      </c>
      <c r="C184" s="25">
        <f t="shared" ca="1" si="29"/>
        <v>32</v>
      </c>
      <c r="D184" s="43">
        <f ca="1">COUNTIF(E:E,combined_tbl!$E184)</f>
        <v>10</v>
      </c>
      <c r="E184" s="29" t="str">
        <f t="shared" ca="1" si="36"/>
        <v>Customer022</v>
      </c>
      <c r="F184" s="29" t="str" cm="1">
        <f t="array" aca="1" ref="F184" ca="1">INDEX({"Male","Female"}, RANDBETWEEN(1,2))</f>
        <v>Male</v>
      </c>
      <c r="G184" s="29" t="str">
        <f t="shared" ca="1" si="39"/>
        <v>South</v>
      </c>
      <c r="H184" s="48">
        <f t="shared" ca="1" si="30"/>
        <v>45014</v>
      </c>
      <c r="I184" s="24">
        <f t="shared" ca="1" si="31"/>
        <v>29</v>
      </c>
      <c r="J184" s="46" t="str">
        <f t="shared" ca="1" si="37"/>
        <v>March</v>
      </c>
      <c r="K184" s="24">
        <f t="shared" ca="1" si="32"/>
        <v>2023</v>
      </c>
      <c r="L184" s="24" t="str">
        <f t="shared" ca="1" si="33"/>
        <v>Platinum</v>
      </c>
      <c r="M184" s="29">
        <v>184</v>
      </c>
      <c r="N184" s="29" t="s">
        <v>955</v>
      </c>
      <c r="O184" s="29" t="s">
        <v>1042</v>
      </c>
      <c r="P184" s="30">
        <v>332</v>
      </c>
      <c r="Q184" s="30">
        <v>484.71999999999997</v>
      </c>
      <c r="R184" s="29">
        <v>184</v>
      </c>
      <c r="S184" s="24" t="str">
        <f t="shared" si="34"/>
        <v>Jul</v>
      </c>
      <c r="T184" s="47">
        <v>45117</v>
      </c>
      <c r="U184" s="29">
        <v>7</v>
      </c>
      <c r="V184" s="38">
        <v>47</v>
      </c>
      <c r="W184" s="29">
        <v>14</v>
      </c>
      <c r="X184" s="29">
        <v>1</v>
      </c>
      <c r="Y184" s="30">
        <f>combined_tbl!$Q184*(1-combined_tbl!$Z184)</f>
        <v>460.48399999999992</v>
      </c>
      <c r="Z184" s="31">
        <f>IF(combined_tbl!$Q184&gt;=500,0.2, IF(combined_tbl!$Q184&gt;=200,0.05, IF(combined_tbl!$X184&gt;=2,0.05,0)))</f>
        <v>0.05</v>
      </c>
      <c r="AA184" s="30">
        <f>combined_tbl!$Y184*combined_tbl!$X184</f>
        <v>460.48399999999992</v>
      </c>
      <c r="AB184" s="32">
        <f>(combined_tbl!$Q184*(1+combined_tbl!$Z184)-combined_tbl!$P184)*combined_tbl!$X184</f>
        <v>176.95600000000002</v>
      </c>
    </row>
    <row r="185" spans="1:28" x14ac:dyDescent="0.3">
      <c r="A185" s="29">
        <v>184</v>
      </c>
      <c r="B185" s="25" cm="1">
        <f t="array" aca="1" ref="B185" ca="1">MIN(IF($E:$E=E185,$H:$H))</f>
        <v>45582</v>
      </c>
      <c r="C185" s="25">
        <f t="shared" ca="1" si="29"/>
        <v>13</v>
      </c>
      <c r="D185" s="42">
        <f ca="1">COUNTIF(E:E,combined_tbl!$E185)</f>
        <v>11</v>
      </c>
      <c r="E185" s="24" t="str">
        <f t="shared" ca="1" si="36"/>
        <v>Customer002</v>
      </c>
      <c r="F185" s="24" t="str" cm="1">
        <f t="array" aca="1" ref="F185" ca="1">INDEX({"Male","Female"}, RANDBETWEEN(1,2))</f>
        <v>Female</v>
      </c>
      <c r="G185" s="29" t="str">
        <f t="shared" ca="1" si="39"/>
        <v>East</v>
      </c>
      <c r="H185" s="48">
        <f t="shared" ca="1" si="30"/>
        <v>45582</v>
      </c>
      <c r="I185" s="24">
        <f t="shared" ca="1" si="31"/>
        <v>17</v>
      </c>
      <c r="J185" s="46" t="str">
        <f t="shared" ca="1" si="37"/>
        <v>October</v>
      </c>
      <c r="K185" s="24">
        <f t="shared" ca="1" si="32"/>
        <v>2024</v>
      </c>
      <c r="L185" s="24" t="str">
        <f t="shared" ca="1" si="33"/>
        <v>Silver</v>
      </c>
      <c r="M185" s="24">
        <v>185</v>
      </c>
      <c r="N185" s="24" t="s">
        <v>851</v>
      </c>
      <c r="O185" s="24" t="s">
        <v>1043</v>
      </c>
      <c r="P185" s="26">
        <v>123</v>
      </c>
      <c r="Q185" s="26">
        <v>145.13999999999999</v>
      </c>
      <c r="R185" s="24">
        <v>185</v>
      </c>
      <c r="S185" s="24" t="str">
        <f t="shared" si="34"/>
        <v>Jul</v>
      </c>
      <c r="T185" s="46">
        <v>45124</v>
      </c>
      <c r="U185" s="24">
        <v>6</v>
      </c>
      <c r="V185" s="37">
        <v>146</v>
      </c>
      <c r="W185" s="24">
        <v>57</v>
      </c>
      <c r="X185" s="24">
        <v>1</v>
      </c>
      <c r="Y185" s="26">
        <f>combined_tbl!$Q185*(1-combined_tbl!$Z185)</f>
        <v>145.13999999999999</v>
      </c>
      <c r="Z185" s="27">
        <f>IF(combined_tbl!$Q185&gt;=500,0.2, IF(combined_tbl!$Q185&gt;=200,0.05, IF(combined_tbl!$X185&gt;=2,0.05,0)))</f>
        <v>0</v>
      </c>
      <c r="AA185" s="26">
        <f>combined_tbl!$Y185*combined_tbl!$X185</f>
        <v>145.13999999999999</v>
      </c>
      <c r="AB185" s="28">
        <f>(combined_tbl!$Q185*(1+combined_tbl!$Z185)-combined_tbl!$P185)*combined_tbl!$X185</f>
        <v>22.139999999999986</v>
      </c>
    </row>
    <row r="186" spans="1:28" x14ac:dyDescent="0.3">
      <c r="A186" s="19">
        <v>185</v>
      </c>
      <c r="B186" s="25" cm="1">
        <f t="array" aca="1" ref="B186" ca="1">MIN(IF($E:$E=E186,$H:$H))</f>
        <v>45965</v>
      </c>
      <c r="C186" s="25">
        <f t="shared" ca="1" si="29"/>
        <v>1</v>
      </c>
      <c r="D186" s="43">
        <f ca="1">COUNTIF(E:E,combined_tbl!$E186)</f>
        <v>4</v>
      </c>
      <c r="E186" s="29" t="str">
        <f t="shared" ca="1" si="36"/>
        <v>Customer058</v>
      </c>
      <c r="F186" s="29" t="str" cm="1">
        <f t="array" aca="1" ref="F186" ca="1">INDEX({"Male","Female"}, RANDBETWEEN(1,2))</f>
        <v>Male</v>
      </c>
      <c r="G186" s="29" t="str">
        <f t="shared" ca="1" si="39"/>
        <v>North</v>
      </c>
      <c r="H186" s="48">
        <f t="shared" ca="1" si="30"/>
        <v>45965</v>
      </c>
      <c r="I186" s="24">
        <f t="shared" ca="1" si="31"/>
        <v>4</v>
      </c>
      <c r="J186" s="46" t="str">
        <f t="shared" ca="1" si="37"/>
        <v>November</v>
      </c>
      <c r="K186" s="24">
        <f t="shared" ca="1" si="32"/>
        <v>2025</v>
      </c>
      <c r="L186" s="24" t="str">
        <f t="shared" ca="1" si="33"/>
        <v>Bronze</v>
      </c>
      <c r="M186" s="29">
        <v>186</v>
      </c>
      <c r="N186" s="29" t="s">
        <v>847</v>
      </c>
      <c r="O186" s="29" t="s">
        <v>1044</v>
      </c>
      <c r="P186" s="30">
        <v>25</v>
      </c>
      <c r="Q186" s="30">
        <v>30.5</v>
      </c>
      <c r="R186" s="29">
        <v>186</v>
      </c>
      <c r="S186" s="24" t="str">
        <f t="shared" si="34"/>
        <v>Sep</v>
      </c>
      <c r="T186" s="47">
        <v>45193</v>
      </c>
      <c r="U186" s="29">
        <v>1</v>
      </c>
      <c r="V186" s="38">
        <v>131</v>
      </c>
      <c r="W186" s="29">
        <v>67</v>
      </c>
      <c r="X186" s="29">
        <v>1</v>
      </c>
      <c r="Y186" s="30">
        <f>combined_tbl!$Q186*(1-combined_tbl!$Z186)</f>
        <v>30.5</v>
      </c>
      <c r="Z186" s="31">
        <f>IF(combined_tbl!$Q186&gt;=500,0.2, IF(combined_tbl!$Q186&gt;=200,0.05, IF(combined_tbl!$X186&gt;=2,0.05,0)))</f>
        <v>0</v>
      </c>
      <c r="AA186" s="30">
        <f>combined_tbl!$Y186*combined_tbl!$X186</f>
        <v>30.5</v>
      </c>
      <c r="AB186" s="32">
        <f>(combined_tbl!$Q186*(1+combined_tbl!$Z186)-combined_tbl!$P186)*combined_tbl!$X186</f>
        <v>5.5</v>
      </c>
    </row>
    <row r="187" spans="1:28" x14ac:dyDescent="0.3">
      <c r="A187" s="24">
        <v>186</v>
      </c>
      <c r="B187" s="25" cm="1">
        <f t="array" aca="1" ref="B187" ca="1">MIN(IF($E:$E=E187,$H:$H))</f>
        <v>45085</v>
      </c>
      <c r="C187" s="25">
        <f t="shared" ca="1" si="29"/>
        <v>29</v>
      </c>
      <c r="D187" s="42">
        <f ca="1">COUNTIF(E:E,combined_tbl!$E187)</f>
        <v>10</v>
      </c>
      <c r="E187" s="24" t="str">
        <f t="shared" ca="1" si="36"/>
        <v>Customer007</v>
      </c>
      <c r="F187" s="24" t="str" cm="1">
        <f t="array" aca="1" ref="F187" ca="1">INDEX({"Male","Female"}, RANDBETWEEN(1,2))</f>
        <v>Female</v>
      </c>
      <c r="G187" s="29" t="str">
        <f t="shared" ca="1" si="39"/>
        <v>East</v>
      </c>
      <c r="H187" s="48">
        <f t="shared" ca="1" si="30"/>
        <v>45085</v>
      </c>
      <c r="I187" s="24">
        <f t="shared" ca="1" si="31"/>
        <v>8</v>
      </c>
      <c r="J187" s="46" t="str">
        <f t="shared" ca="1" si="37"/>
        <v>June</v>
      </c>
      <c r="K187" s="24">
        <f t="shared" ca="1" si="32"/>
        <v>2023</v>
      </c>
      <c r="L187" s="24" t="str">
        <f t="shared" ca="1" si="33"/>
        <v>Platinum</v>
      </c>
      <c r="M187" s="24">
        <v>187</v>
      </c>
      <c r="N187" s="24" t="s">
        <v>955</v>
      </c>
      <c r="O187" s="24" t="s">
        <v>1045</v>
      </c>
      <c r="P187" s="26">
        <v>355</v>
      </c>
      <c r="Q187" s="26">
        <v>496.99999999999994</v>
      </c>
      <c r="R187" s="24">
        <v>187</v>
      </c>
      <c r="S187" s="24" t="str">
        <f t="shared" si="34"/>
        <v>Nov</v>
      </c>
      <c r="T187" s="46">
        <v>45602</v>
      </c>
      <c r="U187" s="24">
        <v>2</v>
      </c>
      <c r="V187" s="37">
        <v>216</v>
      </c>
      <c r="W187" s="24">
        <v>13</v>
      </c>
      <c r="X187" s="24">
        <v>4</v>
      </c>
      <c r="Y187" s="26">
        <f>combined_tbl!$Q187*(1-combined_tbl!$Z187)</f>
        <v>472.14999999999992</v>
      </c>
      <c r="Z187" s="27">
        <f>IF(combined_tbl!$Q187&gt;=500,0.2, IF(combined_tbl!$Q187&gt;=200,0.05, IF(combined_tbl!$X187&gt;=2,0.05,0)))</f>
        <v>0.05</v>
      </c>
      <c r="AA187" s="26">
        <f>combined_tbl!$Y187*combined_tbl!$X187</f>
        <v>1888.5999999999997</v>
      </c>
      <c r="AB187" s="28">
        <f>(combined_tbl!$Q187*(1+combined_tbl!$Z187)-combined_tbl!$P187)*combined_tbl!$X187</f>
        <v>667.39999999999964</v>
      </c>
    </row>
    <row r="188" spans="1:28" x14ac:dyDescent="0.3">
      <c r="A188" s="29">
        <v>187</v>
      </c>
      <c r="B188" s="25" cm="1">
        <f t="array" aca="1" ref="B188" ca="1">MIN(IF($E:$E=E188,$H:$H))</f>
        <v>45382</v>
      </c>
      <c r="C188" s="25">
        <f t="shared" ca="1" si="29"/>
        <v>20</v>
      </c>
      <c r="D188" s="43">
        <f ca="1">COUNTIF(E:E,combined_tbl!$E188)</f>
        <v>4</v>
      </c>
      <c r="E188" s="29" t="str">
        <f t="shared" ca="1" si="36"/>
        <v>Customer028</v>
      </c>
      <c r="F188" s="29" t="str" cm="1">
        <f t="array" aca="1" ref="F188" ca="1">INDEX({"Male","Female"}, RANDBETWEEN(1,2))</f>
        <v>Female</v>
      </c>
      <c r="G188" s="29" t="str">
        <f t="shared" ca="1" si="39"/>
        <v>East</v>
      </c>
      <c r="H188" s="48">
        <f t="shared" ca="1" si="30"/>
        <v>45382</v>
      </c>
      <c r="I188" s="24">
        <f t="shared" ca="1" si="31"/>
        <v>31</v>
      </c>
      <c r="J188" s="46" t="str">
        <f t="shared" ca="1" si="37"/>
        <v>March</v>
      </c>
      <c r="K188" s="24">
        <f t="shared" ca="1" si="32"/>
        <v>2024</v>
      </c>
      <c r="L188" s="24" t="str">
        <f t="shared" ca="1" si="33"/>
        <v>Silver</v>
      </c>
      <c r="M188" s="29">
        <v>188</v>
      </c>
      <c r="N188" s="29" t="s">
        <v>831</v>
      </c>
      <c r="O188" s="29" t="s">
        <v>1046</v>
      </c>
      <c r="P188" s="30">
        <v>175</v>
      </c>
      <c r="Q188" s="30">
        <v>257.25</v>
      </c>
      <c r="R188" s="29">
        <v>188</v>
      </c>
      <c r="S188" s="24" t="str">
        <f t="shared" si="34"/>
        <v>Apr</v>
      </c>
      <c r="T188" s="47">
        <v>45768</v>
      </c>
      <c r="U188" s="29">
        <v>6</v>
      </c>
      <c r="V188" s="38">
        <v>198</v>
      </c>
      <c r="W188" s="29">
        <v>14</v>
      </c>
      <c r="X188" s="29">
        <v>1</v>
      </c>
      <c r="Y188" s="30">
        <f>combined_tbl!$Q188*(1-combined_tbl!$Z188)</f>
        <v>244.38749999999999</v>
      </c>
      <c r="Z188" s="31">
        <f>IF(combined_tbl!$Q188&gt;=500,0.2, IF(combined_tbl!$Q188&gt;=200,0.05, IF(combined_tbl!$X188&gt;=2,0.05,0)))</f>
        <v>0.05</v>
      </c>
      <c r="AA188" s="30">
        <f>combined_tbl!$Y188*combined_tbl!$X188</f>
        <v>244.38749999999999</v>
      </c>
      <c r="AB188" s="32">
        <f>(combined_tbl!$Q188*(1+combined_tbl!$Z188)-combined_tbl!$P188)*combined_tbl!$X188</f>
        <v>95.112500000000011</v>
      </c>
    </row>
    <row r="189" spans="1:28" x14ac:dyDescent="0.3">
      <c r="A189" s="29">
        <v>188</v>
      </c>
      <c r="B189" s="25" cm="1">
        <f t="array" aca="1" ref="B189" ca="1">MIN(IF($E:$E=E189,$H:$H))</f>
        <v>45809</v>
      </c>
      <c r="C189" s="25">
        <f t="shared" ca="1" si="29"/>
        <v>6</v>
      </c>
      <c r="D189" s="42">
        <f ca="1">COUNTIF(E:E,combined_tbl!$E189)</f>
        <v>10</v>
      </c>
      <c r="E189" s="24" t="str">
        <f t="shared" ca="1" si="36"/>
        <v>Customer019</v>
      </c>
      <c r="F189" s="24" t="str" cm="1">
        <f t="array" aca="1" ref="F189" ca="1">INDEX({"Male","Female"}, RANDBETWEEN(1,2))</f>
        <v>Female</v>
      </c>
      <c r="G189" s="29" t="str">
        <f t="shared" ca="1" si="39"/>
        <v>North</v>
      </c>
      <c r="H189" s="48">
        <f t="shared" ca="1" si="30"/>
        <v>45809</v>
      </c>
      <c r="I189" s="24">
        <f t="shared" ca="1" si="31"/>
        <v>1</v>
      </c>
      <c r="J189" s="46" t="str">
        <f t="shared" ca="1" si="37"/>
        <v>June</v>
      </c>
      <c r="K189" s="24">
        <f t="shared" ca="1" si="32"/>
        <v>2025</v>
      </c>
      <c r="L189" s="24" t="str">
        <f t="shared" ca="1" si="33"/>
        <v>Bronze</v>
      </c>
      <c r="M189" s="24">
        <v>189</v>
      </c>
      <c r="N189" s="24" t="s">
        <v>851</v>
      </c>
      <c r="O189" s="24" t="s">
        <v>1047</v>
      </c>
      <c r="P189" s="26">
        <v>51</v>
      </c>
      <c r="Q189" s="26">
        <v>69.36</v>
      </c>
      <c r="R189" s="24">
        <v>189</v>
      </c>
      <c r="S189" s="24" t="str">
        <f t="shared" si="34"/>
        <v>May</v>
      </c>
      <c r="T189" s="46">
        <v>45793</v>
      </c>
      <c r="U189" s="24">
        <v>1</v>
      </c>
      <c r="V189" s="37">
        <v>91</v>
      </c>
      <c r="W189" s="24">
        <v>37</v>
      </c>
      <c r="X189" s="24">
        <v>2</v>
      </c>
      <c r="Y189" s="26">
        <f>combined_tbl!$Q189*(1-combined_tbl!$Z189)</f>
        <v>65.891999999999996</v>
      </c>
      <c r="Z189" s="27">
        <f>IF(combined_tbl!$Q189&gt;=500,0.2, IF(combined_tbl!$Q189&gt;=200,0.05, IF(combined_tbl!$X189&gt;=2,0.05,0)))</f>
        <v>0.05</v>
      </c>
      <c r="AA189" s="26">
        <f>combined_tbl!$Y189*combined_tbl!$X189</f>
        <v>131.78399999999999</v>
      </c>
      <c r="AB189" s="28">
        <f>(combined_tbl!$Q189*(1+combined_tbl!$Z189)-combined_tbl!$P189)*combined_tbl!$X189</f>
        <v>43.656000000000006</v>
      </c>
    </row>
    <row r="190" spans="1:28" x14ac:dyDescent="0.3">
      <c r="A190" s="29">
        <v>189</v>
      </c>
      <c r="B190" s="25" cm="1">
        <f t="array" aca="1" ref="B190" ca="1">MIN(IF($E:$E=E190,$H:$H))</f>
        <v>45085</v>
      </c>
      <c r="C190" s="25">
        <f t="shared" ca="1" si="29"/>
        <v>29</v>
      </c>
      <c r="D190" s="43">
        <f ca="1">COUNTIF(E:E,combined_tbl!$E190)</f>
        <v>10</v>
      </c>
      <c r="E190" s="29" t="str">
        <f t="shared" ca="1" si="36"/>
        <v>Customer007</v>
      </c>
      <c r="F190" s="29" t="str" cm="1">
        <f t="array" aca="1" ref="F190" ca="1">INDEX({"Male","Female"}, RANDBETWEEN(1,2))</f>
        <v>Male</v>
      </c>
      <c r="G190" s="29" t="str">
        <f t="shared" ca="1" si="39"/>
        <v>East</v>
      </c>
      <c r="H190" s="48">
        <f t="shared" ca="1" si="30"/>
        <v>45085</v>
      </c>
      <c r="I190" s="24">
        <f t="shared" ca="1" si="31"/>
        <v>8</v>
      </c>
      <c r="J190" s="46" t="str">
        <f t="shared" ca="1" si="37"/>
        <v>June</v>
      </c>
      <c r="K190" s="24">
        <f t="shared" ca="1" si="32"/>
        <v>2023</v>
      </c>
      <c r="L190" s="24" t="str">
        <f t="shared" ca="1" si="33"/>
        <v>Platinum</v>
      </c>
      <c r="M190" s="29">
        <v>190</v>
      </c>
      <c r="N190" s="29" t="s">
        <v>837</v>
      </c>
      <c r="O190" s="29" t="s">
        <v>1048</v>
      </c>
      <c r="P190" s="30">
        <v>295</v>
      </c>
      <c r="Q190" s="30">
        <v>368.75</v>
      </c>
      <c r="R190" s="29">
        <v>190</v>
      </c>
      <c r="S190" s="24" t="str">
        <f t="shared" si="34"/>
        <v>Aug</v>
      </c>
      <c r="T190" s="47">
        <v>45516</v>
      </c>
      <c r="U190" s="29">
        <v>5</v>
      </c>
      <c r="V190" s="38">
        <v>138</v>
      </c>
      <c r="W190" s="29">
        <v>61</v>
      </c>
      <c r="X190" s="29">
        <v>1</v>
      </c>
      <c r="Y190" s="30">
        <f>combined_tbl!$Q190*(1-combined_tbl!$Z190)</f>
        <v>350.3125</v>
      </c>
      <c r="Z190" s="31">
        <f>IF(combined_tbl!$Q190&gt;=500,0.2, IF(combined_tbl!$Q190&gt;=200,0.05, IF(combined_tbl!$X190&gt;=2,0.05,0)))</f>
        <v>0.05</v>
      </c>
      <c r="AA190" s="30">
        <f>combined_tbl!$Y190*combined_tbl!$X190</f>
        <v>350.3125</v>
      </c>
      <c r="AB190" s="32">
        <f>(combined_tbl!$Q190*(1+combined_tbl!$Z190)-combined_tbl!$P190)*combined_tbl!$X190</f>
        <v>92.1875</v>
      </c>
    </row>
    <row r="191" spans="1:28" x14ac:dyDescent="0.3">
      <c r="A191" s="29">
        <v>190</v>
      </c>
      <c r="B191" s="25" cm="1">
        <f t="array" aca="1" ref="B191" ca="1">MIN(IF($E:$E=E191,$H:$H))</f>
        <v>44976</v>
      </c>
      <c r="C191" s="25">
        <f t="shared" ca="1" si="29"/>
        <v>33</v>
      </c>
      <c r="D191" s="42">
        <f ca="1">COUNTIF(E:E,combined_tbl!$E191)</f>
        <v>7</v>
      </c>
      <c r="E191" s="24" t="str">
        <f t="shared" ca="1" si="36"/>
        <v>Customer015</v>
      </c>
      <c r="F191" s="24" t="str" cm="1">
        <f t="array" aca="1" ref="F191" ca="1">INDEX({"Male","Female"}, RANDBETWEEN(1,2))</f>
        <v>Male</v>
      </c>
      <c r="G191" s="29" t="str">
        <f t="shared" ca="1" si="39"/>
        <v>East</v>
      </c>
      <c r="H191" s="48">
        <f t="shared" ca="1" si="30"/>
        <v>44976</v>
      </c>
      <c r="I191" s="24">
        <f t="shared" ca="1" si="31"/>
        <v>19</v>
      </c>
      <c r="J191" s="46" t="str">
        <f t="shared" ca="1" si="37"/>
        <v>February</v>
      </c>
      <c r="K191" s="24">
        <f t="shared" ca="1" si="32"/>
        <v>2023</v>
      </c>
      <c r="L191" s="24" t="str">
        <f t="shared" ca="1" si="33"/>
        <v>Gold</v>
      </c>
      <c r="M191" s="24">
        <v>191</v>
      </c>
      <c r="N191" s="24" t="s">
        <v>954</v>
      </c>
      <c r="O191" s="24" t="s">
        <v>1049</v>
      </c>
      <c r="P191" s="26">
        <v>978</v>
      </c>
      <c r="Q191" s="26">
        <v>1232.28</v>
      </c>
      <c r="R191" s="24">
        <v>191</v>
      </c>
      <c r="S191" s="24" t="str">
        <f t="shared" si="34"/>
        <v>Dec</v>
      </c>
      <c r="T191" s="46">
        <v>45647</v>
      </c>
      <c r="U191" s="24">
        <v>2</v>
      </c>
      <c r="V191" s="37">
        <v>173</v>
      </c>
      <c r="W191" s="24">
        <v>75</v>
      </c>
      <c r="X191" s="24">
        <v>1</v>
      </c>
      <c r="Y191" s="26">
        <f>combined_tbl!$Q191*(1-combined_tbl!$Z191)</f>
        <v>985.82400000000007</v>
      </c>
      <c r="Z191" s="27">
        <f>IF(combined_tbl!$Q191&gt;=500,0.2, IF(combined_tbl!$Q191&gt;=200,0.05, IF(combined_tbl!$X191&gt;=2,0.05,0)))</f>
        <v>0.2</v>
      </c>
      <c r="AA191" s="26">
        <f>combined_tbl!$Y191*combined_tbl!$X191</f>
        <v>985.82400000000007</v>
      </c>
      <c r="AB191" s="28">
        <f>(combined_tbl!$Q191*(1+combined_tbl!$Z191)-combined_tbl!$P191)*combined_tbl!$X191</f>
        <v>500.73599999999988</v>
      </c>
    </row>
    <row r="192" spans="1:28" x14ac:dyDescent="0.3">
      <c r="A192" s="29">
        <v>191</v>
      </c>
      <c r="B192" s="25" cm="1">
        <f t="array" aca="1" ref="B192" ca="1">MIN(IF($E:$E=E192,$H:$H))</f>
        <v>45750</v>
      </c>
      <c r="C192" s="25">
        <f t="shared" ca="1" si="29"/>
        <v>8</v>
      </c>
      <c r="D192" s="43">
        <f ca="1">COUNTIF(E:E,combined_tbl!$E192)</f>
        <v>6</v>
      </c>
      <c r="E192" s="29" t="str">
        <f t="shared" ca="1" si="36"/>
        <v>Customer005</v>
      </c>
      <c r="F192" s="29" t="str" cm="1">
        <f t="array" aca="1" ref="F192" ca="1">INDEX({"Male","Female"}, RANDBETWEEN(1,2))</f>
        <v>Female</v>
      </c>
      <c r="G192" s="29" t="str">
        <f t="shared" ca="1" si="39"/>
        <v>East</v>
      </c>
      <c r="H192" s="48">
        <f t="shared" ca="1" si="30"/>
        <v>45750</v>
      </c>
      <c r="I192" s="24">
        <f t="shared" ca="1" si="31"/>
        <v>3</v>
      </c>
      <c r="J192" s="46" t="str">
        <f t="shared" ca="1" si="37"/>
        <v>April</v>
      </c>
      <c r="K192" s="24">
        <f t="shared" ca="1" si="32"/>
        <v>2025</v>
      </c>
      <c r="L192" s="24" t="str">
        <f t="shared" ca="1" si="33"/>
        <v>Bronze</v>
      </c>
      <c r="M192" s="29">
        <v>192</v>
      </c>
      <c r="N192" s="29" t="s">
        <v>955</v>
      </c>
      <c r="O192" s="29" t="s">
        <v>1050</v>
      </c>
      <c r="P192" s="30">
        <v>274</v>
      </c>
      <c r="Q192" s="30">
        <v>320.58</v>
      </c>
      <c r="R192" s="29">
        <v>192</v>
      </c>
      <c r="S192" s="24" t="str">
        <f t="shared" si="34"/>
        <v>Nov</v>
      </c>
      <c r="T192" s="47">
        <v>45966</v>
      </c>
      <c r="U192" s="29">
        <v>4</v>
      </c>
      <c r="V192" s="38">
        <v>122</v>
      </c>
      <c r="W192" s="29">
        <v>10</v>
      </c>
      <c r="X192" s="29">
        <v>2</v>
      </c>
      <c r="Y192" s="30">
        <f>combined_tbl!$Q192*(1-combined_tbl!$Z192)</f>
        <v>304.55099999999999</v>
      </c>
      <c r="Z192" s="31">
        <f>IF(combined_tbl!$Q192&gt;=500,0.2, IF(combined_tbl!$Q192&gt;=200,0.05, IF(combined_tbl!$X192&gt;=2,0.05,0)))</f>
        <v>0.05</v>
      </c>
      <c r="AA192" s="30">
        <f>combined_tbl!$Y192*combined_tbl!$X192</f>
        <v>609.10199999999998</v>
      </c>
      <c r="AB192" s="32">
        <f>(combined_tbl!$Q192*(1+combined_tbl!$Z192)-combined_tbl!$P192)*combined_tbl!$X192</f>
        <v>125.21799999999996</v>
      </c>
    </row>
    <row r="193" spans="1:28" x14ac:dyDescent="0.3">
      <c r="A193" s="29">
        <v>192</v>
      </c>
      <c r="B193" s="25" cm="1">
        <f t="array" aca="1" ref="B193" ca="1">MIN(IF($E:$E=E193,$H:$H))</f>
        <v>45631</v>
      </c>
      <c r="C193" s="25">
        <f t="shared" ca="1" si="29"/>
        <v>11</v>
      </c>
      <c r="D193" s="42">
        <f ca="1">COUNTIF(E:E,combined_tbl!$E193)</f>
        <v>6</v>
      </c>
      <c r="E193" s="24" t="str">
        <f t="shared" ca="1" si="36"/>
        <v>Customer017</v>
      </c>
      <c r="F193" s="24" t="str" cm="1">
        <f t="array" aca="1" ref="F193" ca="1">INDEX({"Male","Female"}, RANDBETWEEN(1,2))</f>
        <v>Female</v>
      </c>
      <c r="G193" s="29" t="str">
        <f t="shared" ca="1" si="39"/>
        <v>West</v>
      </c>
      <c r="H193" s="48">
        <f t="shared" ca="1" si="30"/>
        <v>45631</v>
      </c>
      <c r="I193" s="24">
        <f t="shared" ca="1" si="31"/>
        <v>5</v>
      </c>
      <c r="J193" s="46" t="str">
        <f t="shared" ca="1" si="37"/>
        <v>December</v>
      </c>
      <c r="K193" s="24">
        <f t="shared" ca="1" si="32"/>
        <v>2024</v>
      </c>
      <c r="L193" s="24" t="str">
        <f t="shared" ca="1" si="33"/>
        <v>Bronze</v>
      </c>
      <c r="M193" s="24">
        <v>193</v>
      </c>
      <c r="N193" s="24" t="s">
        <v>847</v>
      </c>
      <c r="O193" s="24" t="s">
        <v>1051</v>
      </c>
      <c r="P193" s="26">
        <v>39</v>
      </c>
      <c r="Q193" s="26">
        <v>58.5</v>
      </c>
      <c r="R193" s="24">
        <v>193</v>
      </c>
      <c r="S193" s="24" t="str">
        <f t="shared" si="34"/>
        <v>Nov</v>
      </c>
      <c r="T193" s="46">
        <v>45243</v>
      </c>
      <c r="U193" s="24">
        <v>8</v>
      </c>
      <c r="V193" s="37">
        <v>54</v>
      </c>
      <c r="W193" s="24">
        <v>28</v>
      </c>
      <c r="X193" s="24">
        <v>1</v>
      </c>
      <c r="Y193" s="26">
        <f>combined_tbl!$Q193*(1-combined_tbl!$Z193)</f>
        <v>58.5</v>
      </c>
      <c r="Z193" s="27">
        <f>IF(combined_tbl!$Q193&gt;=500,0.2, IF(combined_tbl!$Q193&gt;=200,0.05, IF(combined_tbl!$X193&gt;=2,0.05,0)))</f>
        <v>0</v>
      </c>
      <c r="AA193" s="26">
        <f>combined_tbl!$Y193*combined_tbl!$X193</f>
        <v>58.5</v>
      </c>
      <c r="AB193" s="28">
        <f>(combined_tbl!$Q193*(1+combined_tbl!$Z193)-combined_tbl!$P193)*combined_tbl!$X193</f>
        <v>19.5</v>
      </c>
    </row>
    <row r="194" spans="1:28" x14ac:dyDescent="0.3">
      <c r="A194" s="19">
        <v>193</v>
      </c>
      <c r="B194" s="25" cm="1">
        <f t="array" aca="1" ref="B194" ca="1">MIN(IF($E:$E=E194,$H:$H))</f>
        <v>45537</v>
      </c>
      <c r="C194" s="25">
        <f t="shared" ref="C194:C257" ca="1" si="40">DATEDIF(B194,MAX($H:$H),"m")</f>
        <v>15</v>
      </c>
      <c r="D194" s="43">
        <f ca="1">COUNTIF(E:E,combined_tbl!$E194)</f>
        <v>5</v>
      </c>
      <c r="E194" s="29" t="str">
        <f t="shared" ca="1" si="36"/>
        <v>Customer073</v>
      </c>
      <c r="F194" s="29" t="str" cm="1">
        <f t="array" aca="1" ref="F194" ca="1">INDEX({"Male","Female"}, RANDBETWEEN(1,2))</f>
        <v>Male</v>
      </c>
      <c r="G194" s="29" t="str">
        <f t="shared" ca="1" si="39"/>
        <v>East</v>
      </c>
      <c r="H194" s="48">
        <f t="shared" ref="H194:H257" ca="1" si="41">_xlfn.XLOOKUP(E194,AI$1:AI$139,AJ$1:AJ$139)</f>
        <v>45537</v>
      </c>
      <c r="I194" s="24">
        <f t="shared" ref="I194:I257" ca="1" si="42">DAY(H194)</f>
        <v>2</v>
      </c>
      <c r="J194" s="46" t="str">
        <f t="shared" ca="1" si="37"/>
        <v>September</v>
      </c>
      <c r="K194" s="24">
        <f t="shared" ref="K194:K257" ca="1" si="43">YEAR(H194)</f>
        <v>2024</v>
      </c>
      <c r="L194" s="24" t="str">
        <f t="shared" ref="L194:L257" ca="1" si="44">IF(AND(D194&gt;=10,C194&gt;=24),"Platinum",IF(AND(D194&gt;=7,C194&gt;=18),"Gold",IF(AND(D194&gt;=3,C194&gt;=12),"Silver","Bronze")))</f>
        <v>Silver</v>
      </c>
      <c r="M194" s="29">
        <v>194</v>
      </c>
      <c r="N194" s="29" t="s">
        <v>957</v>
      </c>
      <c r="O194" s="29" t="s">
        <v>1052</v>
      </c>
      <c r="P194" s="30">
        <v>84</v>
      </c>
      <c r="Q194" s="30">
        <v>108.36</v>
      </c>
      <c r="R194" s="29">
        <v>194</v>
      </c>
      <c r="S194" s="24" t="str">
        <f t="shared" ref="S194:S257" si="45">TEXT(T194,"MMM")</f>
        <v>Apr</v>
      </c>
      <c r="T194" s="47">
        <v>45386</v>
      </c>
      <c r="U194" s="29">
        <v>2</v>
      </c>
      <c r="V194" s="38">
        <v>150</v>
      </c>
      <c r="W194" s="29">
        <v>92</v>
      </c>
      <c r="X194" s="29">
        <v>1</v>
      </c>
      <c r="Y194" s="30">
        <f>combined_tbl!$Q194*(1-combined_tbl!$Z194)</f>
        <v>108.36</v>
      </c>
      <c r="Z194" s="31">
        <f>IF(combined_tbl!$Q194&gt;=500,0.2, IF(combined_tbl!$Q194&gt;=200,0.05, IF(combined_tbl!$X194&gt;=2,0.05,0)))</f>
        <v>0</v>
      </c>
      <c r="AA194" s="30">
        <f>combined_tbl!$Y194*combined_tbl!$X194</f>
        <v>108.36</v>
      </c>
      <c r="AB194" s="32">
        <f>(combined_tbl!$Q194*(1+combined_tbl!$Z194)-combined_tbl!$P194)*combined_tbl!$X194</f>
        <v>24.36</v>
      </c>
    </row>
    <row r="195" spans="1:28" x14ac:dyDescent="0.3">
      <c r="A195" s="24">
        <v>194</v>
      </c>
      <c r="B195" s="25" cm="1">
        <f t="array" aca="1" ref="B195" ca="1">MIN(IF($E:$E=E195,$H:$H))</f>
        <v>45991</v>
      </c>
      <c r="C195" s="25">
        <f t="shared" ca="1" si="40"/>
        <v>0</v>
      </c>
      <c r="D195" s="42">
        <f ca="1">COUNTIF(E:E,combined_tbl!$E195)</f>
        <v>9</v>
      </c>
      <c r="E195" s="24" t="str">
        <f t="shared" ref="E195:E258" ca="1" si="46">IF(RAND()&lt;=0.5,
   "Customer"&amp;TEXT(RANDBETWEEN(1,30),"000"),
IF(RAND()&lt;=0.8,
   "Customer"&amp;TEXT(RANDBETWEEN(31,80),"000"),
   "Customer"&amp;TEXT(RANDBETWEEN(81,139),"000")))</f>
        <v>Customer029</v>
      </c>
      <c r="F195" s="24" t="str" cm="1">
        <f t="array" aca="1" ref="F195" ca="1">INDEX({"Male","Female"}, RANDBETWEEN(1,2))</f>
        <v>Male</v>
      </c>
      <c r="G195" s="29" t="str">
        <f t="shared" ca="1" si="39"/>
        <v>East</v>
      </c>
      <c r="H195" s="48">
        <f t="shared" ca="1" si="41"/>
        <v>45991</v>
      </c>
      <c r="I195" s="24">
        <f t="shared" ca="1" si="42"/>
        <v>30</v>
      </c>
      <c r="J195" s="46" t="str">
        <f t="shared" ref="J195:J258" ca="1" si="47">TEXT(H195,"mmmm")</f>
        <v>November</v>
      </c>
      <c r="K195" s="24">
        <f t="shared" ca="1" si="43"/>
        <v>2025</v>
      </c>
      <c r="L195" s="24" t="str">
        <f t="shared" ca="1" si="44"/>
        <v>Bronze</v>
      </c>
      <c r="M195" s="24">
        <v>195</v>
      </c>
      <c r="N195" s="24" t="s">
        <v>957</v>
      </c>
      <c r="O195" s="24" t="s">
        <v>1053</v>
      </c>
      <c r="P195" s="26">
        <v>42</v>
      </c>
      <c r="Q195" s="26">
        <v>62.58</v>
      </c>
      <c r="R195" s="24">
        <v>195</v>
      </c>
      <c r="S195" s="24" t="str">
        <f t="shared" si="45"/>
        <v>Dec</v>
      </c>
      <c r="T195" s="46">
        <v>45644</v>
      </c>
      <c r="U195" s="24">
        <v>6</v>
      </c>
      <c r="V195" s="37">
        <v>116</v>
      </c>
      <c r="W195" s="24">
        <v>71</v>
      </c>
      <c r="X195" s="24">
        <v>1</v>
      </c>
      <c r="Y195" s="26">
        <f>combined_tbl!$Q195*(1-combined_tbl!$Z195)</f>
        <v>62.58</v>
      </c>
      <c r="Z195" s="27">
        <f>IF(combined_tbl!$Q195&gt;=500,0.2, IF(combined_tbl!$Q195&gt;=200,0.05, IF(combined_tbl!$X195&gt;=2,0.05,0)))</f>
        <v>0</v>
      </c>
      <c r="AA195" s="26">
        <f>combined_tbl!$Y195*combined_tbl!$X195</f>
        <v>62.58</v>
      </c>
      <c r="AB195" s="28">
        <f>(combined_tbl!$Q195*(1+combined_tbl!$Z195)-combined_tbl!$P195)*combined_tbl!$X195</f>
        <v>20.58</v>
      </c>
    </row>
    <row r="196" spans="1:28" x14ac:dyDescent="0.3">
      <c r="A196" s="29">
        <v>195</v>
      </c>
      <c r="B196" s="25" cm="1">
        <f t="array" aca="1" ref="B196" ca="1">MIN(IF($E:$E=E196,$H:$H))</f>
        <v>44990</v>
      </c>
      <c r="C196" s="25">
        <f t="shared" ca="1" si="40"/>
        <v>32</v>
      </c>
      <c r="D196" s="43">
        <f ca="1">COUNTIF(E:E,combined_tbl!$E196)</f>
        <v>5</v>
      </c>
      <c r="E196" s="29" t="str">
        <f t="shared" ca="1" si="46"/>
        <v>Customer076</v>
      </c>
      <c r="F196" s="29" t="str" cm="1">
        <f t="array" aca="1" ref="F196" ca="1">INDEX({"Male","Female"}, RANDBETWEEN(1,2))</f>
        <v>Female</v>
      </c>
      <c r="G196" s="29" t="str">
        <f t="shared" ca="1" si="39"/>
        <v>West</v>
      </c>
      <c r="H196" s="48">
        <f t="shared" ca="1" si="41"/>
        <v>44990</v>
      </c>
      <c r="I196" s="24">
        <f t="shared" ca="1" si="42"/>
        <v>5</v>
      </c>
      <c r="J196" s="46" t="str">
        <f t="shared" ca="1" si="47"/>
        <v>March</v>
      </c>
      <c r="K196" s="24">
        <f t="shared" ca="1" si="43"/>
        <v>2023</v>
      </c>
      <c r="L196" s="24" t="str">
        <f t="shared" ca="1" si="44"/>
        <v>Silver</v>
      </c>
      <c r="M196" s="29">
        <v>196</v>
      </c>
      <c r="N196" s="29" t="s">
        <v>955</v>
      </c>
      <c r="O196" s="29" t="s">
        <v>1054</v>
      </c>
      <c r="P196" s="30">
        <v>467</v>
      </c>
      <c r="Q196" s="30">
        <v>583.75</v>
      </c>
      <c r="R196" s="29">
        <v>196</v>
      </c>
      <c r="S196" s="24" t="str">
        <f t="shared" si="45"/>
        <v>Aug</v>
      </c>
      <c r="T196" s="47">
        <v>45162</v>
      </c>
      <c r="U196" s="29">
        <v>5</v>
      </c>
      <c r="V196" s="38">
        <v>62</v>
      </c>
      <c r="W196" s="29">
        <v>31</v>
      </c>
      <c r="X196" s="29">
        <v>1</v>
      </c>
      <c r="Y196" s="30">
        <f>combined_tbl!$Q196*(1-combined_tbl!$Z196)</f>
        <v>467</v>
      </c>
      <c r="Z196" s="31">
        <f>IF(combined_tbl!$Q196&gt;=500,0.2, IF(combined_tbl!$Q196&gt;=200,0.05, IF(combined_tbl!$X196&gt;=2,0.05,0)))</f>
        <v>0.2</v>
      </c>
      <c r="AA196" s="30">
        <f>combined_tbl!$Y196*combined_tbl!$X196</f>
        <v>467</v>
      </c>
      <c r="AB196" s="32">
        <f>(combined_tbl!$Q196*(1+combined_tbl!$Z196)-combined_tbl!$P196)*combined_tbl!$X196</f>
        <v>233.5</v>
      </c>
    </row>
    <row r="197" spans="1:28" x14ac:dyDescent="0.3">
      <c r="A197" s="29">
        <v>196</v>
      </c>
      <c r="B197" s="25" cm="1">
        <f t="array" aca="1" ref="B197" ca="1">MIN(IF($E:$E=E197,$H:$H))</f>
        <v>44976</v>
      </c>
      <c r="C197" s="25">
        <f t="shared" ca="1" si="40"/>
        <v>33</v>
      </c>
      <c r="D197" s="42">
        <f ca="1">COUNTIF(E:E,combined_tbl!$E197)</f>
        <v>7</v>
      </c>
      <c r="E197" s="24" t="str">
        <f t="shared" ca="1" si="46"/>
        <v>Customer015</v>
      </c>
      <c r="F197" s="24" t="str" cm="1">
        <f t="array" aca="1" ref="F197" ca="1">INDEX({"Male","Female"}, RANDBETWEEN(1,2))</f>
        <v>Female</v>
      </c>
      <c r="G197" s="29" t="str">
        <f t="shared" ca="1" si="39"/>
        <v>East</v>
      </c>
      <c r="H197" s="48">
        <f t="shared" ca="1" si="41"/>
        <v>44976</v>
      </c>
      <c r="I197" s="24">
        <f t="shared" ca="1" si="42"/>
        <v>19</v>
      </c>
      <c r="J197" s="46" t="str">
        <f t="shared" ca="1" si="47"/>
        <v>February</v>
      </c>
      <c r="K197" s="24">
        <f t="shared" ca="1" si="43"/>
        <v>2023</v>
      </c>
      <c r="L197" s="24" t="str">
        <f t="shared" ca="1" si="44"/>
        <v>Gold</v>
      </c>
      <c r="M197" s="24">
        <v>197</v>
      </c>
      <c r="N197" s="24" t="s">
        <v>955</v>
      </c>
      <c r="O197" s="24" t="s">
        <v>1055</v>
      </c>
      <c r="P197" s="26">
        <v>239</v>
      </c>
      <c r="Q197" s="26">
        <v>274.84999999999997</v>
      </c>
      <c r="R197" s="24">
        <v>197</v>
      </c>
      <c r="S197" s="24" t="str">
        <f t="shared" si="45"/>
        <v>Apr</v>
      </c>
      <c r="T197" s="46">
        <v>45390</v>
      </c>
      <c r="U197" s="24">
        <v>7</v>
      </c>
      <c r="V197" s="37">
        <v>182</v>
      </c>
      <c r="W197" s="24">
        <v>39</v>
      </c>
      <c r="X197" s="24">
        <v>1</v>
      </c>
      <c r="Y197" s="26">
        <f>combined_tbl!$Q197*(1-combined_tbl!$Z197)</f>
        <v>261.10749999999996</v>
      </c>
      <c r="Z197" s="27">
        <f>IF(combined_tbl!$Q197&gt;=500,0.2, IF(combined_tbl!$Q197&gt;=200,0.05, IF(combined_tbl!$X197&gt;=2,0.05,0)))</f>
        <v>0.05</v>
      </c>
      <c r="AA197" s="26">
        <f>combined_tbl!$Y197*combined_tbl!$X197</f>
        <v>261.10749999999996</v>
      </c>
      <c r="AB197" s="28">
        <f>(combined_tbl!$Q197*(1+combined_tbl!$Z197)-combined_tbl!$P197)*combined_tbl!$X197</f>
        <v>49.592499999999973</v>
      </c>
    </row>
    <row r="198" spans="1:28" x14ac:dyDescent="0.3">
      <c r="A198" s="29">
        <v>197</v>
      </c>
      <c r="B198" s="25" cm="1">
        <f t="array" aca="1" ref="B198" ca="1">MIN(IF($E:$E=E198,$H:$H))</f>
        <v>45318</v>
      </c>
      <c r="C198" s="25">
        <f t="shared" ca="1" si="40"/>
        <v>22</v>
      </c>
      <c r="D198" s="43">
        <f ca="1">COUNTIF(E:E,combined_tbl!$E198)</f>
        <v>3</v>
      </c>
      <c r="E198" s="29" t="str">
        <f t="shared" ca="1" si="46"/>
        <v>Customer035</v>
      </c>
      <c r="F198" s="29" t="str" cm="1">
        <f t="array" aca="1" ref="F198" ca="1">INDEX({"Male","Female"}, RANDBETWEEN(1,2))</f>
        <v>Female</v>
      </c>
      <c r="G198" s="29" t="str">
        <f t="shared" ca="1" si="39"/>
        <v>North</v>
      </c>
      <c r="H198" s="48">
        <f t="shared" ca="1" si="41"/>
        <v>45318</v>
      </c>
      <c r="I198" s="24">
        <f t="shared" ca="1" si="42"/>
        <v>27</v>
      </c>
      <c r="J198" s="46" t="str">
        <f t="shared" ca="1" si="47"/>
        <v>January</v>
      </c>
      <c r="K198" s="24">
        <f t="shared" ca="1" si="43"/>
        <v>2024</v>
      </c>
      <c r="L198" s="24" t="str">
        <f t="shared" ca="1" si="44"/>
        <v>Silver</v>
      </c>
      <c r="M198" s="29">
        <v>198</v>
      </c>
      <c r="N198" s="29" t="s">
        <v>851</v>
      </c>
      <c r="O198" s="29" t="s">
        <v>1056</v>
      </c>
      <c r="P198" s="30">
        <v>20</v>
      </c>
      <c r="Q198" s="30">
        <v>24.4</v>
      </c>
      <c r="R198" s="29">
        <v>198</v>
      </c>
      <c r="S198" s="24" t="str">
        <f t="shared" si="45"/>
        <v>Feb</v>
      </c>
      <c r="T198" s="47">
        <v>44980</v>
      </c>
      <c r="U198" s="29">
        <v>5</v>
      </c>
      <c r="V198" s="38">
        <v>63</v>
      </c>
      <c r="W198" s="29">
        <v>69</v>
      </c>
      <c r="X198" s="29">
        <v>1</v>
      </c>
      <c r="Y198" s="30">
        <f>combined_tbl!$Q198*(1-combined_tbl!$Z198)</f>
        <v>24.4</v>
      </c>
      <c r="Z198" s="31">
        <f>IF(combined_tbl!$Q198&gt;=500,0.2, IF(combined_tbl!$Q198&gt;=200,0.05, IF(combined_tbl!$X198&gt;=2,0.05,0)))</f>
        <v>0</v>
      </c>
      <c r="AA198" s="30">
        <f>combined_tbl!$Y198*combined_tbl!$X198</f>
        <v>24.4</v>
      </c>
      <c r="AB198" s="32">
        <f>(combined_tbl!$Q198*(1+combined_tbl!$Z198)-combined_tbl!$P198)*combined_tbl!$X198</f>
        <v>4.3999999999999986</v>
      </c>
    </row>
    <row r="199" spans="1:28" x14ac:dyDescent="0.3">
      <c r="A199" s="29">
        <v>198</v>
      </c>
      <c r="B199" s="25" cm="1">
        <f t="array" aca="1" ref="B199" ca="1">MIN(IF($E:$E=E199,$H:$H))</f>
        <v>45208</v>
      </c>
      <c r="C199" s="25">
        <f t="shared" ca="1" si="40"/>
        <v>25</v>
      </c>
      <c r="D199" s="42">
        <f ca="1">COUNTIF(E:E,combined_tbl!$E199)</f>
        <v>1</v>
      </c>
      <c r="E199" s="24" t="str">
        <f t="shared" ca="1" si="46"/>
        <v>Customer088</v>
      </c>
      <c r="F199" s="24" t="str" cm="1">
        <f t="array" aca="1" ref="F199" ca="1">INDEX({"Male","Female"}, RANDBETWEEN(1,2))</f>
        <v>Male</v>
      </c>
      <c r="G199" s="29" t="str">
        <f t="shared" ca="1" si="39"/>
        <v>East</v>
      </c>
      <c r="H199" s="48">
        <f t="shared" ca="1" si="41"/>
        <v>45208</v>
      </c>
      <c r="I199" s="24">
        <f t="shared" ca="1" si="42"/>
        <v>9</v>
      </c>
      <c r="J199" s="46" t="str">
        <f t="shared" ca="1" si="47"/>
        <v>October</v>
      </c>
      <c r="K199" s="24">
        <f t="shared" ca="1" si="43"/>
        <v>2023</v>
      </c>
      <c r="L199" s="24" t="str">
        <f t="shared" ca="1" si="44"/>
        <v>Bronze</v>
      </c>
      <c r="M199" s="24">
        <v>199</v>
      </c>
      <c r="N199" s="24" t="s">
        <v>872</v>
      </c>
      <c r="O199" s="24" t="s">
        <v>1057</v>
      </c>
      <c r="P199" s="26">
        <v>75</v>
      </c>
      <c r="Q199" s="26">
        <v>111.75</v>
      </c>
      <c r="R199" s="24">
        <v>199</v>
      </c>
      <c r="S199" s="24" t="str">
        <f t="shared" si="45"/>
        <v>Mar</v>
      </c>
      <c r="T199" s="46">
        <v>44986</v>
      </c>
      <c r="U199" s="24">
        <v>3</v>
      </c>
      <c r="V199" s="37">
        <v>110</v>
      </c>
      <c r="W199" s="24">
        <v>41</v>
      </c>
      <c r="X199" s="24">
        <v>1</v>
      </c>
      <c r="Y199" s="26">
        <f>combined_tbl!$Q199*(1-combined_tbl!$Z199)</f>
        <v>111.75</v>
      </c>
      <c r="Z199" s="27">
        <f>IF(combined_tbl!$Q199&gt;=500,0.2, IF(combined_tbl!$Q199&gt;=200,0.05, IF(combined_tbl!$X199&gt;=2,0.05,0)))</f>
        <v>0</v>
      </c>
      <c r="AA199" s="26">
        <f>combined_tbl!$Y199*combined_tbl!$X199</f>
        <v>111.75</v>
      </c>
      <c r="AB199" s="28">
        <f>(combined_tbl!$Q199*(1+combined_tbl!$Z199)-combined_tbl!$P199)*combined_tbl!$X199</f>
        <v>36.75</v>
      </c>
    </row>
    <row r="200" spans="1:28" x14ac:dyDescent="0.3">
      <c r="A200" s="29">
        <v>199</v>
      </c>
      <c r="B200" s="25" cm="1">
        <f t="array" aca="1" ref="B200" ca="1">MIN(IF($E:$E=E200,$H:$H))</f>
        <v>45965</v>
      </c>
      <c r="C200" s="25">
        <f t="shared" ca="1" si="40"/>
        <v>1</v>
      </c>
      <c r="D200" s="43">
        <f ca="1">COUNTIF(E:E,combined_tbl!$E200)</f>
        <v>4</v>
      </c>
      <c r="E200" s="29" t="str">
        <f t="shared" ca="1" si="46"/>
        <v>Customer058</v>
      </c>
      <c r="F200" s="29" t="str" cm="1">
        <f t="array" aca="1" ref="F200" ca="1">INDEX({"Male","Female"}, RANDBETWEEN(1,2))</f>
        <v>Male</v>
      </c>
      <c r="G200" s="29" t="str">
        <f t="shared" ca="1" si="39"/>
        <v>North</v>
      </c>
      <c r="H200" s="48">
        <f t="shared" ca="1" si="41"/>
        <v>45965</v>
      </c>
      <c r="I200" s="24">
        <f t="shared" ca="1" si="42"/>
        <v>4</v>
      </c>
      <c r="J200" s="46" t="str">
        <f t="shared" ca="1" si="47"/>
        <v>November</v>
      </c>
      <c r="K200" s="24">
        <f t="shared" ca="1" si="43"/>
        <v>2025</v>
      </c>
      <c r="L200" s="24" t="str">
        <f t="shared" ca="1" si="44"/>
        <v>Bronze</v>
      </c>
      <c r="M200" s="29">
        <v>200</v>
      </c>
      <c r="N200" s="29" t="s">
        <v>831</v>
      </c>
      <c r="O200" s="29" t="s">
        <v>1058</v>
      </c>
      <c r="P200" s="30">
        <v>176</v>
      </c>
      <c r="Q200" s="30">
        <v>260.48</v>
      </c>
      <c r="R200" s="29">
        <v>200</v>
      </c>
      <c r="S200" s="24" t="str">
        <f t="shared" si="45"/>
        <v>Jul</v>
      </c>
      <c r="T200" s="47">
        <v>45486</v>
      </c>
      <c r="U200" s="29">
        <v>5</v>
      </c>
      <c r="V200" s="38">
        <v>25</v>
      </c>
      <c r="W200" s="29">
        <v>53</v>
      </c>
      <c r="X200" s="29">
        <v>1</v>
      </c>
      <c r="Y200" s="30">
        <f>combined_tbl!$Q200*(1-combined_tbl!$Z200)</f>
        <v>247.45600000000002</v>
      </c>
      <c r="Z200" s="31">
        <f>IF(combined_tbl!$Q200&gt;=500,0.2, IF(combined_tbl!$Q200&gt;=200,0.05, IF(combined_tbl!$X200&gt;=2,0.05,0)))</f>
        <v>0.05</v>
      </c>
      <c r="AA200" s="30">
        <f>combined_tbl!$Y200*combined_tbl!$X200</f>
        <v>247.45600000000002</v>
      </c>
      <c r="AB200" s="32">
        <f>(combined_tbl!$Q200*(1+combined_tbl!$Z200)-combined_tbl!$P200)*combined_tbl!$X200</f>
        <v>97.504000000000019</v>
      </c>
    </row>
    <row r="201" spans="1:28" x14ac:dyDescent="0.3">
      <c r="A201" s="29">
        <v>200</v>
      </c>
      <c r="B201" s="25" cm="1">
        <f t="array" aca="1" ref="B201" ca="1">MIN(IF($E:$E=E201,$H:$H))</f>
        <v>45382</v>
      </c>
      <c r="C201" s="25">
        <f t="shared" ca="1" si="40"/>
        <v>20</v>
      </c>
      <c r="D201" s="42">
        <f ca="1">COUNTIF(E:E,combined_tbl!$E201)</f>
        <v>4</v>
      </c>
      <c r="E201" s="24" t="str">
        <f t="shared" ca="1" si="46"/>
        <v>Customer028</v>
      </c>
      <c r="F201" s="24" t="str" cm="1">
        <f t="array" aca="1" ref="F201" ca="1">INDEX({"Male","Female"}, RANDBETWEEN(1,2))</f>
        <v>Male</v>
      </c>
      <c r="G201" s="29" t="str">
        <f t="shared" ca="1" si="39"/>
        <v>East</v>
      </c>
      <c r="H201" s="48">
        <f t="shared" ca="1" si="41"/>
        <v>45382</v>
      </c>
      <c r="I201" s="24">
        <f t="shared" ca="1" si="42"/>
        <v>31</v>
      </c>
      <c r="J201" s="46" t="str">
        <f t="shared" ca="1" si="47"/>
        <v>March</v>
      </c>
      <c r="K201" s="24">
        <f t="shared" ca="1" si="43"/>
        <v>2024</v>
      </c>
      <c r="L201" s="24" t="str">
        <f t="shared" ca="1" si="44"/>
        <v>Silver</v>
      </c>
      <c r="M201" s="24">
        <v>201</v>
      </c>
      <c r="N201" s="24" t="s">
        <v>954</v>
      </c>
      <c r="O201" s="24" t="s">
        <v>1059</v>
      </c>
      <c r="P201" s="26">
        <v>609</v>
      </c>
      <c r="Q201" s="26">
        <v>864.78</v>
      </c>
      <c r="R201" s="24">
        <v>201</v>
      </c>
      <c r="S201" s="24" t="str">
        <f t="shared" si="45"/>
        <v>Nov</v>
      </c>
      <c r="T201" s="46">
        <v>45622</v>
      </c>
      <c r="U201" s="24">
        <v>6</v>
      </c>
      <c r="V201" s="37">
        <v>62</v>
      </c>
      <c r="W201" s="24">
        <v>95</v>
      </c>
      <c r="X201" s="24">
        <v>1</v>
      </c>
      <c r="Y201" s="26">
        <f>combined_tbl!$Q201*(1-combined_tbl!$Z201)</f>
        <v>691.82400000000007</v>
      </c>
      <c r="Z201" s="27">
        <f>IF(combined_tbl!$Q201&gt;=500,0.2, IF(combined_tbl!$Q201&gt;=200,0.05, IF(combined_tbl!$X201&gt;=2,0.05,0)))</f>
        <v>0.2</v>
      </c>
      <c r="AA201" s="26">
        <f>combined_tbl!$Y201*combined_tbl!$X201</f>
        <v>691.82400000000007</v>
      </c>
      <c r="AB201" s="28">
        <f>(combined_tbl!$Q201*(1+combined_tbl!$Z201)-combined_tbl!$P201)*combined_tbl!$X201</f>
        <v>428.73599999999988</v>
      </c>
    </row>
    <row r="202" spans="1:28" x14ac:dyDescent="0.3">
      <c r="A202" s="19">
        <v>201</v>
      </c>
      <c r="B202" s="25" cm="1">
        <f t="array" aca="1" ref="B202" ca="1">MIN(IF($E:$E=E202,$H:$H))</f>
        <v>45400</v>
      </c>
      <c r="C202" s="25">
        <f t="shared" ca="1" si="40"/>
        <v>19</v>
      </c>
      <c r="D202" s="43">
        <f ca="1">COUNTIF(E:E,combined_tbl!$E202)</f>
        <v>8</v>
      </c>
      <c r="E202" s="29" t="str">
        <f t="shared" ca="1" si="46"/>
        <v>Customer030</v>
      </c>
      <c r="F202" s="29" t="str" cm="1">
        <f t="array" aca="1" ref="F202" ca="1">INDEX({"Male","Female"}, RANDBETWEEN(1,2))</f>
        <v>Male</v>
      </c>
      <c r="G202" s="29" t="str">
        <f t="shared" ca="1" si="39"/>
        <v>South</v>
      </c>
      <c r="H202" s="48">
        <f t="shared" ca="1" si="41"/>
        <v>45400</v>
      </c>
      <c r="I202" s="24">
        <f t="shared" ca="1" si="42"/>
        <v>18</v>
      </c>
      <c r="J202" s="46" t="str">
        <f t="shared" ca="1" si="47"/>
        <v>April</v>
      </c>
      <c r="K202" s="24">
        <f t="shared" ca="1" si="43"/>
        <v>2024</v>
      </c>
      <c r="L202" s="24" t="str">
        <f t="shared" ca="1" si="44"/>
        <v>Gold</v>
      </c>
      <c r="M202" s="29">
        <v>202</v>
      </c>
      <c r="N202" s="29" t="s">
        <v>847</v>
      </c>
      <c r="O202" s="29" t="s">
        <v>1060</v>
      </c>
      <c r="P202" s="30">
        <v>89</v>
      </c>
      <c r="Q202" s="30">
        <v>125.49</v>
      </c>
      <c r="R202" s="29">
        <v>202</v>
      </c>
      <c r="S202" s="24" t="str">
        <f t="shared" si="45"/>
        <v>Jan</v>
      </c>
      <c r="T202" s="47">
        <v>44939</v>
      </c>
      <c r="U202" s="29">
        <v>3</v>
      </c>
      <c r="V202" s="38">
        <v>177</v>
      </c>
      <c r="W202" s="29">
        <v>82</v>
      </c>
      <c r="X202" s="29">
        <v>2</v>
      </c>
      <c r="Y202" s="30">
        <f>combined_tbl!$Q202*(1-combined_tbl!$Z202)</f>
        <v>119.21549999999999</v>
      </c>
      <c r="Z202" s="31">
        <f>IF(combined_tbl!$Q202&gt;=500,0.2, IF(combined_tbl!$Q202&gt;=200,0.05, IF(combined_tbl!$X202&gt;=2,0.05,0)))</f>
        <v>0.05</v>
      </c>
      <c r="AA202" s="30">
        <f>combined_tbl!$Y202*combined_tbl!$X202</f>
        <v>238.43099999999998</v>
      </c>
      <c r="AB202" s="32">
        <f>(combined_tbl!$Q202*(1+combined_tbl!$Z202)-combined_tbl!$P202)*combined_tbl!$X202</f>
        <v>85.528999999999996</v>
      </c>
    </row>
    <row r="203" spans="1:28" x14ac:dyDescent="0.3">
      <c r="A203" s="24">
        <v>202</v>
      </c>
      <c r="B203" s="25" cm="1">
        <f t="array" aca="1" ref="B203" ca="1">MIN(IF($E:$E=E203,$H:$H))</f>
        <v>45260</v>
      </c>
      <c r="C203" s="25">
        <f t="shared" ca="1" si="40"/>
        <v>24</v>
      </c>
      <c r="D203" s="42">
        <f ca="1">COUNTIF(E:E,combined_tbl!$E203)</f>
        <v>13</v>
      </c>
      <c r="E203" s="24" t="str">
        <f t="shared" ca="1" si="46"/>
        <v>Customer001</v>
      </c>
      <c r="F203" s="24" t="str" cm="1">
        <f t="array" aca="1" ref="F203" ca="1">INDEX({"Male","Female"}, RANDBETWEEN(1,2))</f>
        <v>Female</v>
      </c>
      <c r="G203" s="29" t="str">
        <f t="shared" ca="1" si="39"/>
        <v>South</v>
      </c>
      <c r="H203" s="48">
        <f t="shared" ca="1" si="41"/>
        <v>45260</v>
      </c>
      <c r="I203" s="24">
        <f t="shared" ca="1" si="42"/>
        <v>30</v>
      </c>
      <c r="J203" s="46" t="str">
        <f t="shared" ca="1" si="47"/>
        <v>November</v>
      </c>
      <c r="K203" s="24">
        <f t="shared" ca="1" si="43"/>
        <v>2023</v>
      </c>
      <c r="L203" s="24" t="str">
        <f t="shared" ca="1" si="44"/>
        <v>Platinum</v>
      </c>
      <c r="M203" s="24">
        <v>203</v>
      </c>
      <c r="N203" s="24" t="s">
        <v>954</v>
      </c>
      <c r="O203" s="24" t="s">
        <v>1061</v>
      </c>
      <c r="P203" s="26">
        <v>463</v>
      </c>
      <c r="Q203" s="26">
        <v>615.79000000000008</v>
      </c>
      <c r="R203" s="24">
        <v>203</v>
      </c>
      <c r="S203" s="24" t="str">
        <f t="shared" si="45"/>
        <v>Oct</v>
      </c>
      <c r="T203" s="46">
        <v>45220</v>
      </c>
      <c r="U203" s="24">
        <v>7</v>
      </c>
      <c r="V203" s="37">
        <v>201</v>
      </c>
      <c r="W203" s="24">
        <v>96</v>
      </c>
      <c r="X203" s="24">
        <v>1</v>
      </c>
      <c r="Y203" s="26">
        <f>combined_tbl!$Q203*(1-combined_tbl!$Z203)</f>
        <v>492.63200000000006</v>
      </c>
      <c r="Z203" s="27">
        <f>IF(combined_tbl!$Q203&gt;=500,0.2, IF(combined_tbl!$Q203&gt;=200,0.05, IF(combined_tbl!$X203&gt;=2,0.05,0)))</f>
        <v>0.2</v>
      </c>
      <c r="AA203" s="26">
        <f>combined_tbl!$Y203*combined_tbl!$X203</f>
        <v>492.63200000000006</v>
      </c>
      <c r="AB203" s="28">
        <f>(combined_tbl!$Q203*(1+combined_tbl!$Z203)-combined_tbl!$P203)*combined_tbl!$X203</f>
        <v>275.94800000000009</v>
      </c>
    </row>
    <row r="204" spans="1:28" x14ac:dyDescent="0.3">
      <c r="A204" s="29">
        <v>203</v>
      </c>
      <c r="B204" s="25" cm="1">
        <f t="array" aca="1" ref="B204" ca="1">MIN(IF($E:$E=E204,$H:$H))</f>
        <v>45492</v>
      </c>
      <c r="C204" s="25">
        <f t="shared" ca="1" si="40"/>
        <v>16</v>
      </c>
      <c r="D204" s="43">
        <f ca="1">COUNTIF(E:E,combined_tbl!$E204)</f>
        <v>4</v>
      </c>
      <c r="E204" s="29" t="str">
        <f t="shared" ca="1" si="46"/>
        <v>Customer048</v>
      </c>
      <c r="F204" s="29" t="str" cm="1">
        <f t="array" aca="1" ref="F204" ca="1">INDEX({"Male","Female"}, RANDBETWEEN(1,2))</f>
        <v>Male</v>
      </c>
      <c r="G204" s="29" t="str">
        <f t="shared" ca="1" si="39"/>
        <v>West</v>
      </c>
      <c r="H204" s="48">
        <f t="shared" ca="1" si="41"/>
        <v>45492</v>
      </c>
      <c r="I204" s="24">
        <f t="shared" ca="1" si="42"/>
        <v>19</v>
      </c>
      <c r="J204" s="46" t="str">
        <f t="shared" ca="1" si="47"/>
        <v>July</v>
      </c>
      <c r="K204" s="24">
        <f t="shared" ca="1" si="43"/>
        <v>2024</v>
      </c>
      <c r="L204" s="24" t="str">
        <f t="shared" ca="1" si="44"/>
        <v>Silver</v>
      </c>
      <c r="M204" s="29">
        <v>204</v>
      </c>
      <c r="N204" s="29" t="s">
        <v>831</v>
      </c>
      <c r="O204" s="29" t="s">
        <v>1062</v>
      </c>
      <c r="P204" s="30">
        <v>204</v>
      </c>
      <c r="Q204" s="30">
        <v>297.83999999999997</v>
      </c>
      <c r="R204" s="29">
        <v>204</v>
      </c>
      <c r="S204" s="24" t="str">
        <f t="shared" si="45"/>
        <v>May</v>
      </c>
      <c r="T204" s="47">
        <v>45069</v>
      </c>
      <c r="U204" s="29">
        <v>3</v>
      </c>
      <c r="V204" s="38">
        <v>189</v>
      </c>
      <c r="W204" s="29">
        <v>34</v>
      </c>
      <c r="X204" s="29">
        <v>1</v>
      </c>
      <c r="Y204" s="30">
        <f>combined_tbl!$Q204*(1-combined_tbl!$Z204)</f>
        <v>282.94799999999998</v>
      </c>
      <c r="Z204" s="31">
        <f>IF(combined_tbl!$Q204&gt;=500,0.2, IF(combined_tbl!$Q204&gt;=200,0.05, IF(combined_tbl!$X204&gt;=2,0.05,0)))</f>
        <v>0.05</v>
      </c>
      <c r="AA204" s="30">
        <f>combined_tbl!$Y204*combined_tbl!$X204</f>
        <v>282.94799999999998</v>
      </c>
      <c r="AB204" s="32">
        <f>(combined_tbl!$Q204*(1+combined_tbl!$Z204)-combined_tbl!$P204)*combined_tbl!$X204</f>
        <v>108.73199999999997</v>
      </c>
    </row>
    <row r="205" spans="1:28" x14ac:dyDescent="0.3">
      <c r="A205" s="29">
        <v>204</v>
      </c>
      <c r="B205" s="25" cm="1">
        <f t="array" aca="1" ref="B205" ca="1">MIN(IF($E:$E=E205,$H:$H))</f>
        <v>45744</v>
      </c>
      <c r="C205" s="25">
        <f t="shared" ca="1" si="40"/>
        <v>8</v>
      </c>
      <c r="D205" s="42">
        <f ca="1">COUNTIF(E:E,combined_tbl!$E205)</f>
        <v>5</v>
      </c>
      <c r="E205" s="24" t="str">
        <f t="shared" ca="1" si="46"/>
        <v>Customer016</v>
      </c>
      <c r="F205" s="24" t="str" cm="1">
        <f t="array" aca="1" ref="F205" ca="1">INDEX({"Male","Female"}, RANDBETWEEN(1,2))</f>
        <v>Female</v>
      </c>
      <c r="G205" s="29" t="str">
        <f t="shared" ca="1" si="39"/>
        <v>North</v>
      </c>
      <c r="H205" s="48">
        <f t="shared" ca="1" si="41"/>
        <v>45744</v>
      </c>
      <c r="I205" s="24">
        <f t="shared" ca="1" si="42"/>
        <v>28</v>
      </c>
      <c r="J205" s="46" t="str">
        <f t="shared" ca="1" si="47"/>
        <v>March</v>
      </c>
      <c r="K205" s="24">
        <f t="shared" ca="1" si="43"/>
        <v>2025</v>
      </c>
      <c r="L205" s="24" t="str">
        <f t="shared" ca="1" si="44"/>
        <v>Bronze</v>
      </c>
      <c r="M205" s="24">
        <v>205</v>
      </c>
      <c r="N205" s="24" t="s">
        <v>847</v>
      </c>
      <c r="O205" s="24" t="s">
        <v>1063</v>
      </c>
      <c r="P205" s="26">
        <v>11</v>
      </c>
      <c r="Q205" s="26">
        <v>15.62</v>
      </c>
      <c r="R205" s="24">
        <v>205</v>
      </c>
      <c r="S205" s="24" t="str">
        <f t="shared" si="45"/>
        <v>Mar</v>
      </c>
      <c r="T205" s="46">
        <v>44989</v>
      </c>
      <c r="U205" s="24">
        <v>2</v>
      </c>
      <c r="V205" s="37">
        <v>44</v>
      </c>
      <c r="W205" s="24">
        <v>59</v>
      </c>
      <c r="X205" s="24">
        <v>1</v>
      </c>
      <c r="Y205" s="26">
        <f>combined_tbl!$Q205*(1-combined_tbl!$Z205)</f>
        <v>15.62</v>
      </c>
      <c r="Z205" s="27">
        <f>IF(combined_tbl!$Q205&gt;=500,0.2, IF(combined_tbl!$Q205&gt;=200,0.05, IF(combined_tbl!$X205&gt;=2,0.05,0)))</f>
        <v>0</v>
      </c>
      <c r="AA205" s="26">
        <f>combined_tbl!$Y205*combined_tbl!$X205</f>
        <v>15.62</v>
      </c>
      <c r="AB205" s="28">
        <f>(combined_tbl!$Q205*(1+combined_tbl!$Z205)-combined_tbl!$P205)*combined_tbl!$X205</f>
        <v>4.6199999999999992</v>
      </c>
    </row>
    <row r="206" spans="1:28" x14ac:dyDescent="0.3">
      <c r="A206" s="29">
        <v>205</v>
      </c>
      <c r="B206" s="25" cm="1">
        <f t="array" aca="1" ref="B206" ca="1">MIN(IF($E:$E=E206,$H:$H))</f>
        <v>45438</v>
      </c>
      <c r="C206" s="25">
        <f t="shared" ca="1" si="40"/>
        <v>18</v>
      </c>
      <c r="D206" s="43">
        <f ca="1">COUNTIF(E:E,combined_tbl!$E206)</f>
        <v>2</v>
      </c>
      <c r="E206" s="29" t="str">
        <f t="shared" ca="1" si="46"/>
        <v>Customer113</v>
      </c>
      <c r="F206" s="29" t="str" cm="1">
        <f t="array" aca="1" ref="F206" ca="1">INDEX({"Male","Female"}, RANDBETWEEN(1,2))</f>
        <v>Male</v>
      </c>
      <c r="G206" s="29" t="str">
        <f t="shared" ca="1" si="39"/>
        <v>West</v>
      </c>
      <c r="H206" s="48">
        <f t="shared" ca="1" si="41"/>
        <v>45438</v>
      </c>
      <c r="I206" s="24">
        <f t="shared" ca="1" si="42"/>
        <v>26</v>
      </c>
      <c r="J206" s="46" t="str">
        <f t="shared" ca="1" si="47"/>
        <v>May</v>
      </c>
      <c r="K206" s="24">
        <f t="shared" ca="1" si="43"/>
        <v>2024</v>
      </c>
      <c r="L206" s="24" t="str">
        <f t="shared" ca="1" si="44"/>
        <v>Bronze</v>
      </c>
      <c r="M206" s="29">
        <v>206</v>
      </c>
      <c r="N206" s="29" t="s">
        <v>872</v>
      </c>
      <c r="O206" s="29" t="s">
        <v>1064</v>
      </c>
      <c r="P206" s="30">
        <v>61</v>
      </c>
      <c r="Q206" s="30">
        <v>90.28</v>
      </c>
      <c r="R206" s="29">
        <v>206</v>
      </c>
      <c r="S206" s="24" t="str">
        <f t="shared" si="45"/>
        <v>Mar</v>
      </c>
      <c r="T206" s="47">
        <v>45367</v>
      </c>
      <c r="U206" s="29">
        <v>7</v>
      </c>
      <c r="V206" s="38">
        <v>194</v>
      </c>
      <c r="W206" s="29">
        <v>95</v>
      </c>
      <c r="X206" s="29">
        <v>2</v>
      </c>
      <c r="Y206" s="30">
        <f>combined_tbl!$Q206*(1-combined_tbl!$Z206)</f>
        <v>85.765999999999991</v>
      </c>
      <c r="Z206" s="31">
        <f>IF(combined_tbl!$Q206&gt;=500,0.2, IF(combined_tbl!$Q206&gt;=200,0.05, IF(combined_tbl!$X206&gt;=2,0.05,0)))</f>
        <v>0.05</v>
      </c>
      <c r="AA206" s="30">
        <f>combined_tbl!$Y206*combined_tbl!$X206</f>
        <v>171.53199999999998</v>
      </c>
      <c r="AB206" s="32">
        <f>(combined_tbl!$Q206*(1+combined_tbl!$Z206)-combined_tbl!$P206)*combined_tbl!$X206</f>
        <v>67.588000000000022</v>
      </c>
    </row>
    <row r="207" spans="1:28" x14ac:dyDescent="0.3">
      <c r="A207" s="29">
        <v>206</v>
      </c>
      <c r="B207" s="25" cm="1">
        <f t="array" aca="1" ref="B207" ca="1">MIN(IF($E:$E=E207,$H:$H))</f>
        <v>45788</v>
      </c>
      <c r="C207" s="25">
        <f t="shared" ca="1" si="40"/>
        <v>6</v>
      </c>
      <c r="D207" s="42">
        <f ca="1">COUNTIF(E:E,combined_tbl!$E207)</f>
        <v>4</v>
      </c>
      <c r="E207" s="24" t="str">
        <f t="shared" ca="1" si="46"/>
        <v>Customer060</v>
      </c>
      <c r="F207" s="24" t="str" cm="1">
        <f t="array" aca="1" ref="F207" ca="1">INDEX({"Male","Female"}, RANDBETWEEN(1,2))</f>
        <v>Male</v>
      </c>
      <c r="G207" s="29" t="str">
        <f t="shared" ca="1" si="39"/>
        <v>North</v>
      </c>
      <c r="H207" s="48">
        <f t="shared" ca="1" si="41"/>
        <v>45788</v>
      </c>
      <c r="I207" s="24">
        <f t="shared" ca="1" si="42"/>
        <v>11</v>
      </c>
      <c r="J207" s="46" t="str">
        <f t="shared" ca="1" si="47"/>
        <v>May</v>
      </c>
      <c r="K207" s="24">
        <f t="shared" ca="1" si="43"/>
        <v>2025</v>
      </c>
      <c r="L207" s="24" t="str">
        <f t="shared" ca="1" si="44"/>
        <v>Bronze</v>
      </c>
      <c r="M207" s="24">
        <v>207</v>
      </c>
      <c r="N207" s="24" t="s">
        <v>851</v>
      </c>
      <c r="O207" s="24" t="s">
        <v>1065</v>
      </c>
      <c r="P207" s="26">
        <v>61</v>
      </c>
      <c r="Q207" s="26">
        <v>91.5</v>
      </c>
      <c r="R207" s="24">
        <v>207</v>
      </c>
      <c r="S207" s="24" t="str">
        <f t="shared" si="45"/>
        <v>May</v>
      </c>
      <c r="T207" s="46">
        <v>45786</v>
      </c>
      <c r="U207" s="24">
        <v>8</v>
      </c>
      <c r="V207" s="37">
        <v>168</v>
      </c>
      <c r="W207" s="24">
        <v>44</v>
      </c>
      <c r="X207" s="24">
        <v>1</v>
      </c>
      <c r="Y207" s="26">
        <f>combined_tbl!$Q207*(1-combined_tbl!$Z207)</f>
        <v>91.5</v>
      </c>
      <c r="Z207" s="27">
        <f>IF(combined_tbl!$Q207&gt;=500,0.2, IF(combined_tbl!$Q207&gt;=200,0.05, IF(combined_tbl!$X207&gt;=2,0.05,0)))</f>
        <v>0</v>
      </c>
      <c r="AA207" s="26">
        <f>combined_tbl!$Y207*combined_tbl!$X207</f>
        <v>91.5</v>
      </c>
      <c r="AB207" s="28">
        <f>(combined_tbl!$Q207*(1+combined_tbl!$Z207)-combined_tbl!$P207)*combined_tbl!$X207</f>
        <v>30.5</v>
      </c>
    </row>
    <row r="208" spans="1:28" x14ac:dyDescent="0.3">
      <c r="A208" s="29">
        <v>207</v>
      </c>
      <c r="B208" s="25" cm="1">
        <f t="array" aca="1" ref="B208" ca="1">MIN(IF($E:$E=E208,$H:$H))</f>
        <v>45387</v>
      </c>
      <c r="C208" s="25">
        <f t="shared" ca="1" si="40"/>
        <v>19</v>
      </c>
      <c r="D208" s="43">
        <f ca="1">COUNTIF(E:E,combined_tbl!$E208)</f>
        <v>2</v>
      </c>
      <c r="E208" s="29" t="str">
        <f t="shared" ca="1" si="46"/>
        <v>Customer110</v>
      </c>
      <c r="F208" s="29" t="str" cm="1">
        <f t="array" aca="1" ref="F208" ca="1">INDEX({"Male","Female"}, RANDBETWEEN(1,2))</f>
        <v>Male</v>
      </c>
      <c r="G208" s="29" t="str">
        <f t="shared" ca="1" si="39"/>
        <v>North</v>
      </c>
      <c r="H208" s="48">
        <f t="shared" ca="1" si="41"/>
        <v>45387</v>
      </c>
      <c r="I208" s="24">
        <f t="shared" ca="1" si="42"/>
        <v>5</v>
      </c>
      <c r="J208" s="46" t="str">
        <f t="shared" ca="1" si="47"/>
        <v>April</v>
      </c>
      <c r="K208" s="24">
        <f t="shared" ca="1" si="43"/>
        <v>2024</v>
      </c>
      <c r="L208" s="24" t="str">
        <f t="shared" ca="1" si="44"/>
        <v>Bronze</v>
      </c>
      <c r="M208" s="29">
        <v>208</v>
      </c>
      <c r="N208" s="29" t="s">
        <v>957</v>
      </c>
      <c r="O208" s="29" t="s">
        <v>1066</v>
      </c>
      <c r="P208" s="30">
        <v>171</v>
      </c>
      <c r="Q208" s="30">
        <v>253.07999999999998</v>
      </c>
      <c r="R208" s="29">
        <v>208</v>
      </c>
      <c r="S208" s="24" t="str">
        <f t="shared" si="45"/>
        <v>Nov</v>
      </c>
      <c r="T208" s="47">
        <v>45625</v>
      </c>
      <c r="U208" s="29">
        <v>3</v>
      </c>
      <c r="V208" s="38">
        <v>112</v>
      </c>
      <c r="W208" s="29">
        <v>89</v>
      </c>
      <c r="X208" s="29">
        <v>1</v>
      </c>
      <c r="Y208" s="30">
        <f>combined_tbl!$Q208*(1-combined_tbl!$Z208)</f>
        <v>240.42599999999999</v>
      </c>
      <c r="Z208" s="31">
        <f>IF(combined_tbl!$Q208&gt;=500,0.2, IF(combined_tbl!$Q208&gt;=200,0.05, IF(combined_tbl!$X208&gt;=2,0.05,0)))</f>
        <v>0.05</v>
      </c>
      <c r="AA208" s="30">
        <f>combined_tbl!$Y208*combined_tbl!$X208</f>
        <v>240.42599999999999</v>
      </c>
      <c r="AB208" s="32">
        <f>(combined_tbl!$Q208*(1+combined_tbl!$Z208)-combined_tbl!$P208)*combined_tbl!$X208</f>
        <v>94.73399999999998</v>
      </c>
    </row>
    <row r="209" spans="1:28" x14ac:dyDescent="0.3">
      <c r="A209" s="29">
        <v>208</v>
      </c>
      <c r="B209" s="25" cm="1">
        <f t="array" aca="1" ref="B209" ca="1">MIN(IF($E:$E=E209,$H:$H))</f>
        <v>45297</v>
      </c>
      <c r="C209" s="25">
        <f t="shared" ca="1" si="40"/>
        <v>22</v>
      </c>
      <c r="D209" s="42">
        <f ca="1">COUNTIF(E:E,combined_tbl!$E209)</f>
        <v>8</v>
      </c>
      <c r="E209" s="24" t="str">
        <f t="shared" ca="1" si="46"/>
        <v>Customer010</v>
      </c>
      <c r="F209" s="24" t="str" cm="1">
        <f t="array" aca="1" ref="F209" ca="1">INDEX({"Male","Female"}, RANDBETWEEN(1,2))</f>
        <v>Female</v>
      </c>
      <c r="G209" s="29" t="str">
        <f t="shared" ca="1" si="39"/>
        <v>East</v>
      </c>
      <c r="H209" s="48">
        <f t="shared" ca="1" si="41"/>
        <v>45297</v>
      </c>
      <c r="I209" s="24">
        <f t="shared" ca="1" si="42"/>
        <v>6</v>
      </c>
      <c r="J209" s="46" t="str">
        <f t="shared" ca="1" si="47"/>
        <v>January</v>
      </c>
      <c r="K209" s="24">
        <f t="shared" ca="1" si="43"/>
        <v>2024</v>
      </c>
      <c r="L209" s="24" t="str">
        <f t="shared" ca="1" si="44"/>
        <v>Gold</v>
      </c>
      <c r="M209" s="24">
        <v>209</v>
      </c>
      <c r="N209" s="24" t="s">
        <v>831</v>
      </c>
      <c r="O209" s="24" t="s">
        <v>1067</v>
      </c>
      <c r="P209" s="26">
        <v>20</v>
      </c>
      <c r="Q209" s="26">
        <v>28.4</v>
      </c>
      <c r="R209" s="24">
        <v>209</v>
      </c>
      <c r="S209" s="24" t="str">
        <f t="shared" si="45"/>
        <v>Jan</v>
      </c>
      <c r="T209" s="46">
        <v>45684</v>
      </c>
      <c r="U209" s="24">
        <v>5</v>
      </c>
      <c r="V209" s="37">
        <v>199</v>
      </c>
      <c r="W209" s="24">
        <v>76</v>
      </c>
      <c r="X209" s="24">
        <v>2</v>
      </c>
      <c r="Y209" s="26">
        <f>combined_tbl!$Q209*(1-combined_tbl!$Z209)</f>
        <v>26.979999999999997</v>
      </c>
      <c r="Z209" s="27">
        <f>IF(combined_tbl!$Q209&gt;=500,0.2, IF(combined_tbl!$Q209&gt;=200,0.05, IF(combined_tbl!$X209&gt;=2,0.05,0)))</f>
        <v>0.05</v>
      </c>
      <c r="AA209" s="26">
        <f>combined_tbl!$Y209*combined_tbl!$X209</f>
        <v>53.959999999999994</v>
      </c>
      <c r="AB209" s="28">
        <f>(combined_tbl!$Q209*(1+combined_tbl!$Z209)-combined_tbl!$P209)*combined_tbl!$X209</f>
        <v>19.64</v>
      </c>
    </row>
    <row r="210" spans="1:28" x14ac:dyDescent="0.3">
      <c r="A210" s="19">
        <v>209</v>
      </c>
      <c r="B210" s="25" cm="1">
        <f t="array" aca="1" ref="B210" ca="1">MIN(IF($E:$E=E210,$H:$H))</f>
        <v>45346</v>
      </c>
      <c r="C210" s="25">
        <f t="shared" ca="1" si="40"/>
        <v>21</v>
      </c>
      <c r="D210" s="43">
        <f ca="1">COUNTIF(E:E,combined_tbl!$E210)</f>
        <v>12</v>
      </c>
      <c r="E210" s="29" t="str">
        <f t="shared" ca="1" si="46"/>
        <v>Customer011</v>
      </c>
      <c r="F210" s="29" t="str" cm="1">
        <f t="array" aca="1" ref="F210" ca="1">INDEX({"Male","Female"}, RANDBETWEEN(1,2))</f>
        <v>Male</v>
      </c>
      <c r="G210" s="29" t="str">
        <f t="shared" ca="1" si="39"/>
        <v>East</v>
      </c>
      <c r="H210" s="48">
        <f t="shared" ca="1" si="41"/>
        <v>45346</v>
      </c>
      <c r="I210" s="24">
        <f t="shared" ca="1" si="42"/>
        <v>24</v>
      </c>
      <c r="J210" s="46" t="str">
        <f t="shared" ca="1" si="47"/>
        <v>February</v>
      </c>
      <c r="K210" s="24">
        <f t="shared" ca="1" si="43"/>
        <v>2024</v>
      </c>
      <c r="L210" s="24" t="str">
        <f t="shared" ca="1" si="44"/>
        <v>Gold</v>
      </c>
      <c r="M210" s="29">
        <v>210</v>
      </c>
      <c r="N210" s="29" t="s">
        <v>872</v>
      </c>
      <c r="O210" s="29" t="s">
        <v>1068</v>
      </c>
      <c r="P210" s="30">
        <v>112</v>
      </c>
      <c r="Q210" s="30">
        <v>144.48000000000002</v>
      </c>
      <c r="R210" s="29">
        <v>210</v>
      </c>
      <c r="S210" s="24" t="str">
        <f t="shared" si="45"/>
        <v>Oct</v>
      </c>
      <c r="T210" s="47">
        <v>45591</v>
      </c>
      <c r="U210" s="29">
        <v>2</v>
      </c>
      <c r="V210" s="38">
        <v>34</v>
      </c>
      <c r="W210" s="29">
        <v>69</v>
      </c>
      <c r="X210" s="29">
        <v>1</v>
      </c>
      <c r="Y210" s="30">
        <f>combined_tbl!$Q210*(1-combined_tbl!$Z210)</f>
        <v>144.48000000000002</v>
      </c>
      <c r="Z210" s="31">
        <f>IF(combined_tbl!$Q210&gt;=500,0.2, IF(combined_tbl!$Q210&gt;=200,0.05, IF(combined_tbl!$X210&gt;=2,0.05,0)))</f>
        <v>0</v>
      </c>
      <c r="AA210" s="30">
        <f>combined_tbl!$Y210*combined_tbl!$X210</f>
        <v>144.48000000000002</v>
      </c>
      <c r="AB210" s="32">
        <f>(combined_tbl!$Q210*(1+combined_tbl!$Z210)-combined_tbl!$P210)*combined_tbl!$X210</f>
        <v>32.480000000000018</v>
      </c>
    </row>
    <row r="211" spans="1:28" x14ac:dyDescent="0.3">
      <c r="A211" s="24">
        <v>210</v>
      </c>
      <c r="B211" s="25" cm="1">
        <f t="array" aca="1" ref="B211" ca="1">MIN(IF($E:$E=E211,$H:$H))</f>
        <v>45991</v>
      </c>
      <c r="C211" s="25">
        <f t="shared" ca="1" si="40"/>
        <v>0</v>
      </c>
      <c r="D211" s="42">
        <f ca="1">COUNTIF(E:E,combined_tbl!$E211)</f>
        <v>9</v>
      </c>
      <c r="E211" s="24" t="str">
        <f t="shared" ca="1" si="46"/>
        <v>Customer029</v>
      </c>
      <c r="F211" s="24" t="str" cm="1">
        <f t="array" aca="1" ref="F211" ca="1">INDEX({"Male","Female"}, RANDBETWEEN(1,2))</f>
        <v>Male</v>
      </c>
      <c r="G211" s="29" t="str">
        <f t="shared" ca="1" si="39"/>
        <v>East</v>
      </c>
      <c r="H211" s="48">
        <f t="shared" ca="1" si="41"/>
        <v>45991</v>
      </c>
      <c r="I211" s="24">
        <f t="shared" ca="1" si="42"/>
        <v>30</v>
      </c>
      <c r="J211" s="46" t="str">
        <f t="shared" ca="1" si="47"/>
        <v>November</v>
      </c>
      <c r="K211" s="24">
        <f t="shared" ca="1" si="43"/>
        <v>2025</v>
      </c>
      <c r="L211" s="24" t="str">
        <f t="shared" ca="1" si="44"/>
        <v>Bronze</v>
      </c>
      <c r="M211" s="24">
        <v>211</v>
      </c>
      <c r="N211" s="24" t="s">
        <v>851</v>
      </c>
      <c r="O211" s="24" t="s">
        <v>1069</v>
      </c>
      <c r="P211" s="26">
        <v>161</v>
      </c>
      <c r="Q211" s="26">
        <v>201.25</v>
      </c>
      <c r="R211" s="24">
        <v>211</v>
      </c>
      <c r="S211" s="24" t="str">
        <f t="shared" si="45"/>
        <v>Apr</v>
      </c>
      <c r="T211" s="46">
        <v>45034</v>
      </c>
      <c r="U211" s="24">
        <v>3</v>
      </c>
      <c r="V211" s="37">
        <v>23</v>
      </c>
      <c r="W211" s="24">
        <v>95</v>
      </c>
      <c r="X211" s="24">
        <v>1</v>
      </c>
      <c r="Y211" s="26">
        <f>combined_tbl!$Q211*(1-combined_tbl!$Z211)</f>
        <v>191.1875</v>
      </c>
      <c r="Z211" s="27">
        <f>IF(combined_tbl!$Q211&gt;=500,0.2, IF(combined_tbl!$Q211&gt;=200,0.05, IF(combined_tbl!$X211&gt;=2,0.05,0)))</f>
        <v>0.05</v>
      </c>
      <c r="AA211" s="26">
        <f>combined_tbl!$Y211*combined_tbl!$X211</f>
        <v>191.1875</v>
      </c>
      <c r="AB211" s="28">
        <f>(combined_tbl!$Q211*(1+combined_tbl!$Z211)-combined_tbl!$P211)*combined_tbl!$X211</f>
        <v>50.3125</v>
      </c>
    </row>
    <row r="212" spans="1:28" x14ac:dyDescent="0.3">
      <c r="A212" s="29">
        <v>211</v>
      </c>
      <c r="B212" s="25" cm="1">
        <f t="array" aca="1" ref="B212" ca="1">MIN(IF($E:$E=E212,$H:$H))</f>
        <v>45014</v>
      </c>
      <c r="C212" s="25">
        <f t="shared" ca="1" si="40"/>
        <v>32</v>
      </c>
      <c r="D212" s="43">
        <f ca="1">COUNTIF(E:E,combined_tbl!$E212)</f>
        <v>10</v>
      </c>
      <c r="E212" s="29" t="str">
        <f t="shared" ca="1" si="46"/>
        <v>Customer022</v>
      </c>
      <c r="F212" s="29" t="str" cm="1">
        <f t="array" aca="1" ref="F212" ca="1">INDEX({"Male","Female"}, RANDBETWEEN(1,2))</f>
        <v>Female</v>
      </c>
      <c r="G212" s="29" t="str">
        <f t="shared" ca="1" si="39"/>
        <v>South</v>
      </c>
      <c r="H212" s="48">
        <f t="shared" ca="1" si="41"/>
        <v>45014</v>
      </c>
      <c r="I212" s="24">
        <f t="shared" ca="1" si="42"/>
        <v>29</v>
      </c>
      <c r="J212" s="46" t="str">
        <f t="shared" ca="1" si="47"/>
        <v>March</v>
      </c>
      <c r="K212" s="24">
        <f t="shared" ca="1" si="43"/>
        <v>2023</v>
      </c>
      <c r="L212" s="24" t="str">
        <f t="shared" ca="1" si="44"/>
        <v>Platinum</v>
      </c>
      <c r="M212" s="29">
        <v>212</v>
      </c>
      <c r="N212" s="29" t="s">
        <v>957</v>
      </c>
      <c r="O212" s="29" t="s">
        <v>1070</v>
      </c>
      <c r="P212" s="30">
        <v>28</v>
      </c>
      <c r="Q212" s="30">
        <v>36.68</v>
      </c>
      <c r="R212" s="29">
        <v>212</v>
      </c>
      <c r="S212" s="24" t="str">
        <f t="shared" si="45"/>
        <v>Nov</v>
      </c>
      <c r="T212" s="47">
        <v>45249</v>
      </c>
      <c r="U212" s="29">
        <v>1</v>
      </c>
      <c r="V212" s="38">
        <v>162</v>
      </c>
      <c r="W212" s="29">
        <v>17</v>
      </c>
      <c r="X212" s="29">
        <v>1</v>
      </c>
      <c r="Y212" s="30">
        <f>combined_tbl!$Q212*(1-combined_tbl!$Z212)</f>
        <v>36.68</v>
      </c>
      <c r="Z212" s="31">
        <f>IF(combined_tbl!$Q212&gt;=500,0.2, IF(combined_tbl!$Q212&gt;=200,0.05, IF(combined_tbl!$X212&gt;=2,0.05,0)))</f>
        <v>0</v>
      </c>
      <c r="AA212" s="30">
        <f>combined_tbl!$Y212*combined_tbl!$X212</f>
        <v>36.68</v>
      </c>
      <c r="AB212" s="32">
        <f>(combined_tbl!$Q212*(1+combined_tbl!$Z212)-combined_tbl!$P212)*combined_tbl!$X212</f>
        <v>8.68</v>
      </c>
    </row>
    <row r="213" spans="1:28" x14ac:dyDescent="0.3">
      <c r="A213" s="29">
        <v>212</v>
      </c>
      <c r="B213" s="25" cm="1">
        <f t="array" aca="1" ref="B213" ca="1">MIN(IF($E:$E=E213,$H:$H))</f>
        <v>45560</v>
      </c>
      <c r="C213" s="25">
        <f t="shared" ca="1" si="40"/>
        <v>14</v>
      </c>
      <c r="D213" s="42">
        <f ca="1">COUNTIF(E:E,combined_tbl!$E213)</f>
        <v>8</v>
      </c>
      <c r="E213" s="24" t="str">
        <f t="shared" ca="1" si="46"/>
        <v>Customer021</v>
      </c>
      <c r="F213" s="24" t="str" cm="1">
        <f t="array" aca="1" ref="F213" ca="1">INDEX({"Male","Female"}, RANDBETWEEN(1,2))</f>
        <v>Female</v>
      </c>
      <c r="G213" s="29" t="str">
        <f t="shared" ca="1" si="39"/>
        <v>South</v>
      </c>
      <c r="H213" s="48">
        <f t="shared" ca="1" si="41"/>
        <v>45560</v>
      </c>
      <c r="I213" s="24">
        <f t="shared" ca="1" si="42"/>
        <v>25</v>
      </c>
      <c r="J213" s="46" t="str">
        <f t="shared" ca="1" si="47"/>
        <v>September</v>
      </c>
      <c r="K213" s="24">
        <f t="shared" ca="1" si="43"/>
        <v>2024</v>
      </c>
      <c r="L213" s="24" t="str">
        <f t="shared" ca="1" si="44"/>
        <v>Silver</v>
      </c>
      <c r="M213" s="24">
        <v>213</v>
      </c>
      <c r="N213" s="24" t="s">
        <v>872</v>
      </c>
      <c r="O213" s="24" t="s">
        <v>1071</v>
      </c>
      <c r="P213" s="26">
        <v>55</v>
      </c>
      <c r="Q213" s="26">
        <v>82.5</v>
      </c>
      <c r="R213" s="24">
        <v>213</v>
      </c>
      <c r="S213" s="24" t="str">
        <f t="shared" si="45"/>
        <v>Jun</v>
      </c>
      <c r="T213" s="46">
        <v>45094</v>
      </c>
      <c r="U213" s="24">
        <v>5</v>
      </c>
      <c r="V213" s="37">
        <v>29</v>
      </c>
      <c r="W213" s="24">
        <v>5</v>
      </c>
      <c r="X213" s="24">
        <v>1</v>
      </c>
      <c r="Y213" s="26">
        <f>combined_tbl!$Q213*(1-combined_tbl!$Z213)</f>
        <v>82.5</v>
      </c>
      <c r="Z213" s="27">
        <f>IF(combined_tbl!$Q213&gt;=500,0.2, IF(combined_tbl!$Q213&gt;=200,0.05, IF(combined_tbl!$X213&gt;=2,0.05,0)))</f>
        <v>0</v>
      </c>
      <c r="AA213" s="26">
        <f>combined_tbl!$Y213*combined_tbl!$X213</f>
        <v>82.5</v>
      </c>
      <c r="AB213" s="28">
        <f>(combined_tbl!$Q213*(1+combined_tbl!$Z213)-combined_tbl!$P213)*combined_tbl!$X213</f>
        <v>27.5</v>
      </c>
    </row>
    <row r="214" spans="1:28" x14ac:dyDescent="0.3">
      <c r="A214" s="29">
        <v>213</v>
      </c>
      <c r="B214" s="25" cm="1">
        <f t="array" aca="1" ref="B214" ca="1">MIN(IF($E:$E=E214,$H:$H))</f>
        <v>45307</v>
      </c>
      <c r="C214" s="25">
        <f t="shared" ca="1" si="40"/>
        <v>22</v>
      </c>
      <c r="D214" s="43">
        <f ca="1">COUNTIF(E:E,combined_tbl!$E214)</f>
        <v>5</v>
      </c>
      <c r="E214" s="29" t="str">
        <f t="shared" ca="1" si="46"/>
        <v>Customer063</v>
      </c>
      <c r="F214" s="29" t="str" cm="1">
        <f t="array" aca="1" ref="F214" ca="1">INDEX({"Male","Female"}, RANDBETWEEN(1,2))</f>
        <v>Female</v>
      </c>
      <c r="G214" s="29" t="str">
        <f t="shared" ca="1" si="39"/>
        <v>North</v>
      </c>
      <c r="H214" s="48">
        <f t="shared" ca="1" si="41"/>
        <v>45307</v>
      </c>
      <c r="I214" s="24">
        <f t="shared" ca="1" si="42"/>
        <v>16</v>
      </c>
      <c r="J214" s="46" t="str">
        <f t="shared" ca="1" si="47"/>
        <v>January</v>
      </c>
      <c r="K214" s="24">
        <f t="shared" ca="1" si="43"/>
        <v>2024</v>
      </c>
      <c r="L214" s="24" t="str">
        <f t="shared" ca="1" si="44"/>
        <v>Silver</v>
      </c>
      <c r="M214" s="29">
        <v>214</v>
      </c>
      <c r="N214" s="29" t="s">
        <v>872</v>
      </c>
      <c r="O214" s="29" t="s">
        <v>1072</v>
      </c>
      <c r="P214" s="30">
        <v>109</v>
      </c>
      <c r="Q214" s="30">
        <v>129.71</v>
      </c>
      <c r="R214" s="29">
        <v>214</v>
      </c>
      <c r="S214" s="24" t="str">
        <f t="shared" si="45"/>
        <v>Jun</v>
      </c>
      <c r="T214" s="47">
        <v>45834</v>
      </c>
      <c r="U214" s="29">
        <v>7</v>
      </c>
      <c r="V214" s="38">
        <v>102</v>
      </c>
      <c r="W214" s="29">
        <v>26</v>
      </c>
      <c r="X214" s="29">
        <v>2</v>
      </c>
      <c r="Y214" s="30">
        <f>combined_tbl!$Q214*(1-combined_tbl!$Z214)</f>
        <v>123.22450000000001</v>
      </c>
      <c r="Z214" s="31">
        <f>IF(combined_tbl!$Q214&gt;=500,0.2, IF(combined_tbl!$Q214&gt;=200,0.05, IF(combined_tbl!$X214&gt;=2,0.05,0)))</f>
        <v>0.05</v>
      </c>
      <c r="AA214" s="30">
        <f>combined_tbl!$Y214*combined_tbl!$X214</f>
        <v>246.44900000000001</v>
      </c>
      <c r="AB214" s="32">
        <f>(combined_tbl!$Q214*(1+combined_tbl!$Z214)-combined_tbl!$P214)*combined_tbl!$X214</f>
        <v>54.39100000000002</v>
      </c>
    </row>
    <row r="215" spans="1:28" x14ac:dyDescent="0.3">
      <c r="A215" s="29">
        <v>214</v>
      </c>
      <c r="B215" s="25" cm="1">
        <f t="array" aca="1" ref="B215" ca="1">MIN(IF($E:$E=E215,$H:$H))</f>
        <v>45560</v>
      </c>
      <c r="C215" s="25">
        <f t="shared" ca="1" si="40"/>
        <v>14</v>
      </c>
      <c r="D215" s="42">
        <f ca="1">COUNTIF(E:E,combined_tbl!$E215)</f>
        <v>8</v>
      </c>
      <c r="E215" s="24" t="str">
        <f t="shared" ca="1" si="46"/>
        <v>Customer021</v>
      </c>
      <c r="F215" s="24" t="str" cm="1">
        <f t="array" aca="1" ref="F215" ca="1">INDEX({"Male","Female"}, RANDBETWEEN(1,2))</f>
        <v>Female</v>
      </c>
      <c r="G215" s="29" t="str">
        <f t="shared" ca="1" si="39"/>
        <v>South</v>
      </c>
      <c r="H215" s="48">
        <f t="shared" ca="1" si="41"/>
        <v>45560</v>
      </c>
      <c r="I215" s="24">
        <f t="shared" ca="1" si="42"/>
        <v>25</v>
      </c>
      <c r="J215" s="46" t="str">
        <f t="shared" ca="1" si="47"/>
        <v>September</v>
      </c>
      <c r="K215" s="24">
        <f t="shared" ca="1" si="43"/>
        <v>2024</v>
      </c>
      <c r="L215" s="24" t="str">
        <f t="shared" ca="1" si="44"/>
        <v>Silver</v>
      </c>
      <c r="M215" s="24">
        <v>215</v>
      </c>
      <c r="N215" s="24" t="s">
        <v>957</v>
      </c>
      <c r="O215" s="24" t="s">
        <v>1073</v>
      </c>
      <c r="P215" s="26">
        <v>22</v>
      </c>
      <c r="Q215" s="26">
        <v>25.299999999999997</v>
      </c>
      <c r="R215" s="24">
        <v>215</v>
      </c>
      <c r="S215" s="24" t="str">
        <f t="shared" si="45"/>
        <v>Sep</v>
      </c>
      <c r="T215" s="46">
        <v>45921</v>
      </c>
      <c r="U215" s="24">
        <v>8</v>
      </c>
      <c r="V215" s="37">
        <v>190</v>
      </c>
      <c r="W215" s="24">
        <v>95</v>
      </c>
      <c r="X215" s="24">
        <v>2</v>
      </c>
      <c r="Y215" s="26">
        <f>combined_tbl!$Q215*(1-combined_tbl!$Z215)</f>
        <v>24.034999999999997</v>
      </c>
      <c r="Z215" s="27">
        <f>IF(combined_tbl!$Q215&gt;=500,0.2, IF(combined_tbl!$Q215&gt;=200,0.05, IF(combined_tbl!$X215&gt;=2,0.05,0)))</f>
        <v>0.05</v>
      </c>
      <c r="AA215" s="26">
        <f>combined_tbl!$Y215*combined_tbl!$X215</f>
        <v>48.069999999999993</v>
      </c>
      <c r="AB215" s="28">
        <f>(combined_tbl!$Q215*(1+combined_tbl!$Z215)-combined_tbl!$P215)*combined_tbl!$X215</f>
        <v>9.1299999999999955</v>
      </c>
    </row>
    <row r="216" spans="1:28" x14ac:dyDescent="0.3">
      <c r="A216" s="29">
        <v>215</v>
      </c>
      <c r="B216" s="25" cm="1">
        <f t="array" aca="1" ref="B216" ca="1">MIN(IF($E:$E=E216,$H:$H))</f>
        <v>45991</v>
      </c>
      <c r="C216" s="25">
        <f t="shared" ca="1" si="40"/>
        <v>0</v>
      </c>
      <c r="D216" s="43">
        <f ca="1">COUNTIF(E:E,combined_tbl!$E216)</f>
        <v>9</v>
      </c>
      <c r="E216" s="29" t="str">
        <f t="shared" ca="1" si="46"/>
        <v>Customer029</v>
      </c>
      <c r="F216" s="29" t="str" cm="1">
        <f t="array" aca="1" ref="F216" ca="1">INDEX({"Male","Female"}, RANDBETWEEN(1,2))</f>
        <v>Male</v>
      </c>
      <c r="G216" s="29" t="str">
        <f t="shared" ca="1" si="39"/>
        <v>East</v>
      </c>
      <c r="H216" s="48">
        <f t="shared" ca="1" si="41"/>
        <v>45991</v>
      </c>
      <c r="I216" s="24">
        <f t="shared" ca="1" si="42"/>
        <v>30</v>
      </c>
      <c r="J216" s="46" t="str">
        <f t="shared" ca="1" si="47"/>
        <v>November</v>
      </c>
      <c r="K216" s="24">
        <f t="shared" ca="1" si="43"/>
        <v>2025</v>
      </c>
      <c r="L216" s="24" t="str">
        <f t="shared" ca="1" si="44"/>
        <v>Bronze</v>
      </c>
      <c r="M216" s="29">
        <v>216</v>
      </c>
      <c r="N216" s="29" t="s">
        <v>831</v>
      </c>
      <c r="O216" s="29" t="s">
        <v>1074</v>
      </c>
      <c r="P216" s="30">
        <v>13</v>
      </c>
      <c r="Q216" s="30">
        <v>15.6</v>
      </c>
      <c r="R216" s="29">
        <v>216</v>
      </c>
      <c r="S216" s="24" t="str">
        <f t="shared" si="45"/>
        <v>Apr</v>
      </c>
      <c r="T216" s="47">
        <v>45775</v>
      </c>
      <c r="U216" s="29">
        <v>5</v>
      </c>
      <c r="V216" s="38">
        <v>182</v>
      </c>
      <c r="W216" s="29">
        <v>46</v>
      </c>
      <c r="X216" s="29">
        <v>1</v>
      </c>
      <c r="Y216" s="30">
        <f>combined_tbl!$Q216*(1-combined_tbl!$Z216)</f>
        <v>15.6</v>
      </c>
      <c r="Z216" s="31">
        <f>IF(combined_tbl!$Q216&gt;=500,0.2, IF(combined_tbl!$Q216&gt;=200,0.05, IF(combined_tbl!$X216&gt;=2,0.05,0)))</f>
        <v>0</v>
      </c>
      <c r="AA216" s="30">
        <f>combined_tbl!$Y216*combined_tbl!$X216</f>
        <v>15.6</v>
      </c>
      <c r="AB216" s="32">
        <f>(combined_tbl!$Q216*(1+combined_tbl!$Z216)-combined_tbl!$P216)*combined_tbl!$X216</f>
        <v>2.5999999999999996</v>
      </c>
    </row>
    <row r="217" spans="1:28" x14ac:dyDescent="0.3">
      <c r="A217" s="29">
        <v>216</v>
      </c>
      <c r="B217" s="25" cm="1">
        <f t="array" aca="1" ref="B217" ca="1">MIN(IF($E:$E=E217,$H:$H))</f>
        <v>45297</v>
      </c>
      <c r="C217" s="25">
        <f t="shared" ca="1" si="40"/>
        <v>22</v>
      </c>
      <c r="D217" s="42">
        <f ca="1">COUNTIF(E:E,combined_tbl!$E217)</f>
        <v>8</v>
      </c>
      <c r="E217" s="24" t="str">
        <f t="shared" ca="1" si="46"/>
        <v>Customer010</v>
      </c>
      <c r="F217" s="24" t="str" cm="1">
        <f t="array" aca="1" ref="F217" ca="1">INDEX({"Male","Female"}, RANDBETWEEN(1,2))</f>
        <v>Male</v>
      </c>
      <c r="G217" s="29" t="str">
        <f t="shared" ca="1" si="39"/>
        <v>East</v>
      </c>
      <c r="H217" s="48">
        <f t="shared" ca="1" si="41"/>
        <v>45297</v>
      </c>
      <c r="I217" s="24">
        <f t="shared" ca="1" si="42"/>
        <v>6</v>
      </c>
      <c r="J217" s="46" t="str">
        <f t="shared" ca="1" si="47"/>
        <v>January</v>
      </c>
      <c r="K217" s="24">
        <f t="shared" ca="1" si="43"/>
        <v>2024</v>
      </c>
      <c r="L217" s="24" t="str">
        <f t="shared" ca="1" si="44"/>
        <v>Gold</v>
      </c>
      <c r="M217" s="24">
        <v>217</v>
      </c>
      <c r="N217" s="24" t="s">
        <v>847</v>
      </c>
      <c r="O217" s="24" t="s">
        <v>1075</v>
      </c>
      <c r="P217" s="26">
        <v>57</v>
      </c>
      <c r="Q217" s="26">
        <v>67.83</v>
      </c>
      <c r="R217" s="24">
        <v>217</v>
      </c>
      <c r="S217" s="24" t="str">
        <f t="shared" si="45"/>
        <v>Mar</v>
      </c>
      <c r="T217" s="46">
        <v>45368</v>
      </c>
      <c r="U217" s="24">
        <v>2</v>
      </c>
      <c r="V217" s="37">
        <v>24</v>
      </c>
      <c r="W217" s="24">
        <v>19</v>
      </c>
      <c r="X217" s="24">
        <v>1</v>
      </c>
      <c r="Y217" s="26">
        <f>combined_tbl!$Q217*(1-combined_tbl!$Z217)</f>
        <v>67.83</v>
      </c>
      <c r="Z217" s="27">
        <f>IF(combined_tbl!$Q217&gt;=500,0.2, IF(combined_tbl!$Q217&gt;=200,0.05, IF(combined_tbl!$X217&gt;=2,0.05,0)))</f>
        <v>0</v>
      </c>
      <c r="AA217" s="26">
        <f>combined_tbl!$Y217*combined_tbl!$X217</f>
        <v>67.83</v>
      </c>
      <c r="AB217" s="28">
        <f>(combined_tbl!$Q217*(1+combined_tbl!$Z217)-combined_tbl!$P217)*combined_tbl!$X217</f>
        <v>10.829999999999998</v>
      </c>
    </row>
    <row r="218" spans="1:28" x14ac:dyDescent="0.3">
      <c r="A218" s="19">
        <v>217</v>
      </c>
      <c r="B218" s="25" cm="1">
        <f t="array" aca="1" ref="B218" ca="1">MIN(IF($E:$E=E218,$H:$H))</f>
        <v>44976</v>
      </c>
      <c r="C218" s="25">
        <f t="shared" ca="1" si="40"/>
        <v>33</v>
      </c>
      <c r="D218" s="43">
        <f ca="1">COUNTIF(E:E,combined_tbl!$E218)</f>
        <v>7</v>
      </c>
      <c r="E218" s="29" t="str">
        <f t="shared" ca="1" si="46"/>
        <v>Customer015</v>
      </c>
      <c r="F218" s="29" t="str" cm="1">
        <f t="array" aca="1" ref="F218" ca="1">INDEX({"Male","Female"}, RANDBETWEEN(1,2))</f>
        <v>Male</v>
      </c>
      <c r="G218" s="29" t="str">
        <f t="shared" ca="1" si="39"/>
        <v>East</v>
      </c>
      <c r="H218" s="48">
        <f t="shared" ca="1" si="41"/>
        <v>44976</v>
      </c>
      <c r="I218" s="24">
        <f t="shared" ca="1" si="42"/>
        <v>19</v>
      </c>
      <c r="J218" s="46" t="str">
        <f t="shared" ca="1" si="47"/>
        <v>February</v>
      </c>
      <c r="K218" s="24">
        <f t="shared" ca="1" si="43"/>
        <v>2023</v>
      </c>
      <c r="L218" s="24" t="str">
        <f t="shared" ca="1" si="44"/>
        <v>Gold</v>
      </c>
      <c r="M218" s="29">
        <v>218</v>
      </c>
      <c r="N218" s="29" t="s">
        <v>831</v>
      </c>
      <c r="O218" s="29" t="s">
        <v>1076</v>
      </c>
      <c r="P218" s="30">
        <v>146</v>
      </c>
      <c r="Q218" s="30">
        <v>173.73999999999998</v>
      </c>
      <c r="R218" s="29">
        <v>218</v>
      </c>
      <c r="S218" s="24" t="str">
        <f t="shared" si="45"/>
        <v>Dec</v>
      </c>
      <c r="T218" s="47">
        <v>45633</v>
      </c>
      <c r="U218" s="29">
        <v>7</v>
      </c>
      <c r="V218" s="38">
        <v>145</v>
      </c>
      <c r="W218" s="29">
        <v>65</v>
      </c>
      <c r="X218" s="29">
        <v>1</v>
      </c>
      <c r="Y218" s="30">
        <f>combined_tbl!$Q218*(1-combined_tbl!$Z218)</f>
        <v>173.73999999999998</v>
      </c>
      <c r="Z218" s="31">
        <f>IF(combined_tbl!$Q218&gt;=500,0.2, IF(combined_tbl!$Q218&gt;=200,0.05, IF(combined_tbl!$X218&gt;=2,0.05,0)))</f>
        <v>0</v>
      </c>
      <c r="AA218" s="30">
        <f>combined_tbl!$Y218*combined_tbl!$X218</f>
        <v>173.73999999999998</v>
      </c>
      <c r="AB218" s="32">
        <f>(combined_tbl!$Q218*(1+combined_tbl!$Z218)-combined_tbl!$P218)*combined_tbl!$X218</f>
        <v>27.739999999999981</v>
      </c>
    </row>
    <row r="219" spans="1:28" x14ac:dyDescent="0.3">
      <c r="A219" s="24">
        <v>218</v>
      </c>
      <c r="B219" s="25" cm="1">
        <f t="array" aca="1" ref="B219" ca="1">MIN(IF($E:$E=E219,$H:$H))</f>
        <v>45054</v>
      </c>
      <c r="C219" s="25">
        <f t="shared" ca="1" si="40"/>
        <v>30</v>
      </c>
      <c r="D219" s="42">
        <f ca="1">COUNTIF(E:E,combined_tbl!$E219)</f>
        <v>2</v>
      </c>
      <c r="E219" s="24" t="str">
        <f t="shared" ca="1" si="46"/>
        <v>Customer077</v>
      </c>
      <c r="F219" s="24" t="str" cm="1">
        <f t="array" aca="1" ref="F219" ca="1">INDEX({"Male","Female"}, RANDBETWEEN(1,2))</f>
        <v>Male</v>
      </c>
      <c r="G219" s="29" t="str">
        <f t="shared" ca="1" si="39"/>
        <v>North</v>
      </c>
      <c r="H219" s="48">
        <f t="shared" ca="1" si="41"/>
        <v>45054</v>
      </c>
      <c r="I219" s="24">
        <f t="shared" ca="1" si="42"/>
        <v>8</v>
      </c>
      <c r="J219" s="46" t="str">
        <f t="shared" ca="1" si="47"/>
        <v>May</v>
      </c>
      <c r="K219" s="24">
        <f t="shared" ca="1" si="43"/>
        <v>2023</v>
      </c>
      <c r="L219" s="24" t="str">
        <f t="shared" ca="1" si="44"/>
        <v>Bronze</v>
      </c>
      <c r="M219" s="24">
        <v>219</v>
      </c>
      <c r="N219" s="24" t="s">
        <v>1359</v>
      </c>
      <c r="O219" s="24" t="s">
        <v>1077</v>
      </c>
      <c r="P219" s="26">
        <v>619</v>
      </c>
      <c r="Q219" s="26">
        <v>866.59999999999991</v>
      </c>
      <c r="R219" s="24">
        <v>219</v>
      </c>
      <c r="S219" s="24" t="str">
        <f t="shared" si="45"/>
        <v>Aug</v>
      </c>
      <c r="T219" s="46">
        <v>45154</v>
      </c>
      <c r="U219" s="24">
        <v>5</v>
      </c>
      <c r="V219" s="37">
        <v>206</v>
      </c>
      <c r="W219" s="24">
        <v>86</v>
      </c>
      <c r="X219" s="24">
        <v>2</v>
      </c>
      <c r="Y219" s="26">
        <f>combined_tbl!$Q219*(1-combined_tbl!$Z219)</f>
        <v>693.28</v>
      </c>
      <c r="Z219" s="27">
        <f>IF(combined_tbl!$Q219&gt;=500,0.2, IF(combined_tbl!$Q219&gt;=200,0.05, IF(combined_tbl!$X219&gt;=2,0.05,0)))</f>
        <v>0.2</v>
      </c>
      <c r="AA219" s="26">
        <f>combined_tbl!$Y219*combined_tbl!$X219</f>
        <v>1386.56</v>
      </c>
      <c r="AB219" s="28">
        <f>(combined_tbl!$Q219*(1+combined_tbl!$Z219)-combined_tbl!$P219)*combined_tbl!$X219</f>
        <v>841.83999999999969</v>
      </c>
    </row>
    <row r="220" spans="1:28" x14ac:dyDescent="0.3">
      <c r="A220" s="29">
        <v>219</v>
      </c>
      <c r="B220" s="25" cm="1">
        <f t="array" aca="1" ref="B220" ca="1">MIN(IF($E:$E=E220,$H:$H))</f>
        <v>44960</v>
      </c>
      <c r="C220" s="25">
        <f t="shared" ca="1" si="40"/>
        <v>34</v>
      </c>
      <c r="D220" s="43">
        <f ca="1">COUNTIF(E:E,combined_tbl!$E220)</f>
        <v>6</v>
      </c>
      <c r="E220" s="29" t="str">
        <f t="shared" ca="1" si="46"/>
        <v>Customer042</v>
      </c>
      <c r="F220" s="29" t="str" cm="1">
        <f t="array" aca="1" ref="F220" ca="1">INDEX({"Male","Female"}, RANDBETWEEN(1,2))</f>
        <v>Male</v>
      </c>
      <c r="G220" s="29" t="str">
        <f t="shared" ca="1" si="39"/>
        <v>East</v>
      </c>
      <c r="H220" s="48">
        <f t="shared" ca="1" si="41"/>
        <v>44960</v>
      </c>
      <c r="I220" s="24">
        <f t="shared" ca="1" si="42"/>
        <v>3</v>
      </c>
      <c r="J220" s="46" t="str">
        <f t="shared" ca="1" si="47"/>
        <v>February</v>
      </c>
      <c r="K220" s="24">
        <f t="shared" ca="1" si="43"/>
        <v>2023</v>
      </c>
      <c r="L220" s="24" t="str">
        <f t="shared" ca="1" si="44"/>
        <v>Silver</v>
      </c>
      <c r="M220" s="29">
        <v>220</v>
      </c>
      <c r="N220" s="29" t="s">
        <v>1359</v>
      </c>
      <c r="O220" s="29" t="s">
        <v>1078</v>
      </c>
      <c r="P220" s="30">
        <v>459</v>
      </c>
      <c r="Q220" s="30">
        <v>592.11</v>
      </c>
      <c r="R220" s="29">
        <v>220</v>
      </c>
      <c r="S220" s="24" t="str">
        <f t="shared" si="45"/>
        <v>Sep</v>
      </c>
      <c r="T220" s="47">
        <v>45923</v>
      </c>
      <c r="U220" s="29">
        <v>5</v>
      </c>
      <c r="V220" s="38">
        <v>33</v>
      </c>
      <c r="W220" s="29">
        <v>13</v>
      </c>
      <c r="X220" s="29">
        <v>3</v>
      </c>
      <c r="Y220" s="30">
        <f>combined_tbl!$Q220*(1-combined_tbl!$Z220)</f>
        <v>473.68800000000005</v>
      </c>
      <c r="Z220" s="31">
        <f>IF(combined_tbl!$Q220&gt;=500,0.2, IF(combined_tbl!$Q220&gt;=200,0.05, IF(combined_tbl!$X220&gt;=2,0.05,0)))</f>
        <v>0.2</v>
      </c>
      <c r="AA220" s="30">
        <f>combined_tbl!$Y220*combined_tbl!$X220</f>
        <v>1421.0640000000001</v>
      </c>
      <c r="AB220" s="32">
        <f>(combined_tbl!$Q220*(1+combined_tbl!$Z220)-combined_tbl!$P220)*combined_tbl!$X220</f>
        <v>754.59600000000012</v>
      </c>
    </row>
    <row r="221" spans="1:28" x14ac:dyDescent="0.3">
      <c r="A221" s="29">
        <v>220</v>
      </c>
      <c r="B221" s="25" cm="1">
        <f t="array" aca="1" ref="B221" ca="1">MIN(IF($E:$E=E221,$H:$H))</f>
        <v>45988</v>
      </c>
      <c r="C221" s="25">
        <f t="shared" ca="1" si="40"/>
        <v>0</v>
      </c>
      <c r="D221" s="42">
        <f ca="1">COUNTIF(E:E,combined_tbl!$E221)</f>
        <v>2</v>
      </c>
      <c r="E221" s="24" t="str">
        <f t="shared" ca="1" si="46"/>
        <v>Customer074</v>
      </c>
      <c r="F221" s="24" t="str" cm="1">
        <f t="array" aca="1" ref="F221" ca="1">INDEX({"Male","Female"}, RANDBETWEEN(1,2))</f>
        <v>Female</v>
      </c>
      <c r="G221" s="29" t="str">
        <f t="shared" ca="1" si="39"/>
        <v>West</v>
      </c>
      <c r="H221" s="48">
        <f t="shared" ca="1" si="41"/>
        <v>45988</v>
      </c>
      <c r="I221" s="24">
        <f t="shared" ca="1" si="42"/>
        <v>27</v>
      </c>
      <c r="J221" s="46" t="str">
        <f t="shared" ca="1" si="47"/>
        <v>November</v>
      </c>
      <c r="K221" s="24">
        <f t="shared" ca="1" si="43"/>
        <v>2025</v>
      </c>
      <c r="L221" s="24" t="str">
        <f t="shared" ca="1" si="44"/>
        <v>Bronze</v>
      </c>
      <c r="M221" s="24">
        <v>221</v>
      </c>
      <c r="N221" s="24" t="s">
        <v>957</v>
      </c>
      <c r="O221" s="24" t="s">
        <v>1079</v>
      </c>
      <c r="P221" s="26">
        <v>53</v>
      </c>
      <c r="Q221" s="26">
        <v>64.13</v>
      </c>
      <c r="R221" s="24">
        <v>221</v>
      </c>
      <c r="S221" s="24" t="str">
        <f t="shared" si="45"/>
        <v>Apr</v>
      </c>
      <c r="T221" s="46">
        <v>45020</v>
      </c>
      <c r="U221" s="24">
        <v>4</v>
      </c>
      <c r="V221" s="37">
        <v>108</v>
      </c>
      <c r="W221" s="24">
        <v>33</v>
      </c>
      <c r="X221" s="24">
        <v>2</v>
      </c>
      <c r="Y221" s="26">
        <f>combined_tbl!$Q221*(1-combined_tbl!$Z221)</f>
        <v>60.92349999999999</v>
      </c>
      <c r="Z221" s="27">
        <f>IF(combined_tbl!$Q221&gt;=500,0.2, IF(combined_tbl!$Q221&gt;=200,0.05, IF(combined_tbl!$X221&gt;=2,0.05,0)))</f>
        <v>0.05</v>
      </c>
      <c r="AA221" s="26">
        <f>combined_tbl!$Y221*combined_tbl!$X221</f>
        <v>121.84699999999998</v>
      </c>
      <c r="AB221" s="28">
        <f>(combined_tbl!$Q221*(1+combined_tbl!$Z221)-combined_tbl!$P221)*combined_tbl!$X221</f>
        <v>28.673000000000002</v>
      </c>
    </row>
    <row r="222" spans="1:28" x14ac:dyDescent="0.3">
      <c r="A222" s="29">
        <v>221</v>
      </c>
      <c r="B222" s="25" cm="1">
        <f t="array" aca="1" ref="B222" ca="1">MIN(IF($E:$E=E222,$H:$H))</f>
        <v>45955</v>
      </c>
      <c r="C222" s="25">
        <f t="shared" ca="1" si="40"/>
        <v>1</v>
      </c>
      <c r="D222" s="43">
        <f ca="1">COUNTIF(E:E,combined_tbl!$E222)</f>
        <v>9</v>
      </c>
      <c r="E222" s="29" t="str">
        <f t="shared" ca="1" si="46"/>
        <v>Customer080</v>
      </c>
      <c r="F222" s="29" t="str" cm="1">
        <f t="array" aca="1" ref="F222" ca="1">INDEX({"Male","Female"}, RANDBETWEEN(1,2))</f>
        <v>Female</v>
      </c>
      <c r="G222" s="29" t="str">
        <f t="shared" ca="1" si="39"/>
        <v>West</v>
      </c>
      <c r="H222" s="48">
        <f t="shared" ca="1" si="41"/>
        <v>45955</v>
      </c>
      <c r="I222" s="24">
        <f t="shared" ca="1" si="42"/>
        <v>25</v>
      </c>
      <c r="J222" s="46" t="str">
        <f t="shared" ca="1" si="47"/>
        <v>October</v>
      </c>
      <c r="K222" s="24">
        <f t="shared" ca="1" si="43"/>
        <v>2025</v>
      </c>
      <c r="L222" s="24" t="str">
        <f t="shared" ca="1" si="44"/>
        <v>Bronze</v>
      </c>
      <c r="M222" s="29">
        <v>222</v>
      </c>
      <c r="N222" s="29" t="s">
        <v>955</v>
      </c>
      <c r="O222" s="29" t="s">
        <v>1080</v>
      </c>
      <c r="P222" s="30">
        <v>109</v>
      </c>
      <c r="Q222" s="30">
        <v>139.52000000000001</v>
      </c>
      <c r="R222" s="29">
        <v>222</v>
      </c>
      <c r="S222" s="24" t="str">
        <f t="shared" si="45"/>
        <v>Mar</v>
      </c>
      <c r="T222" s="47">
        <v>45736</v>
      </c>
      <c r="U222" s="29">
        <v>1</v>
      </c>
      <c r="V222" s="38">
        <v>147</v>
      </c>
      <c r="W222" s="29">
        <v>30</v>
      </c>
      <c r="X222" s="29">
        <v>1</v>
      </c>
      <c r="Y222" s="30">
        <f>combined_tbl!$Q222*(1-combined_tbl!$Z222)</f>
        <v>139.52000000000001</v>
      </c>
      <c r="Z222" s="31">
        <f>IF(combined_tbl!$Q222&gt;=500,0.2, IF(combined_tbl!$Q222&gt;=200,0.05, IF(combined_tbl!$X222&gt;=2,0.05,0)))</f>
        <v>0</v>
      </c>
      <c r="AA222" s="30">
        <f>combined_tbl!$Y222*combined_tbl!$X222</f>
        <v>139.52000000000001</v>
      </c>
      <c r="AB222" s="32">
        <f>(combined_tbl!$Q222*(1+combined_tbl!$Z222)-combined_tbl!$P222)*combined_tbl!$X222</f>
        <v>30.52000000000001</v>
      </c>
    </row>
    <row r="223" spans="1:28" x14ac:dyDescent="0.3">
      <c r="A223" s="29">
        <v>222</v>
      </c>
      <c r="B223" s="25" cm="1">
        <f t="array" aca="1" ref="B223" ca="1">MIN(IF($E:$E=E223,$H:$H))</f>
        <v>45995</v>
      </c>
      <c r="C223" s="25">
        <f t="shared" ca="1" si="40"/>
        <v>0</v>
      </c>
      <c r="D223" s="42">
        <f ca="1">COUNTIF(E:E,combined_tbl!$E223)</f>
        <v>8</v>
      </c>
      <c r="E223" s="24" t="str">
        <f t="shared" ca="1" si="46"/>
        <v>Customer013</v>
      </c>
      <c r="F223" s="24" t="str" cm="1">
        <f t="array" aca="1" ref="F223" ca="1">INDEX({"Male","Female"}, RANDBETWEEN(1,2))</f>
        <v>Male</v>
      </c>
      <c r="G223" s="29" t="str">
        <f t="shared" ca="1" si="39"/>
        <v>North</v>
      </c>
      <c r="H223" s="48">
        <f t="shared" ca="1" si="41"/>
        <v>45995</v>
      </c>
      <c r="I223" s="24">
        <f t="shared" ca="1" si="42"/>
        <v>4</v>
      </c>
      <c r="J223" s="46" t="str">
        <f t="shared" ca="1" si="47"/>
        <v>December</v>
      </c>
      <c r="K223" s="24">
        <f t="shared" ca="1" si="43"/>
        <v>2025</v>
      </c>
      <c r="L223" s="24" t="str">
        <f t="shared" ca="1" si="44"/>
        <v>Bronze</v>
      </c>
      <c r="M223" s="24">
        <v>223</v>
      </c>
      <c r="N223" s="24" t="s">
        <v>955</v>
      </c>
      <c r="O223" s="24" t="s">
        <v>1081</v>
      </c>
      <c r="P223" s="26">
        <v>403</v>
      </c>
      <c r="Q223" s="26">
        <v>572.26</v>
      </c>
      <c r="R223" s="24">
        <v>223</v>
      </c>
      <c r="S223" s="24" t="str">
        <f t="shared" si="45"/>
        <v>Jan</v>
      </c>
      <c r="T223" s="46">
        <v>44942</v>
      </c>
      <c r="U223" s="24">
        <v>4</v>
      </c>
      <c r="V223" s="37">
        <v>68</v>
      </c>
      <c r="W223" s="24">
        <v>84</v>
      </c>
      <c r="X223" s="24">
        <v>1</v>
      </c>
      <c r="Y223" s="26">
        <f>combined_tbl!$Q223*(1-combined_tbl!$Z223)</f>
        <v>457.80799999999999</v>
      </c>
      <c r="Z223" s="27">
        <f>IF(combined_tbl!$Q223&gt;=500,0.2, IF(combined_tbl!$Q223&gt;=200,0.05, IF(combined_tbl!$X223&gt;=2,0.05,0)))</f>
        <v>0.2</v>
      </c>
      <c r="AA223" s="26">
        <f>combined_tbl!$Y223*combined_tbl!$X223</f>
        <v>457.80799999999999</v>
      </c>
      <c r="AB223" s="28">
        <f>(combined_tbl!$Q223*(1+combined_tbl!$Z223)-combined_tbl!$P223)*combined_tbl!$X223</f>
        <v>283.71199999999999</v>
      </c>
    </row>
    <row r="224" spans="1:28" x14ac:dyDescent="0.3">
      <c r="A224" s="29">
        <v>223</v>
      </c>
      <c r="B224" s="25" cm="1">
        <f t="array" aca="1" ref="B224" ca="1">MIN(IF($E:$E=E224,$H:$H))</f>
        <v>45047</v>
      </c>
      <c r="C224" s="25">
        <f t="shared" ca="1" si="40"/>
        <v>31</v>
      </c>
      <c r="D224" s="43">
        <f ca="1">COUNTIF(E:E,combined_tbl!$E224)</f>
        <v>3</v>
      </c>
      <c r="E224" s="29" t="str">
        <f t="shared" ca="1" si="46"/>
        <v>Customer056</v>
      </c>
      <c r="F224" s="29" t="str" cm="1">
        <f t="array" aca="1" ref="F224" ca="1">INDEX({"Male","Female"}, RANDBETWEEN(1,2))</f>
        <v>Female</v>
      </c>
      <c r="G224" s="29" t="str">
        <f t="shared" ca="1" si="39"/>
        <v>East</v>
      </c>
      <c r="H224" s="48">
        <f t="shared" ca="1" si="41"/>
        <v>45047</v>
      </c>
      <c r="I224" s="24">
        <f t="shared" ca="1" si="42"/>
        <v>1</v>
      </c>
      <c r="J224" s="46" t="str">
        <f t="shared" ca="1" si="47"/>
        <v>May</v>
      </c>
      <c r="K224" s="24">
        <f t="shared" ca="1" si="43"/>
        <v>2023</v>
      </c>
      <c r="L224" s="24" t="str">
        <f t="shared" ca="1" si="44"/>
        <v>Silver</v>
      </c>
      <c r="M224" s="29">
        <v>224</v>
      </c>
      <c r="N224" s="29" t="s">
        <v>954</v>
      </c>
      <c r="O224" s="29" t="s">
        <v>1082</v>
      </c>
      <c r="P224" s="30">
        <v>784</v>
      </c>
      <c r="Q224" s="30">
        <v>948.64</v>
      </c>
      <c r="R224" s="29">
        <v>224</v>
      </c>
      <c r="S224" s="24" t="str">
        <f t="shared" si="45"/>
        <v>Sep</v>
      </c>
      <c r="T224" s="47">
        <v>45544</v>
      </c>
      <c r="U224" s="29">
        <v>4</v>
      </c>
      <c r="V224" s="38">
        <v>217</v>
      </c>
      <c r="W224" s="29">
        <v>74</v>
      </c>
      <c r="X224" s="29">
        <v>1</v>
      </c>
      <c r="Y224" s="30">
        <f>combined_tbl!$Q224*(1-combined_tbl!$Z224)</f>
        <v>758.91200000000003</v>
      </c>
      <c r="Z224" s="31">
        <f>IF(combined_tbl!$Q224&gt;=500,0.2, IF(combined_tbl!$Q224&gt;=200,0.05, IF(combined_tbl!$X224&gt;=2,0.05,0)))</f>
        <v>0.2</v>
      </c>
      <c r="AA224" s="30">
        <f>combined_tbl!$Y224*combined_tbl!$X224</f>
        <v>758.91200000000003</v>
      </c>
      <c r="AB224" s="32">
        <f>(combined_tbl!$Q224*(1+combined_tbl!$Z224)-combined_tbl!$P224)*combined_tbl!$X224</f>
        <v>354.36799999999994</v>
      </c>
    </row>
    <row r="225" spans="1:28" x14ac:dyDescent="0.3">
      <c r="A225" s="29">
        <v>224</v>
      </c>
      <c r="B225" s="25" cm="1">
        <f t="array" aca="1" ref="B225" ca="1">MIN(IF($E:$E=E225,$H:$H))</f>
        <v>45027</v>
      </c>
      <c r="C225" s="25">
        <f t="shared" ca="1" si="40"/>
        <v>31</v>
      </c>
      <c r="D225" s="42">
        <f ca="1">COUNTIF(E:E,combined_tbl!$E225)</f>
        <v>4</v>
      </c>
      <c r="E225" s="24" t="str">
        <f t="shared" ca="1" si="46"/>
        <v>Customer027</v>
      </c>
      <c r="F225" s="24" t="str" cm="1">
        <f t="array" aca="1" ref="F225" ca="1">INDEX({"Male","Female"}, RANDBETWEEN(1,2))</f>
        <v>Male</v>
      </c>
      <c r="G225" s="29" t="str">
        <f t="shared" ca="1" si="39"/>
        <v>East</v>
      </c>
      <c r="H225" s="48">
        <f t="shared" ca="1" si="41"/>
        <v>45027</v>
      </c>
      <c r="I225" s="24">
        <f t="shared" ca="1" si="42"/>
        <v>11</v>
      </c>
      <c r="J225" s="46" t="str">
        <f t="shared" ca="1" si="47"/>
        <v>April</v>
      </c>
      <c r="K225" s="24">
        <f t="shared" ca="1" si="43"/>
        <v>2023</v>
      </c>
      <c r="L225" s="24" t="str">
        <f t="shared" ca="1" si="44"/>
        <v>Silver</v>
      </c>
      <c r="M225" s="24">
        <v>225</v>
      </c>
      <c r="N225" s="24" t="s">
        <v>957</v>
      </c>
      <c r="O225" s="24" t="s">
        <v>1083</v>
      </c>
      <c r="P225" s="26">
        <v>65</v>
      </c>
      <c r="Q225" s="26">
        <v>85.15</v>
      </c>
      <c r="R225" s="24">
        <v>225</v>
      </c>
      <c r="S225" s="24" t="str">
        <f t="shared" si="45"/>
        <v>Oct</v>
      </c>
      <c r="T225" s="46">
        <v>45208</v>
      </c>
      <c r="U225" s="24">
        <v>5</v>
      </c>
      <c r="V225" s="37">
        <v>67</v>
      </c>
      <c r="W225" s="24">
        <v>96</v>
      </c>
      <c r="X225" s="24">
        <v>1</v>
      </c>
      <c r="Y225" s="26">
        <f>combined_tbl!$Q225*(1-combined_tbl!$Z225)</f>
        <v>85.15</v>
      </c>
      <c r="Z225" s="27">
        <f>IF(combined_tbl!$Q225&gt;=500,0.2, IF(combined_tbl!$Q225&gt;=200,0.05, IF(combined_tbl!$X225&gt;=2,0.05,0)))</f>
        <v>0</v>
      </c>
      <c r="AA225" s="26">
        <f>combined_tbl!$Y225*combined_tbl!$X225</f>
        <v>85.15</v>
      </c>
      <c r="AB225" s="28">
        <f>(combined_tbl!$Q225*(1+combined_tbl!$Z225)-combined_tbl!$P225)*combined_tbl!$X225</f>
        <v>20.150000000000006</v>
      </c>
    </row>
    <row r="226" spans="1:28" x14ac:dyDescent="0.3">
      <c r="A226" s="19">
        <v>225</v>
      </c>
      <c r="B226" s="25" cm="1">
        <f t="array" aca="1" ref="B226" ca="1">MIN(IF($E:$E=E226,$H:$H))</f>
        <v>45433</v>
      </c>
      <c r="C226" s="25">
        <f t="shared" ca="1" si="40"/>
        <v>18</v>
      </c>
      <c r="D226" s="43">
        <f ca="1">COUNTIF(E:E,combined_tbl!$E226)</f>
        <v>6</v>
      </c>
      <c r="E226" s="29" t="str">
        <f t="shared" ca="1" si="46"/>
        <v>Customer066</v>
      </c>
      <c r="F226" s="29" t="str" cm="1">
        <f t="array" aca="1" ref="F226" ca="1">INDEX({"Male","Female"}, RANDBETWEEN(1,2))</f>
        <v>Male</v>
      </c>
      <c r="G226" s="29" t="str">
        <f t="shared" ca="1" si="39"/>
        <v>West</v>
      </c>
      <c r="H226" s="48">
        <f t="shared" ca="1" si="41"/>
        <v>45433</v>
      </c>
      <c r="I226" s="24">
        <f t="shared" ca="1" si="42"/>
        <v>21</v>
      </c>
      <c r="J226" s="46" t="str">
        <f t="shared" ca="1" si="47"/>
        <v>May</v>
      </c>
      <c r="K226" s="24">
        <f t="shared" ca="1" si="43"/>
        <v>2024</v>
      </c>
      <c r="L226" s="24" t="str">
        <f t="shared" ca="1" si="44"/>
        <v>Silver</v>
      </c>
      <c r="M226" s="29">
        <v>226</v>
      </c>
      <c r="N226" s="29" t="s">
        <v>957</v>
      </c>
      <c r="O226" s="29" t="s">
        <v>1084</v>
      </c>
      <c r="P226" s="30">
        <v>127</v>
      </c>
      <c r="Q226" s="30">
        <v>187.96</v>
      </c>
      <c r="R226" s="29">
        <v>226</v>
      </c>
      <c r="S226" s="24" t="str">
        <f t="shared" si="45"/>
        <v>Aug</v>
      </c>
      <c r="T226" s="47">
        <v>45519</v>
      </c>
      <c r="U226" s="29">
        <v>6</v>
      </c>
      <c r="V226" s="38">
        <v>55</v>
      </c>
      <c r="W226" s="29">
        <v>8</v>
      </c>
      <c r="X226" s="29">
        <v>1</v>
      </c>
      <c r="Y226" s="30">
        <f>combined_tbl!$Q226*(1-combined_tbl!$Z226)</f>
        <v>187.96</v>
      </c>
      <c r="Z226" s="31">
        <f>IF(combined_tbl!$Q226&gt;=500,0.2, IF(combined_tbl!$Q226&gt;=200,0.05, IF(combined_tbl!$X226&gt;=2,0.05,0)))</f>
        <v>0</v>
      </c>
      <c r="AA226" s="30">
        <f>combined_tbl!$Y226*combined_tbl!$X226</f>
        <v>187.96</v>
      </c>
      <c r="AB226" s="32">
        <f>(combined_tbl!$Q226*(1+combined_tbl!$Z226)-combined_tbl!$P226)*combined_tbl!$X226</f>
        <v>60.960000000000008</v>
      </c>
    </row>
    <row r="227" spans="1:28" x14ac:dyDescent="0.3">
      <c r="A227" s="24">
        <v>226</v>
      </c>
      <c r="B227" s="25" cm="1">
        <f t="array" aca="1" ref="B227" ca="1">MIN(IF($E:$E=E227,$H:$H))</f>
        <v>45346</v>
      </c>
      <c r="C227" s="25">
        <f t="shared" ca="1" si="40"/>
        <v>21</v>
      </c>
      <c r="D227" s="42">
        <f ca="1">COUNTIF(E:E,combined_tbl!$E227)</f>
        <v>12</v>
      </c>
      <c r="E227" s="24" t="str">
        <f t="shared" ca="1" si="46"/>
        <v>Customer011</v>
      </c>
      <c r="F227" s="24" t="str" cm="1">
        <f t="array" aca="1" ref="F227" ca="1">INDEX({"Male","Female"}, RANDBETWEEN(1,2))</f>
        <v>Male</v>
      </c>
      <c r="G227" s="29" t="str">
        <f t="shared" ca="1" si="39"/>
        <v>East</v>
      </c>
      <c r="H227" s="48">
        <f t="shared" ca="1" si="41"/>
        <v>45346</v>
      </c>
      <c r="I227" s="24">
        <f t="shared" ca="1" si="42"/>
        <v>24</v>
      </c>
      <c r="J227" s="46" t="str">
        <f t="shared" ca="1" si="47"/>
        <v>February</v>
      </c>
      <c r="K227" s="24">
        <f t="shared" ca="1" si="43"/>
        <v>2024</v>
      </c>
      <c r="L227" s="24" t="str">
        <f t="shared" ca="1" si="44"/>
        <v>Gold</v>
      </c>
      <c r="M227" s="24">
        <v>227</v>
      </c>
      <c r="N227" s="24" t="s">
        <v>1359</v>
      </c>
      <c r="O227" s="24" t="s">
        <v>1085</v>
      </c>
      <c r="P227" s="26">
        <v>598</v>
      </c>
      <c r="Q227" s="26">
        <v>891.02</v>
      </c>
      <c r="R227" s="24">
        <v>227</v>
      </c>
      <c r="S227" s="24" t="str">
        <f t="shared" si="45"/>
        <v>Sep</v>
      </c>
      <c r="T227" s="46">
        <v>45172</v>
      </c>
      <c r="U227" s="24">
        <v>1</v>
      </c>
      <c r="V227" s="37">
        <v>14</v>
      </c>
      <c r="W227" s="24">
        <v>62</v>
      </c>
      <c r="X227" s="24">
        <v>1</v>
      </c>
      <c r="Y227" s="26">
        <f>combined_tbl!$Q227*(1-combined_tbl!$Z227)</f>
        <v>712.81600000000003</v>
      </c>
      <c r="Z227" s="27">
        <f>IF(combined_tbl!$Q227&gt;=500,0.2, IF(combined_tbl!$Q227&gt;=200,0.05, IF(combined_tbl!$X227&gt;=2,0.05,0)))</f>
        <v>0.2</v>
      </c>
      <c r="AA227" s="26">
        <f>combined_tbl!$Y227*combined_tbl!$X227</f>
        <v>712.81600000000003</v>
      </c>
      <c r="AB227" s="28">
        <f>(combined_tbl!$Q227*(1+combined_tbl!$Z227)-combined_tbl!$P227)*combined_tbl!$X227</f>
        <v>471.22399999999993</v>
      </c>
    </row>
    <row r="228" spans="1:28" x14ac:dyDescent="0.3">
      <c r="A228" s="29">
        <v>227</v>
      </c>
      <c r="B228" s="25" cm="1">
        <f t="array" aca="1" ref="B228" ca="1">MIN(IF($E:$E=E228,$H:$H))</f>
        <v>45853</v>
      </c>
      <c r="C228" s="25">
        <f t="shared" ca="1" si="40"/>
        <v>4</v>
      </c>
      <c r="D228" s="43">
        <f ca="1">COUNTIF(E:E,combined_tbl!$E228)</f>
        <v>5</v>
      </c>
      <c r="E228" s="29" t="str">
        <f t="shared" ca="1" si="46"/>
        <v>Customer033</v>
      </c>
      <c r="F228" s="29" t="str" cm="1">
        <f t="array" aca="1" ref="F228" ca="1">INDEX({"Male","Female"}, RANDBETWEEN(1,2))</f>
        <v>Female</v>
      </c>
      <c r="G228" s="29" t="str">
        <f t="shared" ca="1" si="39"/>
        <v>West</v>
      </c>
      <c r="H228" s="48">
        <f t="shared" ca="1" si="41"/>
        <v>45853</v>
      </c>
      <c r="I228" s="24">
        <f t="shared" ca="1" si="42"/>
        <v>15</v>
      </c>
      <c r="J228" s="46" t="str">
        <f t="shared" ca="1" si="47"/>
        <v>July</v>
      </c>
      <c r="K228" s="24">
        <f t="shared" ca="1" si="43"/>
        <v>2025</v>
      </c>
      <c r="L228" s="24" t="str">
        <f t="shared" ca="1" si="44"/>
        <v>Bronze</v>
      </c>
      <c r="M228" s="29">
        <v>228</v>
      </c>
      <c r="N228" s="29" t="s">
        <v>1359</v>
      </c>
      <c r="O228" s="29" t="s">
        <v>1086</v>
      </c>
      <c r="P228" s="30">
        <v>583</v>
      </c>
      <c r="Q228" s="30">
        <v>804.54</v>
      </c>
      <c r="R228" s="29">
        <v>228</v>
      </c>
      <c r="S228" s="24" t="str">
        <f t="shared" si="45"/>
        <v>Oct</v>
      </c>
      <c r="T228" s="47">
        <v>45945</v>
      </c>
      <c r="U228" s="29">
        <v>7</v>
      </c>
      <c r="V228" s="38">
        <v>132</v>
      </c>
      <c r="W228" s="29">
        <v>77</v>
      </c>
      <c r="X228" s="29">
        <v>1</v>
      </c>
      <c r="Y228" s="30">
        <f>combined_tbl!$Q228*(1-combined_tbl!$Z228)</f>
        <v>643.63200000000006</v>
      </c>
      <c r="Z228" s="31">
        <f>IF(combined_tbl!$Q228&gt;=500,0.2, IF(combined_tbl!$Q228&gt;=200,0.05, IF(combined_tbl!$X228&gt;=2,0.05,0)))</f>
        <v>0.2</v>
      </c>
      <c r="AA228" s="30">
        <f>combined_tbl!$Y228*combined_tbl!$X228</f>
        <v>643.63200000000006</v>
      </c>
      <c r="AB228" s="32">
        <f>(combined_tbl!$Q228*(1+combined_tbl!$Z228)-combined_tbl!$P228)*combined_tbl!$X228</f>
        <v>382.44799999999987</v>
      </c>
    </row>
    <row r="229" spans="1:28" x14ac:dyDescent="0.3">
      <c r="A229" s="29">
        <v>228</v>
      </c>
      <c r="B229" s="25" cm="1">
        <f t="array" aca="1" ref="B229" ca="1">MIN(IF($E:$E=E229,$H:$H))</f>
        <v>45787</v>
      </c>
      <c r="C229" s="25">
        <f t="shared" ca="1" si="40"/>
        <v>6</v>
      </c>
      <c r="D229" s="42">
        <f ca="1">COUNTIF(E:E,combined_tbl!$E229)</f>
        <v>8</v>
      </c>
      <c r="E229" s="24" t="str">
        <f t="shared" ca="1" si="46"/>
        <v>Customer006</v>
      </c>
      <c r="F229" s="24" t="str" cm="1">
        <f t="array" aca="1" ref="F229" ca="1">INDEX({"Male","Female"}, RANDBETWEEN(1,2))</f>
        <v>Male</v>
      </c>
      <c r="G229" s="29" t="str">
        <f t="shared" ca="1" si="39"/>
        <v>North</v>
      </c>
      <c r="H229" s="48">
        <f t="shared" ca="1" si="41"/>
        <v>45787</v>
      </c>
      <c r="I229" s="24">
        <f t="shared" ca="1" si="42"/>
        <v>10</v>
      </c>
      <c r="J229" s="46" t="str">
        <f t="shared" ca="1" si="47"/>
        <v>May</v>
      </c>
      <c r="K229" s="24">
        <f t="shared" ca="1" si="43"/>
        <v>2025</v>
      </c>
      <c r="L229" s="24" t="str">
        <f t="shared" ca="1" si="44"/>
        <v>Bronze</v>
      </c>
      <c r="M229" s="24">
        <v>229</v>
      </c>
      <c r="N229" s="24" t="s">
        <v>957</v>
      </c>
      <c r="O229" s="24" t="s">
        <v>1087</v>
      </c>
      <c r="P229" s="26">
        <v>71</v>
      </c>
      <c r="Q229" s="26">
        <v>93.01</v>
      </c>
      <c r="R229" s="24">
        <v>229</v>
      </c>
      <c r="S229" s="24" t="str">
        <f t="shared" si="45"/>
        <v>Dec</v>
      </c>
      <c r="T229" s="46">
        <v>45286</v>
      </c>
      <c r="U229" s="24">
        <v>3</v>
      </c>
      <c r="V229" s="37">
        <v>149</v>
      </c>
      <c r="W229" s="24">
        <v>19</v>
      </c>
      <c r="X229" s="24">
        <v>2</v>
      </c>
      <c r="Y229" s="26">
        <f>combined_tbl!$Q229*(1-combined_tbl!$Z229)</f>
        <v>88.359499999999997</v>
      </c>
      <c r="Z229" s="27">
        <f>IF(combined_tbl!$Q229&gt;=500,0.2, IF(combined_tbl!$Q229&gt;=200,0.05, IF(combined_tbl!$X229&gt;=2,0.05,0)))</f>
        <v>0.05</v>
      </c>
      <c r="AA229" s="26">
        <f>combined_tbl!$Y229*combined_tbl!$X229</f>
        <v>176.71899999999999</v>
      </c>
      <c r="AB229" s="28">
        <f>(combined_tbl!$Q229*(1+combined_tbl!$Z229)-combined_tbl!$P229)*combined_tbl!$X229</f>
        <v>53.321000000000026</v>
      </c>
    </row>
    <row r="230" spans="1:28" x14ac:dyDescent="0.3">
      <c r="A230" s="29">
        <v>229</v>
      </c>
      <c r="B230" s="25" cm="1">
        <f t="array" aca="1" ref="B230" ca="1">MIN(IF($E:$E=E230,$H:$H))</f>
        <v>45809</v>
      </c>
      <c r="C230" s="25">
        <f t="shared" ca="1" si="40"/>
        <v>6</v>
      </c>
      <c r="D230" s="43">
        <f ca="1">COUNTIF(E:E,combined_tbl!$E230)</f>
        <v>10</v>
      </c>
      <c r="E230" s="29" t="str">
        <f t="shared" ca="1" si="46"/>
        <v>Customer019</v>
      </c>
      <c r="F230" s="29" t="str" cm="1">
        <f t="array" aca="1" ref="F230" ca="1">INDEX({"Male","Female"}, RANDBETWEEN(1,2))</f>
        <v>Female</v>
      </c>
      <c r="G230" s="29" t="str">
        <f t="shared" ca="1" si="39"/>
        <v>North</v>
      </c>
      <c r="H230" s="48">
        <f t="shared" ca="1" si="41"/>
        <v>45809</v>
      </c>
      <c r="I230" s="24">
        <f t="shared" ca="1" si="42"/>
        <v>1</v>
      </c>
      <c r="J230" s="46" t="str">
        <f t="shared" ca="1" si="47"/>
        <v>June</v>
      </c>
      <c r="K230" s="24">
        <f t="shared" ca="1" si="43"/>
        <v>2025</v>
      </c>
      <c r="L230" s="24" t="str">
        <f t="shared" ca="1" si="44"/>
        <v>Bronze</v>
      </c>
      <c r="M230" s="29">
        <v>230</v>
      </c>
      <c r="N230" s="29" t="s">
        <v>837</v>
      </c>
      <c r="O230" s="29" t="s">
        <v>1088</v>
      </c>
      <c r="P230" s="30">
        <v>418</v>
      </c>
      <c r="Q230" s="30">
        <v>547.58000000000004</v>
      </c>
      <c r="R230" s="29">
        <v>230</v>
      </c>
      <c r="S230" s="24" t="str">
        <f t="shared" si="45"/>
        <v>Feb</v>
      </c>
      <c r="T230" s="47">
        <v>45705</v>
      </c>
      <c r="U230" s="29">
        <v>4</v>
      </c>
      <c r="V230" s="38">
        <v>22</v>
      </c>
      <c r="W230" s="29">
        <v>94</v>
      </c>
      <c r="X230" s="29">
        <v>1</v>
      </c>
      <c r="Y230" s="30">
        <f>combined_tbl!$Q230*(1-combined_tbl!$Z230)</f>
        <v>438.06400000000008</v>
      </c>
      <c r="Z230" s="31">
        <f>IF(combined_tbl!$Q230&gt;=500,0.2, IF(combined_tbl!$Q230&gt;=200,0.05, IF(combined_tbl!$X230&gt;=2,0.05,0)))</f>
        <v>0.2</v>
      </c>
      <c r="AA230" s="30">
        <f>combined_tbl!$Y230*combined_tbl!$X230</f>
        <v>438.06400000000008</v>
      </c>
      <c r="AB230" s="32">
        <f>(combined_tbl!$Q230*(1+combined_tbl!$Z230)-combined_tbl!$P230)*combined_tbl!$X230</f>
        <v>239.096</v>
      </c>
    </row>
    <row r="231" spans="1:28" x14ac:dyDescent="0.3">
      <c r="A231" s="29">
        <v>230</v>
      </c>
      <c r="B231" s="25" cm="1">
        <f t="array" aca="1" ref="B231" ca="1">MIN(IF($E:$E=E231,$H:$H))</f>
        <v>45991</v>
      </c>
      <c r="C231" s="25">
        <f t="shared" ca="1" si="40"/>
        <v>0</v>
      </c>
      <c r="D231" s="42">
        <f ca="1">COUNTIF(E:E,combined_tbl!$E231)</f>
        <v>9</v>
      </c>
      <c r="E231" s="24" t="str">
        <f t="shared" ca="1" si="46"/>
        <v>Customer029</v>
      </c>
      <c r="F231" s="24" t="str" cm="1">
        <f t="array" aca="1" ref="F231" ca="1">INDEX({"Male","Female"}, RANDBETWEEN(1,2))</f>
        <v>Male</v>
      </c>
      <c r="G231" s="29" t="str">
        <f t="shared" ca="1" si="39"/>
        <v>East</v>
      </c>
      <c r="H231" s="48">
        <f t="shared" ca="1" si="41"/>
        <v>45991</v>
      </c>
      <c r="I231" s="24">
        <f t="shared" ca="1" si="42"/>
        <v>30</v>
      </c>
      <c r="J231" s="46" t="str">
        <f t="shared" ca="1" si="47"/>
        <v>November</v>
      </c>
      <c r="K231" s="24">
        <f t="shared" ca="1" si="43"/>
        <v>2025</v>
      </c>
      <c r="L231" s="24" t="str">
        <f t="shared" ca="1" si="44"/>
        <v>Bronze</v>
      </c>
      <c r="M231" s="24">
        <v>231</v>
      </c>
      <c r="N231" s="24" t="s">
        <v>954</v>
      </c>
      <c r="O231" s="24" t="s">
        <v>1089</v>
      </c>
      <c r="P231" s="26">
        <v>196</v>
      </c>
      <c r="Q231" s="26">
        <v>262.64000000000004</v>
      </c>
      <c r="R231" s="24">
        <v>231</v>
      </c>
      <c r="S231" s="24" t="str">
        <f t="shared" si="45"/>
        <v>Oct</v>
      </c>
      <c r="T231" s="46">
        <v>45951</v>
      </c>
      <c r="U231" s="24">
        <v>6</v>
      </c>
      <c r="V231" s="37">
        <v>204</v>
      </c>
      <c r="W231" s="24">
        <v>63</v>
      </c>
      <c r="X231" s="24">
        <v>2</v>
      </c>
      <c r="Y231" s="26">
        <f>combined_tbl!$Q231*(1-combined_tbl!$Z231)</f>
        <v>249.50800000000004</v>
      </c>
      <c r="Z231" s="27">
        <f>IF(combined_tbl!$Q231&gt;=500,0.2, IF(combined_tbl!$Q231&gt;=200,0.05, IF(combined_tbl!$X231&gt;=2,0.05,0)))</f>
        <v>0.05</v>
      </c>
      <c r="AA231" s="26">
        <f>combined_tbl!$Y231*combined_tbl!$X231</f>
        <v>499.01600000000008</v>
      </c>
      <c r="AB231" s="28">
        <f>(combined_tbl!$Q231*(1+combined_tbl!$Z231)-combined_tbl!$P231)*combined_tbl!$X231</f>
        <v>159.5440000000001</v>
      </c>
    </row>
    <row r="232" spans="1:28" x14ac:dyDescent="0.3">
      <c r="A232" s="29">
        <v>231</v>
      </c>
      <c r="B232" s="25" cm="1">
        <f t="array" aca="1" ref="B232" ca="1">MIN(IF($E:$E=E232,$H:$H))</f>
        <v>45182</v>
      </c>
      <c r="C232" s="25">
        <f t="shared" ca="1" si="40"/>
        <v>26</v>
      </c>
      <c r="D232" s="43">
        <f ca="1">COUNTIF(E:E,combined_tbl!$E232)</f>
        <v>13</v>
      </c>
      <c r="E232" s="29" t="str">
        <f t="shared" ca="1" si="46"/>
        <v>Customer024</v>
      </c>
      <c r="F232" s="29" t="str" cm="1">
        <f t="array" aca="1" ref="F232" ca="1">INDEX({"Male","Female"}, RANDBETWEEN(1,2))</f>
        <v>Male</v>
      </c>
      <c r="G232" s="29" t="str">
        <f t="shared" ca="1" si="39"/>
        <v>East</v>
      </c>
      <c r="H232" s="48">
        <f t="shared" ca="1" si="41"/>
        <v>45182</v>
      </c>
      <c r="I232" s="24">
        <f t="shared" ca="1" si="42"/>
        <v>13</v>
      </c>
      <c r="J232" s="46" t="str">
        <f t="shared" ca="1" si="47"/>
        <v>September</v>
      </c>
      <c r="K232" s="24">
        <f t="shared" ca="1" si="43"/>
        <v>2023</v>
      </c>
      <c r="L232" s="24" t="str">
        <f t="shared" ca="1" si="44"/>
        <v>Platinum</v>
      </c>
      <c r="M232" s="29">
        <v>232</v>
      </c>
      <c r="N232" s="29" t="s">
        <v>1359</v>
      </c>
      <c r="O232" s="29" t="s">
        <v>1090</v>
      </c>
      <c r="P232" s="30">
        <v>230</v>
      </c>
      <c r="Q232" s="30">
        <v>269.09999999999997</v>
      </c>
      <c r="R232" s="29">
        <v>232</v>
      </c>
      <c r="S232" s="24" t="str">
        <f t="shared" si="45"/>
        <v>May</v>
      </c>
      <c r="T232" s="47">
        <v>45074</v>
      </c>
      <c r="U232" s="29">
        <v>7</v>
      </c>
      <c r="V232" s="38">
        <v>29</v>
      </c>
      <c r="W232" s="29">
        <v>4</v>
      </c>
      <c r="X232" s="29">
        <v>1</v>
      </c>
      <c r="Y232" s="30">
        <f>combined_tbl!$Q232*(1-combined_tbl!$Z232)</f>
        <v>255.64499999999995</v>
      </c>
      <c r="Z232" s="31">
        <f>IF(combined_tbl!$Q232&gt;=500,0.2, IF(combined_tbl!$Q232&gt;=200,0.05, IF(combined_tbl!$X232&gt;=2,0.05,0)))</f>
        <v>0.05</v>
      </c>
      <c r="AA232" s="30">
        <f>combined_tbl!$Y232*combined_tbl!$X232</f>
        <v>255.64499999999995</v>
      </c>
      <c r="AB232" s="32">
        <f>(combined_tbl!$Q232*(1+combined_tbl!$Z232)-combined_tbl!$P232)*combined_tbl!$X232</f>
        <v>52.55499999999995</v>
      </c>
    </row>
    <row r="233" spans="1:28" x14ac:dyDescent="0.3">
      <c r="A233" s="29">
        <v>232</v>
      </c>
      <c r="B233" s="25" cm="1">
        <f t="array" aca="1" ref="B233" ca="1">MIN(IF($E:$E=E233,$H:$H))</f>
        <v>45438</v>
      </c>
      <c r="C233" s="25">
        <f t="shared" ca="1" si="40"/>
        <v>18</v>
      </c>
      <c r="D233" s="42">
        <f ca="1">COUNTIF(E:E,combined_tbl!$E233)</f>
        <v>2</v>
      </c>
      <c r="E233" s="24" t="str">
        <f t="shared" ca="1" si="46"/>
        <v>Customer136</v>
      </c>
      <c r="F233" s="24" t="str" cm="1">
        <f t="array" aca="1" ref="F233" ca="1">INDEX({"Male","Female"}, RANDBETWEEN(1,2))</f>
        <v>Male</v>
      </c>
      <c r="G233" s="29" t="str">
        <f t="shared" ca="1" si="39"/>
        <v>South</v>
      </c>
      <c r="H233" s="48">
        <f t="shared" ca="1" si="41"/>
        <v>45438</v>
      </c>
      <c r="I233" s="24">
        <f t="shared" ca="1" si="42"/>
        <v>26</v>
      </c>
      <c r="J233" s="46" t="str">
        <f t="shared" ca="1" si="47"/>
        <v>May</v>
      </c>
      <c r="K233" s="24">
        <f t="shared" ca="1" si="43"/>
        <v>2024</v>
      </c>
      <c r="L233" s="24" t="str">
        <f t="shared" ca="1" si="44"/>
        <v>Bronze</v>
      </c>
      <c r="M233" s="24">
        <v>233</v>
      </c>
      <c r="N233" s="24" t="s">
        <v>1359</v>
      </c>
      <c r="O233" s="24" t="s">
        <v>1091</v>
      </c>
      <c r="P233" s="26">
        <v>246</v>
      </c>
      <c r="Q233" s="26">
        <v>275.52000000000004</v>
      </c>
      <c r="R233" s="24">
        <v>233</v>
      </c>
      <c r="S233" s="24" t="str">
        <f t="shared" si="45"/>
        <v>Mar</v>
      </c>
      <c r="T233" s="46">
        <v>45013</v>
      </c>
      <c r="U233" s="24">
        <v>7</v>
      </c>
      <c r="V233" s="37">
        <v>116</v>
      </c>
      <c r="W233" s="24">
        <v>97</v>
      </c>
      <c r="X233" s="24">
        <v>1</v>
      </c>
      <c r="Y233" s="26">
        <f>combined_tbl!$Q233*(1-combined_tbl!$Z233)</f>
        <v>261.74400000000003</v>
      </c>
      <c r="Z233" s="27">
        <f>IF(combined_tbl!$Q233&gt;=500,0.2, IF(combined_tbl!$Q233&gt;=200,0.05, IF(combined_tbl!$X233&gt;=2,0.05,0)))</f>
        <v>0.05</v>
      </c>
      <c r="AA233" s="26">
        <f>combined_tbl!$Y233*combined_tbl!$X233</f>
        <v>261.74400000000003</v>
      </c>
      <c r="AB233" s="28">
        <f>(combined_tbl!$Q233*(1+combined_tbl!$Z233)-combined_tbl!$P233)*combined_tbl!$X233</f>
        <v>43.296000000000049</v>
      </c>
    </row>
    <row r="234" spans="1:28" x14ac:dyDescent="0.3">
      <c r="A234" s="19">
        <v>233</v>
      </c>
      <c r="B234" s="25" cm="1">
        <f t="array" aca="1" ref="B234" ca="1">MIN(IF($E:$E=E234,$H:$H))</f>
        <v>45307</v>
      </c>
      <c r="C234" s="25">
        <f t="shared" ca="1" si="40"/>
        <v>22</v>
      </c>
      <c r="D234" s="43">
        <f ca="1">COUNTIF(E:E,combined_tbl!$E234)</f>
        <v>5</v>
      </c>
      <c r="E234" s="29" t="str">
        <f t="shared" ca="1" si="46"/>
        <v>Customer063</v>
      </c>
      <c r="F234" s="29" t="str" cm="1">
        <f t="array" aca="1" ref="F234" ca="1">INDEX({"Male","Female"}, RANDBETWEEN(1,2))</f>
        <v>Female</v>
      </c>
      <c r="G234" s="29" t="str">
        <f t="shared" ca="1" si="39"/>
        <v>North</v>
      </c>
      <c r="H234" s="48">
        <f t="shared" ca="1" si="41"/>
        <v>45307</v>
      </c>
      <c r="I234" s="24">
        <f t="shared" ca="1" si="42"/>
        <v>16</v>
      </c>
      <c r="J234" s="46" t="str">
        <f t="shared" ca="1" si="47"/>
        <v>January</v>
      </c>
      <c r="K234" s="24">
        <f t="shared" ca="1" si="43"/>
        <v>2024</v>
      </c>
      <c r="L234" s="24" t="str">
        <f t="shared" ca="1" si="44"/>
        <v>Silver</v>
      </c>
      <c r="M234" s="29">
        <v>234</v>
      </c>
      <c r="N234" s="29" t="s">
        <v>837</v>
      </c>
      <c r="O234" s="29" t="s">
        <v>1092</v>
      </c>
      <c r="P234" s="30">
        <v>45</v>
      </c>
      <c r="Q234" s="30">
        <v>65.7</v>
      </c>
      <c r="R234" s="29">
        <v>234</v>
      </c>
      <c r="S234" s="24" t="str">
        <f t="shared" si="45"/>
        <v>Feb</v>
      </c>
      <c r="T234" s="47">
        <v>44965</v>
      </c>
      <c r="U234" s="29">
        <v>8</v>
      </c>
      <c r="V234" s="38">
        <v>182</v>
      </c>
      <c r="W234" s="29">
        <v>54</v>
      </c>
      <c r="X234" s="29">
        <v>2</v>
      </c>
      <c r="Y234" s="30">
        <f>combined_tbl!$Q234*(1-combined_tbl!$Z234)</f>
        <v>62.414999999999999</v>
      </c>
      <c r="Z234" s="31">
        <f>IF(combined_tbl!$Q234&gt;=500,0.2, IF(combined_tbl!$Q234&gt;=200,0.05, IF(combined_tbl!$X234&gt;=2,0.05,0)))</f>
        <v>0.05</v>
      </c>
      <c r="AA234" s="30">
        <f>combined_tbl!$Y234*combined_tbl!$X234</f>
        <v>124.83</v>
      </c>
      <c r="AB234" s="32">
        <f>(combined_tbl!$Q234*(1+combined_tbl!$Z234)-combined_tbl!$P234)*combined_tbl!$X234</f>
        <v>47.97</v>
      </c>
    </row>
    <row r="235" spans="1:28" x14ac:dyDescent="0.3">
      <c r="A235" s="24">
        <v>234</v>
      </c>
      <c r="B235" s="25" cm="1">
        <f t="array" aca="1" ref="B235" ca="1">MIN(IF($E:$E=E235,$H:$H))</f>
        <v>45400</v>
      </c>
      <c r="C235" s="25">
        <f t="shared" ca="1" si="40"/>
        <v>19</v>
      </c>
      <c r="D235" s="42">
        <f ca="1">COUNTIF(E:E,combined_tbl!$E235)</f>
        <v>5</v>
      </c>
      <c r="E235" s="24" t="str">
        <f t="shared" ca="1" si="46"/>
        <v>Customer071</v>
      </c>
      <c r="F235" s="24" t="str" cm="1">
        <f t="array" aca="1" ref="F235" ca="1">INDEX({"Male","Female"}, RANDBETWEEN(1,2))</f>
        <v>Female</v>
      </c>
      <c r="G235" s="29" t="str">
        <f t="shared" ca="1" si="39"/>
        <v>West</v>
      </c>
      <c r="H235" s="48">
        <f t="shared" ca="1" si="41"/>
        <v>45400</v>
      </c>
      <c r="I235" s="24">
        <f t="shared" ca="1" si="42"/>
        <v>18</v>
      </c>
      <c r="J235" s="46" t="str">
        <f t="shared" ca="1" si="47"/>
        <v>April</v>
      </c>
      <c r="K235" s="24">
        <f t="shared" ca="1" si="43"/>
        <v>2024</v>
      </c>
      <c r="L235" s="24" t="str">
        <f t="shared" ca="1" si="44"/>
        <v>Silver</v>
      </c>
      <c r="M235" s="24">
        <v>235</v>
      </c>
      <c r="N235" s="24" t="s">
        <v>837</v>
      </c>
      <c r="O235" s="24" t="s">
        <v>1093</v>
      </c>
      <c r="P235" s="26">
        <v>35</v>
      </c>
      <c r="Q235" s="26">
        <v>49.699999999999996</v>
      </c>
      <c r="R235" s="24">
        <v>235</v>
      </c>
      <c r="S235" s="24" t="str">
        <f t="shared" si="45"/>
        <v>Jun</v>
      </c>
      <c r="T235" s="46">
        <v>45086</v>
      </c>
      <c r="U235" s="24">
        <v>6</v>
      </c>
      <c r="V235" s="37">
        <v>27</v>
      </c>
      <c r="W235" s="24">
        <v>46</v>
      </c>
      <c r="X235" s="24">
        <v>1</v>
      </c>
      <c r="Y235" s="26">
        <f>combined_tbl!$Q235*(1-combined_tbl!$Z235)</f>
        <v>49.699999999999996</v>
      </c>
      <c r="Z235" s="27">
        <f>IF(combined_tbl!$Q235&gt;=500,0.2, IF(combined_tbl!$Q235&gt;=200,0.05, IF(combined_tbl!$X235&gt;=2,0.05,0)))</f>
        <v>0</v>
      </c>
      <c r="AA235" s="26">
        <f>combined_tbl!$Y235*combined_tbl!$X235</f>
        <v>49.699999999999996</v>
      </c>
      <c r="AB235" s="28">
        <f>(combined_tbl!$Q235*(1+combined_tbl!$Z235)-combined_tbl!$P235)*combined_tbl!$X235</f>
        <v>14.699999999999996</v>
      </c>
    </row>
    <row r="236" spans="1:28" x14ac:dyDescent="0.3">
      <c r="A236" s="29">
        <v>235</v>
      </c>
      <c r="B236" s="25" cm="1">
        <f t="array" aca="1" ref="B236" ca="1">MIN(IF($E:$E=E236,$H:$H))</f>
        <v>45787</v>
      </c>
      <c r="C236" s="25">
        <f t="shared" ca="1" si="40"/>
        <v>6</v>
      </c>
      <c r="D236" s="43">
        <f ca="1">COUNTIF(E:E,combined_tbl!$E236)</f>
        <v>8</v>
      </c>
      <c r="E236" s="29" t="str">
        <f t="shared" ca="1" si="46"/>
        <v>Customer006</v>
      </c>
      <c r="F236" s="29" t="str" cm="1">
        <f t="array" aca="1" ref="F236" ca="1">INDEX({"Male","Female"}, RANDBETWEEN(1,2))</f>
        <v>Male</v>
      </c>
      <c r="G236" s="29" t="str">
        <f t="shared" ca="1" si="39"/>
        <v>North</v>
      </c>
      <c r="H236" s="48">
        <f t="shared" ca="1" si="41"/>
        <v>45787</v>
      </c>
      <c r="I236" s="24">
        <f t="shared" ca="1" si="42"/>
        <v>10</v>
      </c>
      <c r="J236" s="46" t="str">
        <f t="shared" ca="1" si="47"/>
        <v>May</v>
      </c>
      <c r="K236" s="24">
        <f t="shared" ca="1" si="43"/>
        <v>2025</v>
      </c>
      <c r="L236" s="24" t="str">
        <f t="shared" ca="1" si="44"/>
        <v>Bronze</v>
      </c>
      <c r="M236" s="29">
        <v>236</v>
      </c>
      <c r="N236" s="29" t="s">
        <v>837</v>
      </c>
      <c r="O236" s="29" t="s">
        <v>1094</v>
      </c>
      <c r="P236" s="30">
        <v>154</v>
      </c>
      <c r="Q236" s="30">
        <v>229.46</v>
      </c>
      <c r="R236" s="29">
        <v>236</v>
      </c>
      <c r="S236" s="24" t="str">
        <f t="shared" si="45"/>
        <v>May</v>
      </c>
      <c r="T236" s="47">
        <v>45806</v>
      </c>
      <c r="U236" s="29">
        <v>7</v>
      </c>
      <c r="V236" s="38">
        <v>114</v>
      </c>
      <c r="W236" s="29">
        <v>14</v>
      </c>
      <c r="X236" s="29">
        <v>2</v>
      </c>
      <c r="Y236" s="30">
        <f>combined_tbl!$Q236*(1-combined_tbl!$Z236)</f>
        <v>217.98699999999999</v>
      </c>
      <c r="Z236" s="31">
        <f>IF(combined_tbl!$Q236&gt;=500,0.2, IF(combined_tbl!$Q236&gt;=200,0.05, IF(combined_tbl!$X236&gt;=2,0.05,0)))</f>
        <v>0.05</v>
      </c>
      <c r="AA236" s="30">
        <f>combined_tbl!$Y236*combined_tbl!$X236</f>
        <v>435.97399999999999</v>
      </c>
      <c r="AB236" s="32">
        <f>(combined_tbl!$Q236*(1+combined_tbl!$Z236)-combined_tbl!$P236)*combined_tbl!$X236</f>
        <v>173.86600000000004</v>
      </c>
    </row>
    <row r="237" spans="1:28" x14ac:dyDescent="0.3">
      <c r="A237" s="29">
        <v>236</v>
      </c>
      <c r="B237" s="25" cm="1">
        <f t="array" aca="1" ref="B237" ca="1">MIN(IF($E:$E=E237,$H:$H))</f>
        <v>45896</v>
      </c>
      <c r="C237" s="25">
        <f t="shared" ca="1" si="40"/>
        <v>3</v>
      </c>
      <c r="D237" s="42">
        <f ca="1">COUNTIF(E:E,combined_tbl!$E237)</f>
        <v>10</v>
      </c>
      <c r="E237" s="24" t="str">
        <f t="shared" ca="1" si="46"/>
        <v>Customer004</v>
      </c>
      <c r="F237" s="24" t="str" cm="1">
        <f t="array" aca="1" ref="F237" ca="1">INDEX({"Male","Female"}, RANDBETWEEN(1,2))</f>
        <v>Female</v>
      </c>
      <c r="G237" s="29" t="str">
        <f t="shared" ca="1" si="39"/>
        <v>West</v>
      </c>
      <c r="H237" s="48">
        <f t="shared" ca="1" si="41"/>
        <v>45896</v>
      </c>
      <c r="I237" s="24">
        <f t="shared" ca="1" si="42"/>
        <v>27</v>
      </c>
      <c r="J237" s="46" t="str">
        <f t="shared" ca="1" si="47"/>
        <v>August</v>
      </c>
      <c r="K237" s="24">
        <f t="shared" ca="1" si="43"/>
        <v>2025</v>
      </c>
      <c r="L237" s="24" t="str">
        <f t="shared" ca="1" si="44"/>
        <v>Bronze</v>
      </c>
      <c r="M237" s="24">
        <v>237</v>
      </c>
      <c r="N237" s="24" t="s">
        <v>831</v>
      </c>
      <c r="O237" s="24" t="s">
        <v>1095</v>
      </c>
      <c r="P237" s="26">
        <v>244</v>
      </c>
      <c r="Q237" s="26">
        <v>305</v>
      </c>
      <c r="R237" s="24">
        <v>237</v>
      </c>
      <c r="S237" s="24" t="str">
        <f t="shared" si="45"/>
        <v>May</v>
      </c>
      <c r="T237" s="46">
        <v>45782</v>
      </c>
      <c r="U237" s="24">
        <v>5</v>
      </c>
      <c r="V237" s="37">
        <v>179</v>
      </c>
      <c r="W237" s="24">
        <v>73</v>
      </c>
      <c r="X237" s="24">
        <v>1</v>
      </c>
      <c r="Y237" s="26">
        <f>combined_tbl!$Q237*(1-combined_tbl!$Z237)</f>
        <v>289.75</v>
      </c>
      <c r="Z237" s="27">
        <f>IF(combined_tbl!$Q237&gt;=500,0.2, IF(combined_tbl!$Q237&gt;=200,0.05, IF(combined_tbl!$X237&gt;=2,0.05,0)))</f>
        <v>0.05</v>
      </c>
      <c r="AA237" s="26">
        <f>combined_tbl!$Y237*combined_tbl!$X237</f>
        <v>289.75</v>
      </c>
      <c r="AB237" s="28">
        <f>(combined_tbl!$Q237*(1+combined_tbl!$Z237)-combined_tbl!$P237)*combined_tbl!$X237</f>
        <v>76.25</v>
      </c>
    </row>
    <row r="238" spans="1:28" x14ac:dyDescent="0.3">
      <c r="A238" s="29">
        <v>237</v>
      </c>
      <c r="B238" s="25" cm="1">
        <f t="array" aca="1" ref="B238" ca="1">MIN(IF($E:$E=E238,$H:$H))</f>
        <v>45582</v>
      </c>
      <c r="C238" s="25">
        <f t="shared" ca="1" si="40"/>
        <v>13</v>
      </c>
      <c r="D238" s="43">
        <f ca="1">COUNTIF(E:E,combined_tbl!$E238)</f>
        <v>11</v>
      </c>
      <c r="E238" s="29" t="str">
        <f t="shared" ca="1" si="46"/>
        <v>Customer002</v>
      </c>
      <c r="F238" s="29" t="str" cm="1">
        <f t="array" aca="1" ref="F238" ca="1">INDEX({"Male","Female"}, RANDBETWEEN(1,2))</f>
        <v>Male</v>
      </c>
      <c r="G238" s="29" t="str">
        <f t="shared" ca="1" si="39"/>
        <v>East</v>
      </c>
      <c r="H238" s="48">
        <f t="shared" ca="1" si="41"/>
        <v>45582</v>
      </c>
      <c r="I238" s="24">
        <f t="shared" ca="1" si="42"/>
        <v>17</v>
      </c>
      <c r="J238" s="46" t="str">
        <f t="shared" ca="1" si="47"/>
        <v>October</v>
      </c>
      <c r="K238" s="24">
        <f t="shared" ca="1" si="43"/>
        <v>2024</v>
      </c>
      <c r="L238" s="24" t="str">
        <f t="shared" ca="1" si="44"/>
        <v>Silver</v>
      </c>
      <c r="M238" s="29">
        <v>238</v>
      </c>
      <c r="N238" s="29" t="s">
        <v>872</v>
      </c>
      <c r="O238" s="29" t="s">
        <v>1096</v>
      </c>
      <c r="P238" s="30">
        <v>94</v>
      </c>
      <c r="Q238" s="30">
        <v>136.29999999999998</v>
      </c>
      <c r="R238" s="29">
        <v>238</v>
      </c>
      <c r="S238" s="24" t="str">
        <f t="shared" si="45"/>
        <v>Aug</v>
      </c>
      <c r="T238" s="47">
        <v>45162</v>
      </c>
      <c r="U238" s="29">
        <v>7</v>
      </c>
      <c r="V238" s="38">
        <v>108</v>
      </c>
      <c r="W238" s="29">
        <v>42</v>
      </c>
      <c r="X238" s="29">
        <v>1</v>
      </c>
      <c r="Y238" s="30">
        <f>combined_tbl!$Q238*(1-combined_tbl!$Z238)</f>
        <v>136.29999999999998</v>
      </c>
      <c r="Z238" s="31">
        <f>IF(combined_tbl!$Q238&gt;=500,0.2, IF(combined_tbl!$Q238&gt;=200,0.05, IF(combined_tbl!$X238&gt;=2,0.05,0)))</f>
        <v>0</v>
      </c>
      <c r="AA238" s="30">
        <f>combined_tbl!$Y238*combined_tbl!$X238</f>
        <v>136.29999999999998</v>
      </c>
      <c r="AB238" s="32">
        <f>(combined_tbl!$Q238*(1+combined_tbl!$Z238)-combined_tbl!$P238)*combined_tbl!$X238</f>
        <v>42.299999999999983</v>
      </c>
    </row>
    <row r="239" spans="1:28" x14ac:dyDescent="0.3">
      <c r="A239" s="29">
        <v>238</v>
      </c>
      <c r="B239" s="25" cm="1">
        <f t="array" aca="1" ref="B239" ca="1">MIN(IF($E:$E=E239,$H:$H))</f>
        <v>45580</v>
      </c>
      <c r="C239" s="25">
        <f t="shared" ca="1" si="40"/>
        <v>13</v>
      </c>
      <c r="D239" s="42">
        <f ca="1">COUNTIF(E:E,combined_tbl!$E239)</f>
        <v>4</v>
      </c>
      <c r="E239" s="24" t="str">
        <f t="shared" ca="1" si="46"/>
        <v>Customer064</v>
      </c>
      <c r="F239" s="24" t="str" cm="1">
        <f t="array" aca="1" ref="F239" ca="1">INDEX({"Male","Female"}, RANDBETWEEN(1,2))</f>
        <v>Female</v>
      </c>
      <c r="G239" s="29" t="str">
        <f t="shared" ca="1" si="39"/>
        <v>East</v>
      </c>
      <c r="H239" s="48">
        <f t="shared" ca="1" si="41"/>
        <v>45580</v>
      </c>
      <c r="I239" s="24">
        <f t="shared" ca="1" si="42"/>
        <v>15</v>
      </c>
      <c r="J239" s="46" t="str">
        <f t="shared" ca="1" si="47"/>
        <v>October</v>
      </c>
      <c r="K239" s="24">
        <f t="shared" ca="1" si="43"/>
        <v>2024</v>
      </c>
      <c r="L239" s="24" t="str">
        <f t="shared" ca="1" si="44"/>
        <v>Silver</v>
      </c>
      <c r="M239" s="24">
        <v>239</v>
      </c>
      <c r="N239" s="24" t="s">
        <v>831</v>
      </c>
      <c r="O239" s="24" t="s">
        <v>1097</v>
      </c>
      <c r="P239" s="26">
        <v>181</v>
      </c>
      <c r="Q239" s="26">
        <v>235.3</v>
      </c>
      <c r="R239" s="24">
        <v>239</v>
      </c>
      <c r="S239" s="24" t="str">
        <f t="shared" si="45"/>
        <v>Feb</v>
      </c>
      <c r="T239" s="46">
        <v>44969</v>
      </c>
      <c r="U239" s="24">
        <v>6</v>
      </c>
      <c r="V239" s="37">
        <v>185</v>
      </c>
      <c r="W239" s="24">
        <v>30</v>
      </c>
      <c r="X239" s="24">
        <v>2</v>
      </c>
      <c r="Y239" s="26">
        <f>combined_tbl!$Q239*(1-combined_tbl!$Z239)</f>
        <v>223.535</v>
      </c>
      <c r="Z239" s="27">
        <f>IF(combined_tbl!$Q239&gt;=500,0.2, IF(combined_tbl!$Q239&gt;=200,0.05, IF(combined_tbl!$X239&gt;=2,0.05,0)))</f>
        <v>0.05</v>
      </c>
      <c r="AA239" s="26">
        <f>combined_tbl!$Y239*combined_tbl!$X239</f>
        <v>447.07</v>
      </c>
      <c r="AB239" s="28">
        <f>(combined_tbl!$Q239*(1+combined_tbl!$Z239)-combined_tbl!$P239)*combined_tbl!$X239</f>
        <v>132.13000000000005</v>
      </c>
    </row>
    <row r="240" spans="1:28" x14ac:dyDescent="0.3">
      <c r="A240" s="29">
        <v>239</v>
      </c>
      <c r="B240" s="25" cm="1">
        <f t="array" aca="1" ref="B240" ca="1">MIN(IF($E:$E=E240,$H:$H))</f>
        <v>45103</v>
      </c>
      <c r="C240" s="25">
        <f t="shared" ca="1" si="40"/>
        <v>29</v>
      </c>
      <c r="D240" s="43">
        <f ca="1">COUNTIF(E:E,combined_tbl!$E240)</f>
        <v>8</v>
      </c>
      <c r="E240" s="29" t="str">
        <f t="shared" ca="1" si="46"/>
        <v>Customer014</v>
      </c>
      <c r="F240" s="29" t="str" cm="1">
        <f t="array" aca="1" ref="F240" ca="1">INDEX({"Male","Female"}, RANDBETWEEN(1,2))</f>
        <v>Male</v>
      </c>
      <c r="G240" s="29" t="str">
        <f t="shared" ca="1" si="39"/>
        <v>West</v>
      </c>
      <c r="H240" s="48">
        <f t="shared" ca="1" si="41"/>
        <v>45103</v>
      </c>
      <c r="I240" s="24">
        <f t="shared" ca="1" si="42"/>
        <v>26</v>
      </c>
      <c r="J240" s="46" t="str">
        <f t="shared" ca="1" si="47"/>
        <v>June</v>
      </c>
      <c r="K240" s="24">
        <f t="shared" ca="1" si="43"/>
        <v>2023</v>
      </c>
      <c r="L240" s="24" t="str">
        <f t="shared" ca="1" si="44"/>
        <v>Gold</v>
      </c>
      <c r="M240" s="29">
        <v>240</v>
      </c>
      <c r="N240" s="29" t="s">
        <v>1359</v>
      </c>
      <c r="O240" s="29" t="s">
        <v>1098</v>
      </c>
      <c r="P240" s="30">
        <v>419</v>
      </c>
      <c r="Q240" s="30">
        <v>498.60999999999996</v>
      </c>
      <c r="R240" s="29">
        <v>240</v>
      </c>
      <c r="S240" s="24" t="str">
        <f t="shared" si="45"/>
        <v>Dec</v>
      </c>
      <c r="T240" s="47">
        <v>45278</v>
      </c>
      <c r="U240" s="29">
        <v>8</v>
      </c>
      <c r="V240" s="38">
        <v>2</v>
      </c>
      <c r="W240" s="29">
        <v>59</v>
      </c>
      <c r="X240" s="29">
        <v>2</v>
      </c>
      <c r="Y240" s="30">
        <f>combined_tbl!$Q240*(1-combined_tbl!$Z240)</f>
        <v>473.67949999999996</v>
      </c>
      <c r="Z240" s="31">
        <f>IF(combined_tbl!$Q240&gt;=500,0.2, IF(combined_tbl!$Q240&gt;=200,0.05, IF(combined_tbl!$X240&gt;=2,0.05,0)))</f>
        <v>0.05</v>
      </c>
      <c r="AA240" s="30">
        <f>combined_tbl!$Y240*combined_tbl!$X240</f>
        <v>947.35899999999992</v>
      </c>
      <c r="AB240" s="32">
        <f>(combined_tbl!$Q240*(1+combined_tbl!$Z240)-combined_tbl!$P240)*combined_tbl!$X240</f>
        <v>209.0809999999999</v>
      </c>
    </row>
    <row r="241" spans="1:28" x14ac:dyDescent="0.3">
      <c r="A241" s="29">
        <v>240</v>
      </c>
      <c r="B241" s="25" cm="1">
        <f t="array" aca="1" ref="B241" ca="1">MIN(IF($E:$E=E241,$H:$H))</f>
        <v>45260</v>
      </c>
      <c r="C241" s="25">
        <f t="shared" ca="1" si="40"/>
        <v>24</v>
      </c>
      <c r="D241" s="42">
        <f ca="1">COUNTIF(E:E,combined_tbl!$E241)</f>
        <v>13</v>
      </c>
      <c r="E241" s="24" t="str">
        <f t="shared" ca="1" si="46"/>
        <v>Customer001</v>
      </c>
      <c r="F241" s="24" t="str" cm="1">
        <f t="array" aca="1" ref="F241" ca="1">INDEX({"Male","Female"}, RANDBETWEEN(1,2))</f>
        <v>Female</v>
      </c>
      <c r="G241" s="29" t="str">
        <f t="shared" ca="1" si="39"/>
        <v>South</v>
      </c>
      <c r="H241" s="48">
        <f t="shared" ca="1" si="41"/>
        <v>45260</v>
      </c>
      <c r="I241" s="24">
        <f t="shared" ca="1" si="42"/>
        <v>30</v>
      </c>
      <c r="J241" s="46" t="str">
        <f t="shared" ca="1" si="47"/>
        <v>November</v>
      </c>
      <c r="K241" s="24">
        <f t="shared" ca="1" si="43"/>
        <v>2023</v>
      </c>
      <c r="L241" s="24" t="str">
        <f t="shared" ca="1" si="44"/>
        <v>Platinum</v>
      </c>
      <c r="M241" s="24">
        <v>241</v>
      </c>
      <c r="N241" s="24" t="s">
        <v>957</v>
      </c>
      <c r="O241" s="24" t="s">
        <v>1099</v>
      </c>
      <c r="P241" s="26">
        <v>131</v>
      </c>
      <c r="Q241" s="26">
        <v>159.82</v>
      </c>
      <c r="R241" s="24">
        <v>241</v>
      </c>
      <c r="S241" s="24" t="str">
        <f t="shared" si="45"/>
        <v>Jan</v>
      </c>
      <c r="T241" s="46">
        <v>45668</v>
      </c>
      <c r="U241" s="24">
        <v>2</v>
      </c>
      <c r="V241" s="37">
        <v>149</v>
      </c>
      <c r="W241" s="24">
        <v>17</v>
      </c>
      <c r="X241" s="24">
        <v>1</v>
      </c>
      <c r="Y241" s="26">
        <f>combined_tbl!$Q241*(1-combined_tbl!$Z241)</f>
        <v>159.82</v>
      </c>
      <c r="Z241" s="27">
        <f>IF(combined_tbl!$Q241&gt;=500,0.2, IF(combined_tbl!$Q241&gt;=200,0.05, IF(combined_tbl!$X241&gt;=2,0.05,0)))</f>
        <v>0</v>
      </c>
      <c r="AA241" s="26">
        <f>combined_tbl!$Y241*combined_tbl!$X241</f>
        <v>159.82</v>
      </c>
      <c r="AB241" s="28">
        <f>(combined_tbl!$Q241*(1+combined_tbl!$Z241)-combined_tbl!$P241)*combined_tbl!$X241</f>
        <v>28.819999999999993</v>
      </c>
    </row>
    <row r="242" spans="1:28" x14ac:dyDescent="0.3">
      <c r="A242" s="19">
        <v>241</v>
      </c>
      <c r="B242" s="25" cm="1">
        <f t="array" aca="1" ref="B242" ca="1">MIN(IF($E:$E=E242,$H:$H))</f>
        <v>45896</v>
      </c>
      <c r="C242" s="25">
        <f t="shared" ca="1" si="40"/>
        <v>3</v>
      </c>
      <c r="D242" s="43">
        <f ca="1">COUNTIF(E:E,combined_tbl!$E242)</f>
        <v>10</v>
      </c>
      <c r="E242" s="29" t="str">
        <f t="shared" ca="1" si="46"/>
        <v>Customer004</v>
      </c>
      <c r="F242" s="29" t="str" cm="1">
        <f t="array" aca="1" ref="F242" ca="1">INDEX({"Male","Female"}, RANDBETWEEN(1,2))</f>
        <v>Female</v>
      </c>
      <c r="G242" s="29" t="str">
        <f t="shared" ca="1" si="39"/>
        <v>West</v>
      </c>
      <c r="H242" s="48">
        <f t="shared" ca="1" si="41"/>
        <v>45896</v>
      </c>
      <c r="I242" s="24">
        <f t="shared" ca="1" si="42"/>
        <v>27</v>
      </c>
      <c r="J242" s="46" t="str">
        <f t="shared" ca="1" si="47"/>
        <v>August</v>
      </c>
      <c r="K242" s="24">
        <f t="shared" ca="1" si="43"/>
        <v>2025</v>
      </c>
      <c r="L242" s="24" t="str">
        <f t="shared" ca="1" si="44"/>
        <v>Bronze</v>
      </c>
      <c r="M242" s="29">
        <v>242</v>
      </c>
      <c r="N242" s="29" t="s">
        <v>957</v>
      </c>
      <c r="O242" s="29" t="s">
        <v>1100</v>
      </c>
      <c r="P242" s="30">
        <v>160</v>
      </c>
      <c r="Q242" s="30">
        <v>209.60000000000002</v>
      </c>
      <c r="R242" s="29">
        <v>242</v>
      </c>
      <c r="S242" s="24" t="str">
        <f t="shared" si="45"/>
        <v>Jun</v>
      </c>
      <c r="T242" s="47">
        <v>45821</v>
      </c>
      <c r="U242" s="29">
        <v>2</v>
      </c>
      <c r="V242" s="38">
        <v>202</v>
      </c>
      <c r="W242" s="29">
        <v>55</v>
      </c>
      <c r="X242" s="29">
        <v>1</v>
      </c>
      <c r="Y242" s="30">
        <f>combined_tbl!$Q242*(1-combined_tbl!$Z242)</f>
        <v>199.12</v>
      </c>
      <c r="Z242" s="31">
        <f>IF(combined_tbl!$Q242&gt;=500,0.2, IF(combined_tbl!$Q242&gt;=200,0.05, IF(combined_tbl!$X242&gt;=2,0.05,0)))</f>
        <v>0.05</v>
      </c>
      <c r="AA242" s="30">
        <f>combined_tbl!$Y242*combined_tbl!$X242</f>
        <v>199.12</v>
      </c>
      <c r="AB242" s="32">
        <f>(combined_tbl!$Q242*(1+combined_tbl!$Z242)-combined_tbl!$P242)*combined_tbl!$X242</f>
        <v>60.080000000000041</v>
      </c>
    </row>
    <row r="243" spans="1:28" x14ac:dyDescent="0.3">
      <c r="A243" s="24">
        <v>242</v>
      </c>
      <c r="B243" s="25" cm="1">
        <f t="array" aca="1" ref="B243" ca="1">MIN(IF($E:$E=E243,$H:$H))</f>
        <v>45826</v>
      </c>
      <c r="C243" s="25">
        <f t="shared" ca="1" si="40"/>
        <v>5</v>
      </c>
      <c r="D243" s="42">
        <f ca="1">COUNTIF(E:E,combined_tbl!$E243)</f>
        <v>7</v>
      </c>
      <c r="E243" s="24" t="str">
        <f t="shared" ca="1" si="46"/>
        <v>Customer049</v>
      </c>
      <c r="F243" s="24" t="str" cm="1">
        <f t="array" aca="1" ref="F243" ca="1">INDEX({"Male","Female"}, RANDBETWEEN(1,2))</f>
        <v>Male</v>
      </c>
      <c r="G243" s="29" t="str">
        <f t="shared" ca="1" si="39"/>
        <v>West</v>
      </c>
      <c r="H243" s="48">
        <f t="shared" ca="1" si="41"/>
        <v>45826</v>
      </c>
      <c r="I243" s="24">
        <f t="shared" ca="1" si="42"/>
        <v>18</v>
      </c>
      <c r="J243" s="46" t="str">
        <f t="shared" ca="1" si="47"/>
        <v>June</v>
      </c>
      <c r="K243" s="24">
        <f t="shared" ca="1" si="43"/>
        <v>2025</v>
      </c>
      <c r="L243" s="24" t="str">
        <f t="shared" ca="1" si="44"/>
        <v>Bronze</v>
      </c>
      <c r="M243" s="24">
        <v>243</v>
      </c>
      <c r="N243" s="24" t="s">
        <v>955</v>
      </c>
      <c r="O243" s="24" t="s">
        <v>1101</v>
      </c>
      <c r="P243" s="26">
        <v>284</v>
      </c>
      <c r="Q243" s="26">
        <v>312.40000000000003</v>
      </c>
      <c r="R243" s="24">
        <v>243</v>
      </c>
      <c r="S243" s="24" t="str">
        <f t="shared" si="45"/>
        <v>May</v>
      </c>
      <c r="T243" s="46">
        <v>45425</v>
      </c>
      <c r="U243" s="24">
        <v>7</v>
      </c>
      <c r="V243" s="37">
        <v>168</v>
      </c>
      <c r="W243" s="24">
        <v>16</v>
      </c>
      <c r="X243" s="24">
        <v>1</v>
      </c>
      <c r="Y243" s="26">
        <f>combined_tbl!$Q243*(1-combined_tbl!$Z243)</f>
        <v>296.78000000000003</v>
      </c>
      <c r="Z243" s="27">
        <f>IF(combined_tbl!$Q243&gt;=500,0.2, IF(combined_tbl!$Q243&gt;=200,0.05, IF(combined_tbl!$X243&gt;=2,0.05,0)))</f>
        <v>0.05</v>
      </c>
      <c r="AA243" s="26">
        <f>combined_tbl!$Y243*combined_tbl!$X243</f>
        <v>296.78000000000003</v>
      </c>
      <c r="AB243" s="28">
        <f>(combined_tbl!$Q243*(1+combined_tbl!$Z243)-combined_tbl!$P243)*combined_tbl!$X243</f>
        <v>44.020000000000039</v>
      </c>
    </row>
    <row r="244" spans="1:28" x14ac:dyDescent="0.3">
      <c r="A244" s="29">
        <v>243</v>
      </c>
      <c r="B244" s="25" cm="1">
        <f t="array" aca="1" ref="B244" ca="1">MIN(IF($E:$E=E244,$H:$H))</f>
        <v>45853</v>
      </c>
      <c r="C244" s="25">
        <f t="shared" ca="1" si="40"/>
        <v>4</v>
      </c>
      <c r="D244" s="43">
        <f ca="1">COUNTIF(E:E,combined_tbl!$E244)</f>
        <v>7</v>
      </c>
      <c r="E244" s="29" t="str">
        <f t="shared" ca="1" si="46"/>
        <v>Customer025</v>
      </c>
      <c r="F244" s="29" t="str" cm="1">
        <f t="array" aca="1" ref="F244" ca="1">INDEX({"Male","Female"}, RANDBETWEEN(1,2))</f>
        <v>Female</v>
      </c>
      <c r="G244" s="29" t="str">
        <f t="shared" ca="1" si="39"/>
        <v>West</v>
      </c>
      <c r="H244" s="48">
        <f t="shared" ca="1" si="41"/>
        <v>45853</v>
      </c>
      <c r="I244" s="24">
        <f t="shared" ca="1" si="42"/>
        <v>15</v>
      </c>
      <c r="J244" s="46" t="str">
        <f t="shared" ca="1" si="47"/>
        <v>July</v>
      </c>
      <c r="K244" s="24">
        <f t="shared" ca="1" si="43"/>
        <v>2025</v>
      </c>
      <c r="L244" s="24" t="str">
        <f t="shared" ca="1" si="44"/>
        <v>Bronze</v>
      </c>
      <c r="M244" s="29">
        <v>244</v>
      </c>
      <c r="N244" s="29" t="s">
        <v>837</v>
      </c>
      <c r="O244" s="29" t="s">
        <v>1102</v>
      </c>
      <c r="P244" s="30">
        <v>217</v>
      </c>
      <c r="Q244" s="30">
        <v>286.44</v>
      </c>
      <c r="R244" s="29">
        <v>244</v>
      </c>
      <c r="S244" s="24" t="str">
        <f t="shared" si="45"/>
        <v>Mar</v>
      </c>
      <c r="T244" s="47">
        <v>45747</v>
      </c>
      <c r="U244" s="29">
        <v>2</v>
      </c>
      <c r="V244" s="38">
        <v>165</v>
      </c>
      <c r="W244" s="29">
        <v>83</v>
      </c>
      <c r="X244" s="29">
        <v>3</v>
      </c>
      <c r="Y244" s="30">
        <f>combined_tbl!$Q244*(1-combined_tbl!$Z244)</f>
        <v>272.11799999999999</v>
      </c>
      <c r="Z244" s="31">
        <f>IF(combined_tbl!$Q244&gt;=500,0.2, IF(combined_tbl!$Q244&gt;=200,0.05, IF(combined_tbl!$X244&gt;=2,0.05,0)))</f>
        <v>0.05</v>
      </c>
      <c r="AA244" s="30">
        <f>combined_tbl!$Y244*combined_tbl!$X244</f>
        <v>816.35400000000004</v>
      </c>
      <c r="AB244" s="32">
        <f>(combined_tbl!$Q244*(1+combined_tbl!$Z244)-combined_tbl!$P244)*combined_tbl!$X244</f>
        <v>251.286</v>
      </c>
    </row>
    <row r="245" spans="1:28" x14ac:dyDescent="0.3">
      <c r="A245" s="29">
        <v>244</v>
      </c>
      <c r="B245" s="25" cm="1">
        <f t="array" aca="1" ref="B245" ca="1">MIN(IF($E:$E=E245,$H:$H))</f>
        <v>45433</v>
      </c>
      <c r="C245" s="25">
        <f t="shared" ca="1" si="40"/>
        <v>18</v>
      </c>
      <c r="D245" s="42">
        <f ca="1">COUNTIF(E:E,combined_tbl!$E245)</f>
        <v>6</v>
      </c>
      <c r="E245" s="24" t="str">
        <f t="shared" ca="1" si="46"/>
        <v>Customer066</v>
      </c>
      <c r="F245" s="24" t="str" cm="1">
        <f t="array" aca="1" ref="F245" ca="1">INDEX({"Male","Female"}, RANDBETWEEN(1,2))</f>
        <v>Male</v>
      </c>
      <c r="G245" s="29" t="str">
        <f t="shared" ca="1" si="39"/>
        <v>West</v>
      </c>
      <c r="H245" s="48">
        <f t="shared" ca="1" si="41"/>
        <v>45433</v>
      </c>
      <c r="I245" s="24">
        <f t="shared" ca="1" si="42"/>
        <v>21</v>
      </c>
      <c r="J245" s="46" t="str">
        <f t="shared" ca="1" si="47"/>
        <v>May</v>
      </c>
      <c r="K245" s="24">
        <f t="shared" ca="1" si="43"/>
        <v>2024</v>
      </c>
      <c r="L245" s="24" t="str">
        <f t="shared" ca="1" si="44"/>
        <v>Silver</v>
      </c>
      <c r="M245" s="24">
        <v>245</v>
      </c>
      <c r="N245" s="24" t="s">
        <v>831</v>
      </c>
      <c r="O245" s="24" t="s">
        <v>1103</v>
      </c>
      <c r="P245" s="26">
        <v>37</v>
      </c>
      <c r="Q245" s="26">
        <v>43.66</v>
      </c>
      <c r="R245" s="24">
        <v>245</v>
      </c>
      <c r="S245" s="24" t="str">
        <f t="shared" si="45"/>
        <v>Mar</v>
      </c>
      <c r="T245" s="46">
        <v>45737</v>
      </c>
      <c r="U245" s="24">
        <v>5</v>
      </c>
      <c r="V245" s="37">
        <v>205</v>
      </c>
      <c r="W245" s="24">
        <v>25</v>
      </c>
      <c r="X245" s="24">
        <v>1</v>
      </c>
      <c r="Y245" s="26">
        <f>combined_tbl!$Q245*(1-combined_tbl!$Z245)</f>
        <v>43.66</v>
      </c>
      <c r="Z245" s="27">
        <f>IF(combined_tbl!$Q245&gt;=500,0.2, IF(combined_tbl!$Q245&gt;=200,0.05, IF(combined_tbl!$X245&gt;=2,0.05,0)))</f>
        <v>0</v>
      </c>
      <c r="AA245" s="26">
        <f>combined_tbl!$Y245*combined_tbl!$X245</f>
        <v>43.66</v>
      </c>
      <c r="AB245" s="28">
        <f>(combined_tbl!$Q245*(1+combined_tbl!$Z245)-combined_tbl!$P245)*combined_tbl!$X245</f>
        <v>6.6599999999999966</v>
      </c>
    </row>
    <row r="246" spans="1:28" x14ac:dyDescent="0.3">
      <c r="A246" s="29">
        <v>245</v>
      </c>
      <c r="B246" s="25" cm="1">
        <f t="array" aca="1" ref="B246" ca="1">MIN(IF($E:$E=E246,$H:$H))</f>
        <v>45582</v>
      </c>
      <c r="C246" s="25">
        <f t="shared" ca="1" si="40"/>
        <v>13</v>
      </c>
      <c r="D246" s="43">
        <f ca="1">COUNTIF(E:E,combined_tbl!$E246)</f>
        <v>11</v>
      </c>
      <c r="E246" s="29" t="str">
        <f t="shared" ca="1" si="46"/>
        <v>Customer002</v>
      </c>
      <c r="F246" s="29" t="str" cm="1">
        <f t="array" aca="1" ref="F246" ca="1">INDEX({"Male","Female"}, RANDBETWEEN(1,2))</f>
        <v>Male</v>
      </c>
      <c r="G246" s="29" t="str">
        <f t="shared" ca="1" si="39"/>
        <v>East</v>
      </c>
      <c r="H246" s="48">
        <f t="shared" ca="1" si="41"/>
        <v>45582</v>
      </c>
      <c r="I246" s="24">
        <f t="shared" ca="1" si="42"/>
        <v>17</v>
      </c>
      <c r="J246" s="46" t="str">
        <f t="shared" ca="1" si="47"/>
        <v>October</v>
      </c>
      <c r="K246" s="24">
        <f t="shared" ca="1" si="43"/>
        <v>2024</v>
      </c>
      <c r="L246" s="24" t="str">
        <f t="shared" ca="1" si="44"/>
        <v>Silver</v>
      </c>
      <c r="M246" s="29">
        <v>246</v>
      </c>
      <c r="N246" s="29" t="s">
        <v>957</v>
      </c>
      <c r="O246" s="29" t="s">
        <v>1104</v>
      </c>
      <c r="P246" s="30">
        <v>20</v>
      </c>
      <c r="Q246" s="30">
        <v>25.6</v>
      </c>
      <c r="R246" s="29">
        <v>246</v>
      </c>
      <c r="S246" s="24" t="str">
        <f t="shared" si="45"/>
        <v>Nov</v>
      </c>
      <c r="T246" s="47">
        <v>45622</v>
      </c>
      <c r="U246" s="29">
        <v>4</v>
      </c>
      <c r="V246" s="38">
        <v>216</v>
      </c>
      <c r="W246" s="29">
        <v>40</v>
      </c>
      <c r="X246" s="29">
        <v>1</v>
      </c>
      <c r="Y246" s="30">
        <f>combined_tbl!$Q246*(1-combined_tbl!$Z246)</f>
        <v>25.6</v>
      </c>
      <c r="Z246" s="31">
        <f>IF(combined_tbl!$Q246&gt;=500,0.2, IF(combined_tbl!$Q246&gt;=200,0.05, IF(combined_tbl!$X246&gt;=2,0.05,0)))</f>
        <v>0</v>
      </c>
      <c r="AA246" s="30">
        <f>combined_tbl!$Y246*combined_tbl!$X246</f>
        <v>25.6</v>
      </c>
      <c r="AB246" s="32">
        <f>(combined_tbl!$Q246*(1+combined_tbl!$Z246)-combined_tbl!$P246)*combined_tbl!$X246</f>
        <v>5.6000000000000014</v>
      </c>
    </row>
    <row r="247" spans="1:28" x14ac:dyDescent="0.3">
      <c r="A247" s="29">
        <v>246</v>
      </c>
      <c r="B247" s="25" cm="1">
        <f t="array" aca="1" ref="B247" ca="1">MIN(IF($E:$E=E247,$H:$H))</f>
        <v>45400</v>
      </c>
      <c r="C247" s="25">
        <f t="shared" ca="1" si="40"/>
        <v>19</v>
      </c>
      <c r="D247" s="42">
        <f ca="1">COUNTIF(E:E,combined_tbl!$E247)</f>
        <v>8</v>
      </c>
      <c r="E247" s="24" t="str">
        <f t="shared" ca="1" si="46"/>
        <v>Customer030</v>
      </c>
      <c r="F247" s="24" t="str" cm="1">
        <f t="array" aca="1" ref="F247" ca="1">INDEX({"Male","Female"}, RANDBETWEEN(1,2))</f>
        <v>Male</v>
      </c>
      <c r="G247" s="29" t="str">
        <f t="shared" ref="G247:G310" ca="1" si="48">_xlfn.XLOOKUP(E247,AI$1:AI$139,AF$2:AF$140)</f>
        <v>South</v>
      </c>
      <c r="H247" s="48">
        <f t="shared" ca="1" si="41"/>
        <v>45400</v>
      </c>
      <c r="I247" s="24">
        <f t="shared" ca="1" si="42"/>
        <v>18</v>
      </c>
      <c r="J247" s="46" t="str">
        <f t="shared" ca="1" si="47"/>
        <v>April</v>
      </c>
      <c r="K247" s="24">
        <f t="shared" ca="1" si="43"/>
        <v>2024</v>
      </c>
      <c r="L247" s="24" t="str">
        <f t="shared" ca="1" si="44"/>
        <v>Gold</v>
      </c>
      <c r="M247" s="24">
        <v>247</v>
      </c>
      <c r="N247" s="24" t="s">
        <v>847</v>
      </c>
      <c r="O247" s="24" t="s">
        <v>1105</v>
      </c>
      <c r="P247" s="26">
        <v>122</v>
      </c>
      <c r="Q247" s="26">
        <v>170.79999999999998</v>
      </c>
      <c r="R247" s="24">
        <v>247</v>
      </c>
      <c r="S247" s="24" t="str">
        <f t="shared" si="45"/>
        <v>Nov</v>
      </c>
      <c r="T247" s="46">
        <v>45609</v>
      </c>
      <c r="U247" s="24">
        <v>3</v>
      </c>
      <c r="V247" s="37">
        <v>5</v>
      </c>
      <c r="W247" s="24">
        <v>78</v>
      </c>
      <c r="X247" s="24">
        <v>1</v>
      </c>
      <c r="Y247" s="26">
        <f>combined_tbl!$Q247*(1-combined_tbl!$Z247)</f>
        <v>170.79999999999998</v>
      </c>
      <c r="Z247" s="27">
        <f>IF(combined_tbl!$Q247&gt;=500,0.2, IF(combined_tbl!$Q247&gt;=200,0.05, IF(combined_tbl!$X247&gt;=2,0.05,0)))</f>
        <v>0</v>
      </c>
      <c r="AA247" s="26">
        <f>combined_tbl!$Y247*combined_tbl!$X247</f>
        <v>170.79999999999998</v>
      </c>
      <c r="AB247" s="28">
        <f>(combined_tbl!$Q247*(1+combined_tbl!$Z247)-combined_tbl!$P247)*combined_tbl!$X247</f>
        <v>48.799999999999983</v>
      </c>
    </row>
    <row r="248" spans="1:28" x14ac:dyDescent="0.3">
      <c r="A248" s="29">
        <v>247</v>
      </c>
      <c r="B248" s="25" cm="1">
        <f t="array" aca="1" ref="B248" ca="1">MIN(IF($E:$E=E248,$H:$H))</f>
        <v>45487</v>
      </c>
      <c r="C248" s="25">
        <f t="shared" ca="1" si="40"/>
        <v>16</v>
      </c>
      <c r="D248" s="43">
        <f ca="1">COUNTIF(E:E,combined_tbl!$E248)</f>
        <v>2</v>
      </c>
      <c r="E248" s="29" t="str">
        <f t="shared" ca="1" si="46"/>
        <v>Customer078</v>
      </c>
      <c r="F248" s="29" t="str" cm="1">
        <f t="array" aca="1" ref="F248" ca="1">INDEX({"Male","Female"}, RANDBETWEEN(1,2))</f>
        <v>Male</v>
      </c>
      <c r="G248" s="29" t="str">
        <f t="shared" ca="1" si="48"/>
        <v>North</v>
      </c>
      <c r="H248" s="48">
        <f t="shared" ca="1" si="41"/>
        <v>45487</v>
      </c>
      <c r="I248" s="24">
        <f t="shared" ca="1" si="42"/>
        <v>14</v>
      </c>
      <c r="J248" s="46" t="str">
        <f t="shared" ca="1" si="47"/>
        <v>July</v>
      </c>
      <c r="K248" s="24">
        <f t="shared" ca="1" si="43"/>
        <v>2024</v>
      </c>
      <c r="L248" s="24" t="str">
        <f t="shared" ca="1" si="44"/>
        <v>Bronze</v>
      </c>
      <c r="M248" s="29">
        <v>248</v>
      </c>
      <c r="N248" s="29" t="s">
        <v>954</v>
      </c>
      <c r="O248" s="29" t="s">
        <v>1106</v>
      </c>
      <c r="P248" s="30">
        <v>521</v>
      </c>
      <c r="Q248" s="30">
        <v>760.66</v>
      </c>
      <c r="R248" s="29">
        <v>248</v>
      </c>
      <c r="S248" s="24" t="str">
        <f t="shared" si="45"/>
        <v>Jun</v>
      </c>
      <c r="T248" s="47">
        <v>45083</v>
      </c>
      <c r="U248" s="29">
        <v>2</v>
      </c>
      <c r="V248" s="38">
        <v>85</v>
      </c>
      <c r="W248" s="29">
        <v>30</v>
      </c>
      <c r="X248" s="29">
        <v>1</v>
      </c>
      <c r="Y248" s="30">
        <f>combined_tbl!$Q248*(1-combined_tbl!$Z248)</f>
        <v>608.52800000000002</v>
      </c>
      <c r="Z248" s="31">
        <f>IF(combined_tbl!$Q248&gt;=500,0.2, IF(combined_tbl!$Q248&gt;=200,0.05, IF(combined_tbl!$X248&gt;=2,0.05,0)))</f>
        <v>0.2</v>
      </c>
      <c r="AA248" s="30">
        <f>combined_tbl!$Y248*combined_tbl!$X248</f>
        <v>608.52800000000002</v>
      </c>
      <c r="AB248" s="32">
        <f>(combined_tbl!$Q248*(1+combined_tbl!$Z248)-combined_tbl!$P248)*combined_tbl!$X248</f>
        <v>391.79199999999992</v>
      </c>
    </row>
    <row r="249" spans="1:28" x14ac:dyDescent="0.3">
      <c r="A249" s="29">
        <v>248</v>
      </c>
      <c r="B249" s="25" cm="1">
        <f t="array" aca="1" ref="B249" ca="1">MIN(IF($E:$E=E249,$H:$H))</f>
        <v>45625</v>
      </c>
      <c r="C249" s="25">
        <f t="shared" ca="1" si="40"/>
        <v>12</v>
      </c>
      <c r="D249" s="42">
        <f ca="1">COUNTIF(E:E,combined_tbl!$E249)</f>
        <v>7</v>
      </c>
      <c r="E249" s="24" t="str">
        <f t="shared" ca="1" si="46"/>
        <v>Customer038</v>
      </c>
      <c r="F249" s="24" t="str" cm="1">
        <f t="array" aca="1" ref="F249" ca="1">INDEX({"Male","Female"}, RANDBETWEEN(1,2))</f>
        <v>Female</v>
      </c>
      <c r="G249" s="29" t="str">
        <f t="shared" ca="1" si="48"/>
        <v>West</v>
      </c>
      <c r="H249" s="48">
        <f t="shared" ca="1" si="41"/>
        <v>45625</v>
      </c>
      <c r="I249" s="24">
        <f t="shared" ca="1" si="42"/>
        <v>29</v>
      </c>
      <c r="J249" s="46" t="str">
        <f t="shared" ca="1" si="47"/>
        <v>November</v>
      </c>
      <c r="K249" s="24">
        <f t="shared" ca="1" si="43"/>
        <v>2024</v>
      </c>
      <c r="L249" s="24" t="str">
        <f t="shared" ca="1" si="44"/>
        <v>Silver</v>
      </c>
      <c r="M249" s="24">
        <v>249</v>
      </c>
      <c r="N249" s="24" t="s">
        <v>837</v>
      </c>
      <c r="O249" s="24" t="s">
        <v>1107</v>
      </c>
      <c r="P249" s="26">
        <v>52</v>
      </c>
      <c r="Q249" s="26">
        <v>73.319999999999993</v>
      </c>
      <c r="R249" s="24">
        <v>249</v>
      </c>
      <c r="S249" s="24" t="str">
        <f t="shared" si="45"/>
        <v>Nov</v>
      </c>
      <c r="T249" s="46">
        <v>45971</v>
      </c>
      <c r="U249" s="24">
        <v>4</v>
      </c>
      <c r="V249" s="37">
        <v>158</v>
      </c>
      <c r="W249" s="24">
        <v>73</v>
      </c>
      <c r="X249" s="24">
        <v>1</v>
      </c>
      <c r="Y249" s="26">
        <f>combined_tbl!$Q249*(1-combined_tbl!$Z249)</f>
        <v>73.319999999999993</v>
      </c>
      <c r="Z249" s="27">
        <f>IF(combined_tbl!$Q249&gt;=500,0.2, IF(combined_tbl!$Q249&gt;=200,0.05, IF(combined_tbl!$X249&gt;=2,0.05,0)))</f>
        <v>0</v>
      </c>
      <c r="AA249" s="26">
        <f>combined_tbl!$Y249*combined_tbl!$X249</f>
        <v>73.319999999999993</v>
      </c>
      <c r="AB249" s="28">
        <f>(combined_tbl!$Q249*(1+combined_tbl!$Z249)-combined_tbl!$P249)*combined_tbl!$X249</f>
        <v>21.319999999999993</v>
      </c>
    </row>
    <row r="250" spans="1:28" x14ac:dyDescent="0.3">
      <c r="A250" s="19">
        <v>249</v>
      </c>
      <c r="B250" s="25" cm="1">
        <f t="array" aca="1" ref="B250" ca="1">MIN(IF($E:$E=E250,$H:$H))</f>
        <v>45111</v>
      </c>
      <c r="C250" s="25">
        <f t="shared" ca="1" si="40"/>
        <v>29</v>
      </c>
      <c r="D250" s="43">
        <f ca="1">COUNTIF(E:E,combined_tbl!$E250)</f>
        <v>5</v>
      </c>
      <c r="E250" s="29" t="str">
        <f t="shared" ca="1" si="46"/>
        <v>Customer062</v>
      </c>
      <c r="F250" s="29" t="str" cm="1">
        <f t="array" aca="1" ref="F250" ca="1">INDEX({"Male","Female"}, RANDBETWEEN(1,2))</f>
        <v>Female</v>
      </c>
      <c r="G250" s="29" t="str">
        <f t="shared" ca="1" si="48"/>
        <v>South</v>
      </c>
      <c r="H250" s="48">
        <f t="shared" ca="1" si="41"/>
        <v>45111</v>
      </c>
      <c r="I250" s="24">
        <f t="shared" ca="1" si="42"/>
        <v>4</v>
      </c>
      <c r="J250" s="46" t="str">
        <f t="shared" ca="1" si="47"/>
        <v>July</v>
      </c>
      <c r="K250" s="24">
        <f t="shared" ca="1" si="43"/>
        <v>2023</v>
      </c>
      <c r="L250" s="24" t="str">
        <f t="shared" ca="1" si="44"/>
        <v>Silver</v>
      </c>
      <c r="M250" s="29">
        <v>250</v>
      </c>
      <c r="N250" s="29" t="s">
        <v>1359</v>
      </c>
      <c r="O250" s="29" t="s">
        <v>1108</v>
      </c>
      <c r="P250" s="30">
        <v>129</v>
      </c>
      <c r="Q250" s="30">
        <v>154.79999999999998</v>
      </c>
      <c r="R250" s="29">
        <v>250</v>
      </c>
      <c r="S250" s="24" t="str">
        <f t="shared" si="45"/>
        <v>Dec</v>
      </c>
      <c r="T250" s="47">
        <v>45642</v>
      </c>
      <c r="U250" s="29">
        <v>6</v>
      </c>
      <c r="V250" s="38">
        <v>139</v>
      </c>
      <c r="W250" s="29">
        <v>7</v>
      </c>
      <c r="X250" s="29">
        <v>1</v>
      </c>
      <c r="Y250" s="30">
        <f>combined_tbl!$Q250*(1-combined_tbl!$Z250)</f>
        <v>154.79999999999998</v>
      </c>
      <c r="Z250" s="31">
        <f>IF(combined_tbl!$Q250&gt;=500,0.2, IF(combined_tbl!$Q250&gt;=200,0.05, IF(combined_tbl!$X250&gt;=2,0.05,0)))</f>
        <v>0</v>
      </c>
      <c r="AA250" s="30">
        <f>combined_tbl!$Y250*combined_tbl!$X250</f>
        <v>154.79999999999998</v>
      </c>
      <c r="AB250" s="32">
        <f>(combined_tbl!$Q250*(1+combined_tbl!$Z250)-combined_tbl!$P250)*combined_tbl!$X250</f>
        <v>25.799999999999983</v>
      </c>
    </row>
    <row r="251" spans="1:28" x14ac:dyDescent="0.3">
      <c r="A251" s="24">
        <v>250</v>
      </c>
      <c r="B251" s="25" cm="1">
        <f t="array" aca="1" ref="B251" ca="1">MIN(IF($E:$E=E251,$H:$H))</f>
        <v>44998</v>
      </c>
      <c r="C251" s="25">
        <f t="shared" ca="1" si="40"/>
        <v>32</v>
      </c>
      <c r="D251" s="42">
        <f ca="1">COUNTIF(E:E,combined_tbl!$E251)</f>
        <v>1</v>
      </c>
      <c r="E251" s="24" t="str">
        <f t="shared" ca="1" si="46"/>
        <v>Customer115</v>
      </c>
      <c r="F251" s="24" t="str" cm="1">
        <f t="array" aca="1" ref="F251" ca="1">INDEX({"Male","Female"}, RANDBETWEEN(1,2))</f>
        <v>Female</v>
      </c>
      <c r="G251" s="29" t="str">
        <f t="shared" ca="1" si="48"/>
        <v>South</v>
      </c>
      <c r="H251" s="48">
        <f t="shared" ca="1" si="41"/>
        <v>44998</v>
      </c>
      <c r="I251" s="24">
        <f t="shared" ca="1" si="42"/>
        <v>13</v>
      </c>
      <c r="J251" s="46" t="str">
        <f t="shared" ca="1" si="47"/>
        <v>March</v>
      </c>
      <c r="K251" s="24">
        <f t="shared" ca="1" si="43"/>
        <v>2023</v>
      </c>
      <c r="L251" s="24" t="str">
        <f t="shared" ca="1" si="44"/>
        <v>Bronze</v>
      </c>
      <c r="M251" s="24">
        <v>251</v>
      </c>
      <c r="N251" s="24" t="s">
        <v>831</v>
      </c>
      <c r="O251" s="24" t="s">
        <v>1109</v>
      </c>
      <c r="P251" s="26">
        <v>294</v>
      </c>
      <c r="Q251" s="26">
        <v>332.21999999999997</v>
      </c>
      <c r="R251" s="24">
        <v>251</v>
      </c>
      <c r="S251" s="24" t="str">
        <f t="shared" si="45"/>
        <v>Oct</v>
      </c>
      <c r="T251" s="46">
        <v>45229</v>
      </c>
      <c r="U251" s="24">
        <v>4</v>
      </c>
      <c r="V251" s="37">
        <v>67</v>
      </c>
      <c r="W251" s="24">
        <v>45</v>
      </c>
      <c r="X251" s="24">
        <v>1</v>
      </c>
      <c r="Y251" s="26">
        <f>combined_tbl!$Q251*(1-combined_tbl!$Z251)</f>
        <v>315.60899999999998</v>
      </c>
      <c r="Z251" s="27">
        <f>IF(combined_tbl!$Q251&gt;=500,0.2, IF(combined_tbl!$Q251&gt;=200,0.05, IF(combined_tbl!$X251&gt;=2,0.05,0)))</f>
        <v>0.05</v>
      </c>
      <c r="AA251" s="26">
        <f>combined_tbl!$Y251*combined_tbl!$X251</f>
        <v>315.60899999999998</v>
      </c>
      <c r="AB251" s="28">
        <f>(combined_tbl!$Q251*(1+combined_tbl!$Z251)-combined_tbl!$P251)*combined_tbl!$X251</f>
        <v>54.83099999999996</v>
      </c>
    </row>
    <row r="252" spans="1:28" x14ac:dyDescent="0.3">
      <c r="A252" s="29">
        <v>251</v>
      </c>
      <c r="B252" s="25" cm="1">
        <f t="array" aca="1" ref="B252" ca="1">MIN(IF($E:$E=E252,$H:$H))</f>
        <v>45809</v>
      </c>
      <c r="C252" s="25">
        <f t="shared" ca="1" si="40"/>
        <v>6</v>
      </c>
      <c r="D252" s="43">
        <f ca="1">COUNTIF(E:E,combined_tbl!$E252)</f>
        <v>10</v>
      </c>
      <c r="E252" s="29" t="str">
        <f t="shared" ca="1" si="46"/>
        <v>Customer019</v>
      </c>
      <c r="F252" s="29" t="str" cm="1">
        <f t="array" aca="1" ref="F252" ca="1">INDEX({"Male","Female"}, RANDBETWEEN(1,2))</f>
        <v>Male</v>
      </c>
      <c r="G252" s="29" t="str">
        <f t="shared" ca="1" si="48"/>
        <v>North</v>
      </c>
      <c r="H252" s="48">
        <f t="shared" ca="1" si="41"/>
        <v>45809</v>
      </c>
      <c r="I252" s="24">
        <f t="shared" ca="1" si="42"/>
        <v>1</v>
      </c>
      <c r="J252" s="46" t="str">
        <f t="shared" ca="1" si="47"/>
        <v>June</v>
      </c>
      <c r="K252" s="24">
        <f t="shared" ca="1" si="43"/>
        <v>2025</v>
      </c>
      <c r="L252" s="24" t="str">
        <f t="shared" ca="1" si="44"/>
        <v>Bronze</v>
      </c>
      <c r="M252" s="29">
        <v>252</v>
      </c>
      <c r="N252" s="29" t="s">
        <v>837</v>
      </c>
      <c r="O252" s="29" t="s">
        <v>1110</v>
      </c>
      <c r="P252" s="30">
        <v>86</v>
      </c>
      <c r="Q252" s="30">
        <v>128.13999999999999</v>
      </c>
      <c r="R252" s="29">
        <v>252</v>
      </c>
      <c r="S252" s="24" t="str">
        <f t="shared" si="45"/>
        <v>Jul</v>
      </c>
      <c r="T252" s="47">
        <v>45137</v>
      </c>
      <c r="U252" s="29">
        <v>3</v>
      </c>
      <c r="V252" s="38">
        <v>31</v>
      </c>
      <c r="W252" s="29">
        <v>5</v>
      </c>
      <c r="X252" s="29">
        <v>3</v>
      </c>
      <c r="Y252" s="30">
        <f>combined_tbl!$Q252*(1-combined_tbl!$Z252)</f>
        <v>121.73299999999998</v>
      </c>
      <c r="Z252" s="31">
        <f>IF(combined_tbl!$Q252&gt;=500,0.2, IF(combined_tbl!$Q252&gt;=200,0.05, IF(combined_tbl!$X252&gt;=2,0.05,0)))</f>
        <v>0.05</v>
      </c>
      <c r="AA252" s="30">
        <f>combined_tbl!$Y252*combined_tbl!$X252</f>
        <v>365.19899999999996</v>
      </c>
      <c r="AB252" s="32">
        <f>(combined_tbl!$Q252*(1+combined_tbl!$Z252)-combined_tbl!$P252)*combined_tbl!$X252</f>
        <v>145.64099999999999</v>
      </c>
    </row>
    <row r="253" spans="1:28" x14ac:dyDescent="0.3">
      <c r="A253" s="29">
        <v>252</v>
      </c>
      <c r="B253" s="25" cm="1">
        <f t="array" aca="1" ref="B253" ca="1">MIN(IF($E:$E=E253,$H:$H))</f>
        <v>45922</v>
      </c>
      <c r="C253" s="25">
        <f t="shared" ca="1" si="40"/>
        <v>2</v>
      </c>
      <c r="D253" s="42">
        <f ca="1">COUNTIF(E:E,combined_tbl!$E253)</f>
        <v>4</v>
      </c>
      <c r="E253" s="24" t="str">
        <f t="shared" ca="1" si="46"/>
        <v>Customer055</v>
      </c>
      <c r="F253" s="24" t="str" cm="1">
        <f t="array" aca="1" ref="F253" ca="1">INDEX({"Male","Female"}, RANDBETWEEN(1,2))</f>
        <v>Female</v>
      </c>
      <c r="G253" s="29" t="str">
        <f t="shared" ca="1" si="48"/>
        <v>North</v>
      </c>
      <c r="H253" s="48">
        <f t="shared" ca="1" si="41"/>
        <v>45922</v>
      </c>
      <c r="I253" s="24">
        <f t="shared" ca="1" si="42"/>
        <v>22</v>
      </c>
      <c r="J253" s="46" t="str">
        <f t="shared" ca="1" si="47"/>
        <v>September</v>
      </c>
      <c r="K253" s="24">
        <f t="shared" ca="1" si="43"/>
        <v>2025</v>
      </c>
      <c r="L253" s="24" t="str">
        <f t="shared" ca="1" si="44"/>
        <v>Bronze</v>
      </c>
      <c r="M253" s="24">
        <v>253</v>
      </c>
      <c r="N253" s="24" t="s">
        <v>1359</v>
      </c>
      <c r="O253" s="24" t="s">
        <v>1111</v>
      </c>
      <c r="P253" s="26">
        <v>120</v>
      </c>
      <c r="Q253" s="26">
        <v>134.4</v>
      </c>
      <c r="R253" s="24">
        <v>253</v>
      </c>
      <c r="S253" s="24" t="str">
        <f t="shared" si="45"/>
        <v>Jun</v>
      </c>
      <c r="T253" s="46">
        <v>45451</v>
      </c>
      <c r="U253" s="24">
        <v>4</v>
      </c>
      <c r="V253" s="37">
        <v>191</v>
      </c>
      <c r="W253" s="24">
        <v>1</v>
      </c>
      <c r="X253" s="24">
        <v>1</v>
      </c>
      <c r="Y253" s="26">
        <f>combined_tbl!$Q253*(1-combined_tbl!$Z253)</f>
        <v>134.4</v>
      </c>
      <c r="Z253" s="27">
        <f>IF(combined_tbl!$Q253&gt;=500,0.2, IF(combined_tbl!$Q253&gt;=200,0.05, IF(combined_tbl!$X253&gt;=2,0.05,0)))</f>
        <v>0</v>
      </c>
      <c r="AA253" s="26">
        <f>combined_tbl!$Y253*combined_tbl!$X253</f>
        <v>134.4</v>
      </c>
      <c r="AB253" s="28">
        <f>(combined_tbl!$Q253*(1+combined_tbl!$Z253)-combined_tbl!$P253)*combined_tbl!$X253</f>
        <v>14.400000000000006</v>
      </c>
    </row>
    <row r="254" spans="1:28" x14ac:dyDescent="0.3">
      <c r="A254" s="29">
        <v>253</v>
      </c>
      <c r="B254" s="25" cm="1">
        <f t="array" aca="1" ref="B254" ca="1">MIN(IF($E:$E=E254,$H:$H))</f>
        <v>45812</v>
      </c>
      <c r="C254" s="25">
        <f t="shared" ca="1" si="40"/>
        <v>6</v>
      </c>
      <c r="D254" s="43">
        <f ca="1">COUNTIF(E:E,combined_tbl!$E254)</f>
        <v>10</v>
      </c>
      <c r="E254" s="29" t="str">
        <f t="shared" ca="1" si="46"/>
        <v>Customer026</v>
      </c>
      <c r="F254" s="29" t="str" cm="1">
        <f t="array" aca="1" ref="F254" ca="1">INDEX({"Male","Female"}, RANDBETWEEN(1,2))</f>
        <v>Male</v>
      </c>
      <c r="G254" s="29" t="str">
        <f t="shared" ca="1" si="48"/>
        <v>North</v>
      </c>
      <c r="H254" s="48">
        <f t="shared" ca="1" si="41"/>
        <v>45812</v>
      </c>
      <c r="I254" s="24">
        <f t="shared" ca="1" si="42"/>
        <v>4</v>
      </c>
      <c r="J254" s="46" t="str">
        <f t="shared" ca="1" si="47"/>
        <v>June</v>
      </c>
      <c r="K254" s="24">
        <f t="shared" ca="1" si="43"/>
        <v>2025</v>
      </c>
      <c r="L254" s="24" t="str">
        <f t="shared" ca="1" si="44"/>
        <v>Bronze</v>
      </c>
      <c r="M254" s="29">
        <v>254</v>
      </c>
      <c r="N254" s="29" t="s">
        <v>847</v>
      </c>
      <c r="O254" s="29" t="s">
        <v>1112</v>
      </c>
      <c r="P254" s="30">
        <v>23</v>
      </c>
      <c r="Q254" s="30">
        <v>29.67</v>
      </c>
      <c r="R254" s="29">
        <v>254</v>
      </c>
      <c r="S254" s="24" t="str">
        <f t="shared" si="45"/>
        <v>Dec</v>
      </c>
      <c r="T254" s="47">
        <v>45282</v>
      </c>
      <c r="U254" s="29">
        <v>3</v>
      </c>
      <c r="V254" s="38">
        <v>95</v>
      </c>
      <c r="W254" s="29">
        <v>36</v>
      </c>
      <c r="X254" s="29">
        <v>1</v>
      </c>
      <c r="Y254" s="30">
        <f>combined_tbl!$Q254*(1-combined_tbl!$Z254)</f>
        <v>29.67</v>
      </c>
      <c r="Z254" s="31">
        <f>IF(combined_tbl!$Q254&gt;=500,0.2, IF(combined_tbl!$Q254&gt;=200,0.05, IF(combined_tbl!$X254&gt;=2,0.05,0)))</f>
        <v>0</v>
      </c>
      <c r="AA254" s="30">
        <f>combined_tbl!$Y254*combined_tbl!$X254</f>
        <v>29.67</v>
      </c>
      <c r="AB254" s="32">
        <f>(combined_tbl!$Q254*(1+combined_tbl!$Z254)-combined_tbl!$P254)*combined_tbl!$X254</f>
        <v>6.6700000000000017</v>
      </c>
    </row>
    <row r="255" spans="1:28" x14ac:dyDescent="0.3">
      <c r="A255" s="29">
        <v>254</v>
      </c>
      <c r="B255" s="25" cm="1">
        <f t="array" aca="1" ref="B255" ca="1">MIN(IF($E:$E=E255,$H:$H))</f>
        <v>45560</v>
      </c>
      <c r="C255" s="25">
        <f t="shared" ca="1" si="40"/>
        <v>14</v>
      </c>
      <c r="D255" s="42">
        <f ca="1">COUNTIF(E:E,combined_tbl!$E255)</f>
        <v>8</v>
      </c>
      <c r="E255" s="24" t="str">
        <f t="shared" ca="1" si="46"/>
        <v>Customer021</v>
      </c>
      <c r="F255" s="24" t="str" cm="1">
        <f t="array" aca="1" ref="F255" ca="1">INDEX({"Male","Female"}, RANDBETWEEN(1,2))</f>
        <v>Female</v>
      </c>
      <c r="G255" s="29" t="str">
        <f t="shared" ca="1" si="48"/>
        <v>South</v>
      </c>
      <c r="H255" s="48">
        <f t="shared" ca="1" si="41"/>
        <v>45560</v>
      </c>
      <c r="I255" s="24">
        <f t="shared" ca="1" si="42"/>
        <v>25</v>
      </c>
      <c r="J255" s="46" t="str">
        <f t="shared" ca="1" si="47"/>
        <v>September</v>
      </c>
      <c r="K255" s="24">
        <f t="shared" ca="1" si="43"/>
        <v>2024</v>
      </c>
      <c r="L255" s="24" t="str">
        <f t="shared" ca="1" si="44"/>
        <v>Silver</v>
      </c>
      <c r="M255" s="24">
        <v>255</v>
      </c>
      <c r="N255" s="24" t="s">
        <v>847</v>
      </c>
      <c r="O255" s="24" t="s">
        <v>1113</v>
      </c>
      <c r="P255" s="26">
        <v>140</v>
      </c>
      <c r="Q255" s="26">
        <v>155.4</v>
      </c>
      <c r="R255" s="24">
        <v>255</v>
      </c>
      <c r="S255" s="24" t="str">
        <f t="shared" si="45"/>
        <v>Jun</v>
      </c>
      <c r="T255" s="46">
        <v>45081</v>
      </c>
      <c r="U255" s="24">
        <v>3</v>
      </c>
      <c r="V255" s="37">
        <v>47</v>
      </c>
      <c r="W255" s="24">
        <v>29</v>
      </c>
      <c r="X255" s="24">
        <v>1</v>
      </c>
      <c r="Y255" s="26">
        <f>combined_tbl!$Q255*(1-combined_tbl!$Z255)</f>
        <v>155.4</v>
      </c>
      <c r="Z255" s="27">
        <f>IF(combined_tbl!$Q255&gt;=500,0.2, IF(combined_tbl!$Q255&gt;=200,0.05, IF(combined_tbl!$X255&gt;=2,0.05,0)))</f>
        <v>0</v>
      </c>
      <c r="AA255" s="26">
        <f>combined_tbl!$Y255*combined_tbl!$X255</f>
        <v>155.4</v>
      </c>
      <c r="AB255" s="28">
        <f>(combined_tbl!$Q255*(1+combined_tbl!$Z255)-combined_tbl!$P255)*combined_tbl!$X255</f>
        <v>15.400000000000006</v>
      </c>
    </row>
    <row r="256" spans="1:28" x14ac:dyDescent="0.3">
      <c r="A256" s="29">
        <v>255</v>
      </c>
      <c r="B256" s="25" cm="1">
        <f t="array" aca="1" ref="B256" ca="1">MIN(IF($E:$E=E256,$H:$H))</f>
        <v>45622</v>
      </c>
      <c r="C256" s="25">
        <f t="shared" ca="1" si="40"/>
        <v>12</v>
      </c>
      <c r="D256" s="43">
        <f ca="1">COUNTIF(E:E,combined_tbl!$E256)</f>
        <v>8</v>
      </c>
      <c r="E256" s="29" t="str">
        <f t="shared" ca="1" si="46"/>
        <v>Customer023</v>
      </c>
      <c r="F256" s="29" t="str" cm="1">
        <f t="array" aca="1" ref="F256" ca="1">INDEX({"Male","Female"}, RANDBETWEEN(1,2))</f>
        <v>Male</v>
      </c>
      <c r="G256" s="29" t="str">
        <f t="shared" ca="1" si="48"/>
        <v>North</v>
      </c>
      <c r="H256" s="48">
        <f t="shared" ca="1" si="41"/>
        <v>45622</v>
      </c>
      <c r="I256" s="24">
        <f t="shared" ca="1" si="42"/>
        <v>26</v>
      </c>
      <c r="J256" s="46" t="str">
        <f t="shared" ca="1" si="47"/>
        <v>November</v>
      </c>
      <c r="K256" s="24">
        <f t="shared" ca="1" si="43"/>
        <v>2024</v>
      </c>
      <c r="L256" s="24" t="str">
        <f t="shared" ca="1" si="44"/>
        <v>Silver</v>
      </c>
      <c r="M256" s="29">
        <v>256</v>
      </c>
      <c r="N256" s="29" t="s">
        <v>847</v>
      </c>
      <c r="O256" s="29" t="s">
        <v>1114</v>
      </c>
      <c r="P256" s="30">
        <v>71</v>
      </c>
      <c r="Q256" s="30">
        <v>103.66</v>
      </c>
      <c r="R256" s="29">
        <v>256</v>
      </c>
      <c r="S256" s="24" t="str">
        <f t="shared" si="45"/>
        <v>Oct</v>
      </c>
      <c r="T256" s="47">
        <v>45938</v>
      </c>
      <c r="U256" s="29">
        <v>8</v>
      </c>
      <c r="V256" s="38">
        <v>77</v>
      </c>
      <c r="W256" s="29">
        <v>34</v>
      </c>
      <c r="X256" s="29">
        <v>1</v>
      </c>
      <c r="Y256" s="30">
        <f>combined_tbl!$Q256*(1-combined_tbl!$Z256)</f>
        <v>103.66</v>
      </c>
      <c r="Z256" s="31">
        <f>IF(combined_tbl!$Q256&gt;=500,0.2, IF(combined_tbl!$Q256&gt;=200,0.05, IF(combined_tbl!$X256&gt;=2,0.05,0)))</f>
        <v>0</v>
      </c>
      <c r="AA256" s="30">
        <f>combined_tbl!$Y256*combined_tbl!$X256</f>
        <v>103.66</v>
      </c>
      <c r="AB256" s="32">
        <f>(combined_tbl!$Q256*(1+combined_tbl!$Z256)-combined_tbl!$P256)*combined_tbl!$X256</f>
        <v>32.659999999999997</v>
      </c>
    </row>
    <row r="257" spans="1:28" x14ac:dyDescent="0.3">
      <c r="A257" s="29">
        <v>256</v>
      </c>
      <c r="B257" s="25" cm="1">
        <f t="array" aca="1" ref="B257" ca="1">MIN(IF($E:$E=E257,$H:$H))</f>
        <v>45085</v>
      </c>
      <c r="C257" s="25">
        <f t="shared" ca="1" si="40"/>
        <v>29</v>
      </c>
      <c r="D257" s="42">
        <f ca="1">COUNTIF(E:E,combined_tbl!$E257)</f>
        <v>10</v>
      </c>
      <c r="E257" s="24" t="str">
        <f t="shared" ca="1" si="46"/>
        <v>Customer007</v>
      </c>
      <c r="F257" s="24" t="str" cm="1">
        <f t="array" aca="1" ref="F257" ca="1">INDEX({"Male","Female"}, RANDBETWEEN(1,2))</f>
        <v>Female</v>
      </c>
      <c r="G257" s="29" t="str">
        <f t="shared" ca="1" si="48"/>
        <v>East</v>
      </c>
      <c r="H257" s="48">
        <f t="shared" ca="1" si="41"/>
        <v>45085</v>
      </c>
      <c r="I257" s="24">
        <f t="shared" ca="1" si="42"/>
        <v>8</v>
      </c>
      <c r="J257" s="46" t="str">
        <f t="shared" ca="1" si="47"/>
        <v>June</v>
      </c>
      <c r="K257" s="24">
        <f t="shared" ca="1" si="43"/>
        <v>2023</v>
      </c>
      <c r="L257" s="24" t="str">
        <f t="shared" ca="1" si="44"/>
        <v>Platinum</v>
      </c>
      <c r="M257" s="24">
        <v>257</v>
      </c>
      <c r="N257" s="24" t="s">
        <v>957</v>
      </c>
      <c r="O257" s="24" t="s">
        <v>1115</v>
      </c>
      <c r="P257" s="26">
        <v>65</v>
      </c>
      <c r="Q257" s="26">
        <v>83.2</v>
      </c>
      <c r="R257" s="24">
        <v>257</v>
      </c>
      <c r="S257" s="24" t="str">
        <f t="shared" si="45"/>
        <v>Jul</v>
      </c>
      <c r="T257" s="46">
        <v>45846</v>
      </c>
      <c r="U257" s="24">
        <v>6</v>
      </c>
      <c r="V257" s="37">
        <v>183</v>
      </c>
      <c r="W257" s="24">
        <v>91</v>
      </c>
      <c r="X257" s="24">
        <v>1</v>
      </c>
      <c r="Y257" s="26">
        <f>combined_tbl!$Q257*(1-combined_tbl!$Z257)</f>
        <v>83.2</v>
      </c>
      <c r="Z257" s="27">
        <f>IF(combined_tbl!$Q257&gt;=500,0.2, IF(combined_tbl!$Q257&gt;=200,0.05, IF(combined_tbl!$X257&gt;=2,0.05,0)))</f>
        <v>0</v>
      </c>
      <c r="AA257" s="26">
        <f>combined_tbl!$Y257*combined_tbl!$X257</f>
        <v>83.2</v>
      </c>
      <c r="AB257" s="28">
        <f>(combined_tbl!$Q257*(1+combined_tbl!$Z257)-combined_tbl!$P257)*combined_tbl!$X257</f>
        <v>18.200000000000003</v>
      </c>
    </row>
    <row r="258" spans="1:28" x14ac:dyDescent="0.3">
      <c r="A258" s="19">
        <v>257</v>
      </c>
      <c r="B258" s="25" cm="1">
        <f t="array" aca="1" ref="B258" ca="1">MIN(IF($E:$E=E258,$H:$H))</f>
        <v>44993</v>
      </c>
      <c r="C258" s="25">
        <f t="shared" ref="C258:C321" ca="1" si="49">DATEDIF(B258,MAX($H:$H),"m")</f>
        <v>32</v>
      </c>
      <c r="D258" s="43">
        <f ca="1">COUNTIF(E:E,combined_tbl!$E258)</f>
        <v>1</v>
      </c>
      <c r="E258" s="29" t="str">
        <f t="shared" ca="1" si="46"/>
        <v>Customer065</v>
      </c>
      <c r="F258" s="29" t="str" cm="1">
        <f t="array" aca="1" ref="F258" ca="1">INDEX({"Male","Female"}, RANDBETWEEN(1,2))</f>
        <v>Female</v>
      </c>
      <c r="G258" s="29" t="str">
        <f t="shared" ca="1" si="48"/>
        <v>West</v>
      </c>
      <c r="H258" s="48">
        <f t="shared" ref="H258:H321" ca="1" si="50">_xlfn.XLOOKUP(E258,AI$1:AI$139,AJ$1:AJ$139)</f>
        <v>44993</v>
      </c>
      <c r="I258" s="24">
        <f t="shared" ref="I258:I321" ca="1" si="51">DAY(H258)</f>
        <v>8</v>
      </c>
      <c r="J258" s="46" t="str">
        <f t="shared" ca="1" si="47"/>
        <v>March</v>
      </c>
      <c r="K258" s="24">
        <f t="shared" ref="K258:K321" ca="1" si="52">YEAR(H258)</f>
        <v>2023</v>
      </c>
      <c r="L258" s="24" t="str">
        <f t="shared" ref="L258:L321" ca="1" si="53">IF(AND(D258&gt;=10,C258&gt;=24),"Platinum",IF(AND(D258&gt;=7,C258&gt;=18),"Gold",IF(AND(D258&gt;=3,C258&gt;=12),"Silver","Bronze")))</f>
        <v>Bronze</v>
      </c>
      <c r="M258" s="29">
        <v>258</v>
      </c>
      <c r="N258" s="29" t="s">
        <v>957</v>
      </c>
      <c r="O258" s="29" t="s">
        <v>1116</v>
      </c>
      <c r="P258" s="30">
        <v>50</v>
      </c>
      <c r="Q258" s="30">
        <v>74.5</v>
      </c>
      <c r="R258" s="29">
        <v>258</v>
      </c>
      <c r="S258" s="24" t="str">
        <f t="shared" ref="S258:S321" si="54">TEXT(T258,"MMM")</f>
        <v>Oct</v>
      </c>
      <c r="T258" s="47">
        <v>45574</v>
      </c>
      <c r="U258" s="29">
        <v>3</v>
      </c>
      <c r="V258" s="38">
        <v>58</v>
      </c>
      <c r="W258" s="29">
        <v>74</v>
      </c>
      <c r="X258" s="29">
        <v>1</v>
      </c>
      <c r="Y258" s="30">
        <f>combined_tbl!$Q258*(1-combined_tbl!$Z258)</f>
        <v>74.5</v>
      </c>
      <c r="Z258" s="31">
        <f>IF(combined_tbl!$Q258&gt;=500,0.2, IF(combined_tbl!$Q258&gt;=200,0.05, IF(combined_tbl!$X258&gt;=2,0.05,0)))</f>
        <v>0</v>
      </c>
      <c r="AA258" s="30">
        <f>combined_tbl!$Y258*combined_tbl!$X258</f>
        <v>74.5</v>
      </c>
      <c r="AB258" s="32">
        <f>(combined_tbl!$Q258*(1+combined_tbl!$Z258)-combined_tbl!$P258)*combined_tbl!$X258</f>
        <v>24.5</v>
      </c>
    </row>
    <row r="259" spans="1:28" x14ac:dyDescent="0.3">
      <c r="A259" s="24">
        <v>258</v>
      </c>
      <c r="B259" s="25" cm="1">
        <f t="array" aca="1" ref="B259" ca="1">MIN(IF($E:$E=E259,$H:$H))</f>
        <v>45400</v>
      </c>
      <c r="C259" s="25">
        <f t="shared" ca="1" si="49"/>
        <v>19</v>
      </c>
      <c r="D259" s="42">
        <f ca="1">COUNTIF(E:E,combined_tbl!$E259)</f>
        <v>8</v>
      </c>
      <c r="E259" s="24" t="str">
        <f t="shared" ref="E259:E322" ca="1" si="55">IF(RAND()&lt;=0.5,
   "Customer"&amp;TEXT(RANDBETWEEN(1,30),"000"),
IF(RAND()&lt;=0.8,
   "Customer"&amp;TEXT(RANDBETWEEN(31,80),"000"),
   "Customer"&amp;TEXT(RANDBETWEEN(81,139),"000")))</f>
        <v>Customer030</v>
      </c>
      <c r="F259" s="24" t="str" cm="1">
        <f t="array" aca="1" ref="F259" ca="1">INDEX({"Male","Female"}, RANDBETWEEN(1,2))</f>
        <v>Male</v>
      </c>
      <c r="G259" s="29" t="str">
        <f t="shared" ca="1" si="48"/>
        <v>South</v>
      </c>
      <c r="H259" s="48">
        <f t="shared" ca="1" si="50"/>
        <v>45400</v>
      </c>
      <c r="I259" s="24">
        <f t="shared" ca="1" si="51"/>
        <v>18</v>
      </c>
      <c r="J259" s="46" t="str">
        <f t="shared" ref="J259:J322" ca="1" si="56">TEXT(H259,"mmmm")</f>
        <v>April</v>
      </c>
      <c r="K259" s="24">
        <f t="shared" ca="1" si="52"/>
        <v>2024</v>
      </c>
      <c r="L259" s="24" t="str">
        <f t="shared" ca="1" si="53"/>
        <v>Gold</v>
      </c>
      <c r="M259" s="24">
        <v>259</v>
      </c>
      <c r="N259" s="24" t="s">
        <v>955</v>
      </c>
      <c r="O259" s="24" t="s">
        <v>1117</v>
      </c>
      <c r="P259" s="26">
        <v>58</v>
      </c>
      <c r="Q259" s="26">
        <v>83.52</v>
      </c>
      <c r="R259" s="24">
        <v>259</v>
      </c>
      <c r="S259" s="24" t="str">
        <f t="shared" si="54"/>
        <v>Jun</v>
      </c>
      <c r="T259" s="46">
        <v>45827</v>
      </c>
      <c r="U259" s="24">
        <v>2</v>
      </c>
      <c r="V259" s="37">
        <v>216</v>
      </c>
      <c r="W259" s="24">
        <v>40</v>
      </c>
      <c r="X259" s="24">
        <v>1</v>
      </c>
      <c r="Y259" s="26">
        <f>combined_tbl!$Q259*(1-combined_tbl!$Z259)</f>
        <v>83.52</v>
      </c>
      <c r="Z259" s="27">
        <f>IF(combined_tbl!$Q259&gt;=500,0.2, IF(combined_tbl!$Q259&gt;=200,0.05, IF(combined_tbl!$X259&gt;=2,0.05,0)))</f>
        <v>0</v>
      </c>
      <c r="AA259" s="26">
        <f>combined_tbl!$Y259*combined_tbl!$X259</f>
        <v>83.52</v>
      </c>
      <c r="AB259" s="28">
        <f>(combined_tbl!$Q259*(1+combined_tbl!$Z259)-combined_tbl!$P259)*combined_tbl!$X259</f>
        <v>25.519999999999996</v>
      </c>
    </row>
    <row r="260" spans="1:28" x14ac:dyDescent="0.3">
      <c r="A260" s="29">
        <v>259</v>
      </c>
      <c r="B260" s="25" cm="1">
        <f t="array" aca="1" ref="B260" ca="1">MIN(IF($E:$E=E260,$H:$H))</f>
        <v>45433</v>
      </c>
      <c r="C260" s="25">
        <f t="shared" ca="1" si="49"/>
        <v>18</v>
      </c>
      <c r="D260" s="43">
        <f ca="1">COUNTIF(E:E,combined_tbl!$E260)</f>
        <v>6</v>
      </c>
      <c r="E260" s="29" t="str">
        <f t="shared" ca="1" si="55"/>
        <v>Customer066</v>
      </c>
      <c r="F260" s="29" t="str" cm="1">
        <f t="array" aca="1" ref="F260" ca="1">INDEX({"Male","Female"}, RANDBETWEEN(1,2))</f>
        <v>Male</v>
      </c>
      <c r="G260" s="29" t="str">
        <f t="shared" ca="1" si="48"/>
        <v>West</v>
      </c>
      <c r="H260" s="48">
        <f t="shared" ca="1" si="50"/>
        <v>45433</v>
      </c>
      <c r="I260" s="24">
        <f t="shared" ca="1" si="51"/>
        <v>21</v>
      </c>
      <c r="J260" s="46" t="str">
        <f t="shared" ca="1" si="56"/>
        <v>May</v>
      </c>
      <c r="K260" s="24">
        <f t="shared" ca="1" si="52"/>
        <v>2024</v>
      </c>
      <c r="L260" s="24" t="str">
        <f t="shared" ca="1" si="53"/>
        <v>Silver</v>
      </c>
      <c r="M260" s="29">
        <v>260</v>
      </c>
      <c r="N260" s="29" t="s">
        <v>954</v>
      </c>
      <c r="O260" s="29" t="s">
        <v>1118</v>
      </c>
      <c r="P260" s="30">
        <v>846</v>
      </c>
      <c r="Q260" s="30">
        <v>1235.1600000000001</v>
      </c>
      <c r="R260" s="29">
        <v>260</v>
      </c>
      <c r="S260" s="24" t="str">
        <f t="shared" si="54"/>
        <v>Aug</v>
      </c>
      <c r="T260" s="47">
        <v>45887</v>
      </c>
      <c r="U260" s="29">
        <v>8</v>
      </c>
      <c r="V260" s="38">
        <v>80</v>
      </c>
      <c r="W260" s="29">
        <v>57</v>
      </c>
      <c r="X260" s="29">
        <v>1</v>
      </c>
      <c r="Y260" s="30">
        <f>combined_tbl!$Q260*(1-combined_tbl!$Z260)</f>
        <v>988.12800000000016</v>
      </c>
      <c r="Z260" s="31">
        <f>IF(combined_tbl!$Q260&gt;=500,0.2, IF(combined_tbl!$Q260&gt;=200,0.05, IF(combined_tbl!$X260&gt;=2,0.05,0)))</f>
        <v>0.2</v>
      </c>
      <c r="AA260" s="30">
        <f>combined_tbl!$Y260*combined_tbl!$X260</f>
        <v>988.12800000000016</v>
      </c>
      <c r="AB260" s="32">
        <f>(combined_tbl!$Q260*(1+combined_tbl!$Z260)-combined_tbl!$P260)*combined_tbl!$X260</f>
        <v>636.19200000000001</v>
      </c>
    </row>
    <row r="261" spans="1:28" x14ac:dyDescent="0.3">
      <c r="A261" s="29">
        <v>260</v>
      </c>
      <c r="B261" s="25" cm="1">
        <f t="array" aca="1" ref="B261" ca="1">MIN(IF($E:$E=E261,$H:$H))</f>
        <v>45713</v>
      </c>
      <c r="C261" s="25">
        <f t="shared" ca="1" si="49"/>
        <v>9</v>
      </c>
      <c r="D261" s="42">
        <f ca="1">COUNTIF(E:E,combined_tbl!$E261)</f>
        <v>2</v>
      </c>
      <c r="E261" s="24" t="str">
        <f t="shared" ca="1" si="55"/>
        <v>Customer043</v>
      </c>
      <c r="F261" s="24" t="str" cm="1">
        <f t="array" aca="1" ref="F261" ca="1">INDEX({"Male","Female"}, RANDBETWEEN(1,2))</f>
        <v>Female</v>
      </c>
      <c r="G261" s="29" t="str">
        <f t="shared" ca="1" si="48"/>
        <v>West</v>
      </c>
      <c r="H261" s="48">
        <f t="shared" ca="1" si="50"/>
        <v>45713</v>
      </c>
      <c r="I261" s="24">
        <f t="shared" ca="1" si="51"/>
        <v>25</v>
      </c>
      <c r="J261" s="46" t="str">
        <f t="shared" ca="1" si="56"/>
        <v>February</v>
      </c>
      <c r="K261" s="24">
        <f t="shared" ca="1" si="52"/>
        <v>2025</v>
      </c>
      <c r="L261" s="24" t="str">
        <f t="shared" ca="1" si="53"/>
        <v>Bronze</v>
      </c>
      <c r="M261" s="24">
        <v>261</v>
      </c>
      <c r="N261" s="24" t="s">
        <v>831</v>
      </c>
      <c r="O261" s="24" t="s">
        <v>1119</v>
      </c>
      <c r="P261" s="26">
        <v>309</v>
      </c>
      <c r="Q261" s="26">
        <v>398.61</v>
      </c>
      <c r="R261" s="24">
        <v>261</v>
      </c>
      <c r="S261" s="24" t="str">
        <f t="shared" si="54"/>
        <v>Sep</v>
      </c>
      <c r="T261" s="46">
        <v>45547</v>
      </c>
      <c r="U261" s="24">
        <v>5</v>
      </c>
      <c r="V261" s="37">
        <v>36</v>
      </c>
      <c r="W261" s="24">
        <v>34</v>
      </c>
      <c r="X261" s="24">
        <v>1</v>
      </c>
      <c r="Y261" s="26">
        <f>combined_tbl!$Q261*(1-combined_tbl!$Z261)</f>
        <v>378.67950000000002</v>
      </c>
      <c r="Z261" s="27">
        <f>IF(combined_tbl!$Q261&gt;=500,0.2, IF(combined_tbl!$Q261&gt;=200,0.05, IF(combined_tbl!$X261&gt;=2,0.05,0)))</f>
        <v>0.05</v>
      </c>
      <c r="AA261" s="26">
        <f>combined_tbl!$Y261*combined_tbl!$X261</f>
        <v>378.67950000000002</v>
      </c>
      <c r="AB261" s="28">
        <f>(combined_tbl!$Q261*(1+combined_tbl!$Z261)-combined_tbl!$P261)*combined_tbl!$X261</f>
        <v>109.54050000000001</v>
      </c>
    </row>
    <row r="262" spans="1:28" x14ac:dyDescent="0.3">
      <c r="A262" s="29">
        <v>261</v>
      </c>
      <c r="B262" s="25" cm="1">
        <f t="array" aca="1" ref="B262" ca="1">MIN(IF($E:$E=E262,$H:$H))</f>
        <v>45346</v>
      </c>
      <c r="C262" s="25">
        <f t="shared" ca="1" si="49"/>
        <v>21</v>
      </c>
      <c r="D262" s="43">
        <f ca="1">COUNTIF(E:E,combined_tbl!$E262)</f>
        <v>12</v>
      </c>
      <c r="E262" s="29" t="str">
        <f t="shared" ca="1" si="55"/>
        <v>Customer011</v>
      </c>
      <c r="F262" s="29" t="str" cm="1">
        <f t="array" aca="1" ref="F262" ca="1">INDEX({"Male","Female"}, RANDBETWEEN(1,2))</f>
        <v>Female</v>
      </c>
      <c r="G262" s="29" t="str">
        <f t="shared" ca="1" si="48"/>
        <v>East</v>
      </c>
      <c r="H262" s="48">
        <f t="shared" ca="1" si="50"/>
        <v>45346</v>
      </c>
      <c r="I262" s="24">
        <f t="shared" ca="1" si="51"/>
        <v>24</v>
      </c>
      <c r="J262" s="46" t="str">
        <f t="shared" ca="1" si="56"/>
        <v>February</v>
      </c>
      <c r="K262" s="24">
        <f t="shared" ca="1" si="52"/>
        <v>2024</v>
      </c>
      <c r="L262" s="24" t="str">
        <f t="shared" ca="1" si="53"/>
        <v>Gold</v>
      </c>
      <c r="M262" s="29">
        <v>262</v>
      </c>
      <c r="N262" s="29" t="s">
        <v>851</v>
      </c>
      <c r="O262" s="29" t="s">
        <v>1120</v>
      </c>
      <c r="P262" s="30">
        <v>121</v>
      </c>
      <c r="Q262" s="30">
        <v>157.30000000000001</v>
      </c>
      <c r="R262" s="29">
        <v>262</v>
      </c>
      <c r="S262" s="24" t="str">
        <f t="shared" si="54"/>
        <v>Apr</v>
      </c>
      <c r="T262" s="47">
        <v>45042</v>
      </c>
      <c r="U262" s="29">
        <v>6</v>
      </c>
      <c r="V262" s="38">
        <v>25</v>
      </c>
      <c r="W262" s="29">
        <v>80</v>
      </c>
      <c r="X262" s="29">
        <v>3</v>
      </c>
      <c r="Y262" s="30">
        <f>combined_tbl!$Q262*(1-combined_tbl!$Z262)</f>
        <v>149.435</v>
      </c>
      <c r="Z262" s="31">
        <f>IF(combined_tbl!$Q262&gt;=500,0.2, IF(combined_tbl!$Q262&gt;=200,0.05, IF(combined_tbl!$X262&gt;=2,0.05,0)))</f>
        <v>0.05</v>
      </c>
      <c r="AA262" s="30">
        <f>combined_tbl!$Y262*combined_tbl!$X262</f>
        <v>448.30500000000001</v>
      </c>
      <c r="AB262" s="32">
        <f>(combined_tbl!$Q262*(1+combined_tbl!$Z262)-combined_tbl!$P262)*combined_tbl!$X262</f>
        <v>132.49500000000006</v>
      </c>
    </row>
    <row r="263" spans="1:28" x14ac:dyDescent="0.3">
      <c r="A263" s="29">
        <v>262</v>
      </c>
      <c r="B263" s="25" cm="1">
        <f t="array" aca="1" ref="B263" ca="1">MIN(IF($E:$E=E263,$H:$H))</f>
        <v>45734</v>
      </c>
      <c r="C263" s="25">
        <f t="shared" ca="1" si="49"/>
        <v>8</v>
      </c>
      <c r="D263" s="42">
        <f ca="1">COUNTIF(E:E,combined_tbl!$E263)</f>
        <v>5</v>
      </c>
      <c r="E263" s="24" t="str">
        <f t="shared" ca="1" si="55"/>
        <v>Customer034</v>
      </c>
      <c r="F263" s="24" t="str" cm="1">
        <f t="array" aca="1" ref="F263" ca="1">INDEX({"Male","Female"}, RANDBETWEEN(1,2))</f>
        <v>Female</v>
      </c>
      <c r="G263" s="29" t="str">
        <f t="shared" ca="1" si="48"/>
        <v>East</v>
      </c>
      <c r="H263" s="48">
        <f t="shared" ca="1" si="50"/>
        <v>45734</v>
      </c>
      <c r="I263" s="24">
        <f t="shared" ca="1" si="51"/>
        <v>18</v>
      </c>
      <c r="J263" s="46" t="str">
        <f t="shared" ca="1" si="56"/>
        <v>March</v>
      </c>
      <c r="K263" s="24">
        <f t="shared" ca="1" si="52"/>
        <v>2025</v>
      </c>
      <c r="L263" s="24" t="str">
        <f t="shared" ca="1" si="53"/>
        <v>Bronze</v>
      </c>
      <c r="M263" s="24">
        <v>263</v>
      </c>
      <c r="N263" s="24" t="s">
        <v>1359</v>
      </c>
      <c r="O263" s="24" t="s">
        <v>1121</v>
      </c>
      <c r="P263" s="26">
        <v>542</v>
      </c>
      <c r="Q263" s="26">
        <v>791.31999999999994</v>
      </c>
      <c r="R263" s="24">
        <v>263</v>
      </c>
      <c r="S263" s="24" t="str">
        <f t="shared" si="54"/>
        <v>Nov</v>
      </c>
      <c r="T263" s="46">
        <v>45966</v>
      </c>
      <c r="U263" s="24">
        <v>2</v>
      </c>
      <c r="V263" s="37">
        <v>211</v>
      </c>
      <c r="W263" s="24">
        <v>13</v>
      </c>
      <c r="X263" s="24">
        <v>1</v>
      </c>
      <c r="Y263" s="26">
        <f>combined_tbl!$Q263*(1-combined_tbl!$Z263)</f>
        <v>633.05600000000004</v>
      </c>
      <c r="Z263" s="27">
        <f>IF(combined_tbl!$Q263&gt;=500,0.2, IF(combined_tbl!$Q263&gt;=200,0.05, IF(combined_tbl!$X263&gt;=2,0.05,0)))</f>
        <v>0.2</v>
      </c>
      <c r="AA263" s="26">
        <f>combined_tbl!$Y263*combined_tbl!$X263</f>
        <v>633.05600000000004</v>
      </c>
      <c r="AB263" s="28">
        <f>(combined_tbl!$Q263*(1+combined_tbl!$Z263)-combined_tbl!$P263)*combined_tbl!$X263</f>
        <v>407.58399999999983</v>
      </c>
    </row>
    <row r="264" spans="1:28" x14ac:dyDescent="0.3">
      <c r="A264" s="29">
        <v>263</v>
      </c>
      <c r="B264" s="25" cm="1">
        <f t="array" aca="1" ref="B264" ca="1">MIN(IF($E:$E=E264,$H:$H))</f>
        <v>45637</v>
      </c>
      <c r="C264" s="25">
        <f t="shared" ca="1" si="49"/>
        <v>11</v>
      </c>
      <c r="D264" s="43">
        <f ca="1">COUNTIF(E:E,combined_tbl!$E264)</f>
        <v>4</v>
      </c>
      <c r="E264" s="29" t="str">
        <f t="shared" ca="1" si="55"/>
        <v>Customer059</v>
      </c>
      <c r="F264" s="29" t="str" cm="1">
        <f t="array" aca="1" ref="F264" ca="1">INDEX({"Male","Female"}, RANDBETWEEN(1,2))</f>
        <v>Male</v>
      </c>
      <c r="G264" s="29" t="str">
        <f t="shared" ca="1" si="48"/>
        <v>East</v>
      </c>
      <c r="H264" s="48">
        <f t="shared" ca="1" si="50"/>
        <v>45637</v>
      </c>
      <c r="I264" s="24">
        <f t="shared" ca="1" si="51"/>
        <v>11</v>
      </c>
      <c r="J264" s="46" t="str">
        <f t="shared" ca="1" si="56"/>
        <v>December</v>
      </c>
      <c r="K264" s="24">
        <f t="shared" ca="1" si="52"/>
        <v>2024</v>
      </c>
      <c r="L264" s="24" t="str">
        <f t="shared" ca="1" si="53"/>
        <v>Bronze</v>
      </c>
      <c r="M264" s="29">
        <v>264</v>
      </c>
      <c r="N264" s="29" t="s">
        <v>831</v>
      </c>
      <c r="O264" s="29" t="s">
        <v>1122</v>
      </c>
      <c r="P264" s="30">
        <v>230</v>
      </c>
      <c r="Q264" s="30">
        <v>271.39999999999998</v>
      </c>
      <c r="R264" s="29">
        <v>264</v>
      </c>
      <c r="S264" s="24" t="str">
        <f t="shared" si="54"/>
        <v>Sep</v>
      </c>
      <c r="T264" s="47">
        <v>45562</v>
      </c>
      <c r="U264" s="29">
        <v>8</v>
      </c>
      <c r="V264" s="38">
        <v>14</v>
      </c>
      <c r="W264" s="29">
        <v>31</v>
      </c>
      <c r="X264" s="29">
        <v>1</v>
      </c>
      <c r="Y264" s="30">
        <f>combined_tbl!$Q264*(1-combined_tbl!$Z264)</f>
        <v>257.83</v>
      </c>
      <c r="Z264" s="31">
        <f>IF(combined_tbl!$Q264&gt;=500,0.2, IF(combined_tbl!$Q264&gt;=200,0.05, IF(combined_tbl!$X264&gt;=2,0.05,0)))</f>
        <v>0.05</v>
      </c>
      <c r="AA264" s="30">
        <f>combined_tbl!$Y264*combined_tbl!$X264</f>
        <v>257.83</v>
      </c>
      <c r="AB264" s="32">
        <f>(combined_tbl!$Q264*(1+combined_tbl!$Z264)-combined_tbl!$P264)*combined_tbl!$X264</f>
        <v>54.96999999999997</v>
      </c>
    </row>
    <row r="265" spans="1:28" x14ac:dyDescent="0.3">
      <c r="A265" s="29">
        <v>264</v>
      </c>
      <c r="B265" s="25" cm="1">
        <f t="array" aca="1" ref="B265" ca="1">MIN(IF($E:$E=E265,$H:$H))</f>
        <v>44935</v>
      </c>
      <c r="C265" s="25">
        <f t="shared" ca="1" si="49"/>
        <v>34</v>
      </c>
      <c r="D265" s="42">
        <f ca="1">COUNTIF(E:E,combined_tbl!$E265)</f>
        <v>2</v>
      </c>
      <c r="E265" s="24" t="str">
        <f t="shared" ca="1" si="55"/>
        <v>Customer109</v>
      </c>
      <c r="F265" s="24" t="str" cm="1">
        <f t="array" aca="1" ref="F265" ca="1">INDEX({"Male","Female"}, RANDBETWEEN(1,2))</f>
        <v>Female</v>
      </c>
      <c r="G265" s="29" t="str">
        <f t="shared" ca="1" si="48"/>
        <v>West</v>
      </c>
      <c r="H265" s="48">
        <f t="shared" ca="1" si="50"/>
        <v>44935</v>
      </c>
      <c r="I265" s="24">
        <f t="shared" ca="1" si="51"/>
        <v>9</v>
      </c>
      <c r="J265" s="46" t="str">
        <f t="shared" ca="1" si="56"/>
        <v>January</v>
      </c>
      <c r="K265" s="24">
        <f t="shared" ca="1" si="52"/>
        <v>2023</v>
      </c>
      <c r="L265" s="24" t="str">
        <f t="shared" ca="1" si="53"/>
        <v>Bronze</v>
      </c>
      <c r="M265" s="24">
        <v>265</v>
      </c>
      <c r="N265" s="24" t="s">
        <v>851</v>
      </c>
      <c r="O265" s="24" t="s">
        <v>1123</v>
      </c>
      <c r="P265" s="26">
        <v>76</v>
      </c>
      <c r="Q265" s="26">
        <v>101.08000000000001</v>
      </c>
      <c r="R265" s="24">
        <v>265</v>
      </c>
      <c r="S265" s="24" t="str">
        <f t="shared" si="54"/>
        <v>Jul</v>
      </c>
      <c r="T265" s="46">
        <v>45852</v>
      </c>
      <c r="U265" s="24">
        <v>1</v>
      </c>
      <c r="V265" s="37">
        <v>183</v>
      </c>
      <c r="W265" s="24">
        <v>70</v>
      </c>
      <c r="X265" s="24">
        <v>1</v>
      </c>
      <c r="Y265" s="26">
        <f>combined_tbl!$Q265*(1-combined_tbl!$Z265)</f>
        <v>101.08000000000001</v>
      </c>
      <c r="Z265" s="27">
        <f>IF(combined_tbl!$Q265&gt;=500,0.2, IF(combined_tbl!$Q265&gt;=200,0.05, IF(combined_tbl!$X265&gt;=2,0.05,0)))</f>
        <v>0</v>
      </c>
      <c r="AA265" s="26">
        <f>combined_tbl!$Y265*combined_tbl!$X265</f>
        <v>101.08000000000001</v>
      </c>
      <c r="AB265" s="28">
        <f>(combined_tbl!$Q265*(1+combined_tbl!$Z265)-combined_tbl!$P265)*combined_tbl!$X265</f>
        <v>25.080000000000013</v>
      </c>
    </row>
    <row r="266" spans="1:28" x14ac:dyDescent="0.3">
      <c r="A266" s="19">
        <v>265</v>
      </c>
      <c r="B266" s="25" cm="1">
        <f t="array" aca="1" ref="B266" ca="1">MIN(IF($E:$E=E266,$H:$H))</f>
        <v>45039</v>
      </c>
      <c r="C266" s="25">
        <f t="shared" ca="1" si="49"/>
        <v>31</v>
      </c>
      <c r="D266" s="43">
        <f ca="1">COUNTIF(E:E,combined_tbl!$E266)</f>
        <v>3</v>
      </c>
      <c r="E266" s="29" t="str">
        <f t="shared" ca="1" si="55"/>
        <v>Customer070</v>
      </c>
      <c r="F266" s="29" t="str" cm="1">
        <f t="array" aca="1" ref="F266" ca="1">INDEX({"Male","Female"}, RANDBETWEEN(1,2))</f>
        <v>Female</v>
      </c>
      <c r="G266" s="29" t="str">
        <f t="shared" ca="1" si="48"/>
        <v>North</v>
      </c>
      <c r="H266" s="48">
        <f t="shared" ca="1" si="50"/>
        <v>45039</v>
      </c>
      <c r="I266" s="24">
        <f t="shared" ca="1" si="51"/>
        <v>23</v>
      </c>
      <c r="J266" s="46" t="str">
        <f t="shared" ca="1" si="56"/>
        <v>April</v>
      </c>
      <c r="K266" s="24">
        <f t="shared" ca="1" si="52"/>
        <v>2023</v>
      </c>
      <c r="L266" s="24" t="str">
        <f t="shared" ca="1" si="53"/>
        <v>Silver</v>
      </c>
      <c r="M266" s="29">
        <v>266</v>
      </c>
      <c r="N266" s="29" t="s">
        <v>851</v>
      </c>
      <c r="O266" s="29" t="s">
        <v>1124</v>
      </c>
      <c r="P266" s="30">
        <v>233</v>
      </c>
      <c r="Q266" s="30">
        <v>321.53999999999996</v>
      </c>
      <c r="R266" s="29">
        <v>266</v>
      </c>
      <c r="S266" s="24" t="str">
        <f t="shared" si="54"/>
        <v>Apr</v>
      </c>
      <c r="T266" s="47">
        <v>45043</v>
      </c>
      <c r="U266" s="29">
        <v>6</v>
      </c>
      <c r="V266" s="38">
        <v>26</v>
      </c>
      <c r="W266" s="29">
        <v>100</v>
      </c>
      <c r="X266" s="29">
        <v>1</v>
      </c>
      <c r="Y266" s="30">
        <f>combined_tbl!$Q266*(1-combined_tbl!$Z266)</f>
        <v>305.46299999999997</v>
      </c>
      <c r="Z266" s="31">
        <f>IF(combined_tbl!$Q266&gt;=500,0.2, IF(combined_tbl!$Q266&gt;=200,0.05, IF(combined_tbl!$X266&gt;=2,0.05,0)))</f>
        <v>0.05</v>
      </c>
      <c r="AA266" s="30">
        <f>combined_tbl!$Y266*combined_tbl!$X266</f>
        <v>305.46299999999997</v>
      </c>
      <c r="AB266" s="32">
        <f>(combined_tbl!$Q266*(1+combined_tbl!$Z266)-combined_tbl!$P266)*combined_tbl!$X266</f>
        <v>104.61699999999996</v>
      </c>
    </row>
    <row r="267" spans="1:28" x14ac:dyDescent="0.3">
      <c r="A267" s="24">
        <v>266</v>
      </c>
      <c r="B267" s="25" cm="1">
        <f t="array" aca="1" ref="B267" ca="1">MIN(IF($E:$E=E267,$H:$H))</f>
        <v>45560</v>
      </c>
      <c r="C267" s="25">
        <f t="shared" ca="1" si="49"/>
        <v>14</v>
      </c>
      <c r="D267" s="42">
        <f ca="1">COUNTIF(E:E,combined_tbl!$E267)</f>
        <v>8</v>
      </c>
      <c r="E267" s="24" t="str">
        <f t="shared" ca="1" si="55"/>
        <v>Customer021</v>
      </c>
      <c r="F267" s="24" t="str" cm="1">
        <f t="array" aca="1" ref="F267" ca="1">INDEX({"Male","Female"}, RANDBETWEEN(1,2))</f>
        <v>Male</v>
      </c>
      <c r="G267" s="29" t="str">
        <f t="shared" ca="1" si="48"/>
        <v>South</v>
      </c>
      <c r="H267" s="48">
        <f t="shared" ca="1" si="50"/>
        <v>45560</v>
      </c>
      <c r="I267" s="24">
        <f t="shared" ca="1" si="51"/>
        <v>25</v>
      </c>
      <c r="J267" s="46" t="str">
        <f t="shared" ca="1" si="56"/>
        <v>September</v>
      </c>
      <c r="K267" s="24">
        <f t="shared" ca="1" si="52"/>
        <v>2024</v>
      </c>
      <c r="L267" s="24" t="str">
        <f t="shared" ca="1" si="53"/>
        <v>Silver</v>
      </c>
      <c r="M267" s="24">
        <v>267</v>
      </c>
      <c r="N267" s="24" t="s">
        <v>957</v>
      </c>
      <c r="O267" s="24" t="s">
        <v>1125</v>
      </c>
      <c r="P267" s="26">
        <v>173</v>
      </c>
      <c r="Q267" s="26">
        <v>240.47000000000003</v>
      </c>
      <c r="R267" s="24">
        <v>267</v>
      </c>
      <c r="S267" s="24" t="str">
        <f t="shared" si="54"/>
        <v>Aug</v>
      </c>
      <c r="T267" s="46">
        <v>45514</v>
      </c>
      <c r="U267" s="24">
        <v>2</v>
      </c>
      <c r="V267" s="37">
        <v>155</v>
      </c>
      <c r="W267" s="24">
        <v>99</v>
      </c>
      <c r="X267" s="24">
        <v>1</v>
      </c>
      <c r="Y267" s="26">
        <f>combined_tbl!$Q267*(1-combined_tbl!$Z267)</f>
        <v>228.44650000000001</v>
      </c>
      <c r="Z267" s="27">
        <f>IF(combined_tbl!$Q267&gt;=500,0.2, IF(combined_tbl!$Q267&gt;=200,0.05, IF(combined_tbl!$X267&gt;=2,0.05,0)))</f>
        <v>0.05</v>
      </c>
      <c r="AA267" s="26">
        <f>combined_tbl!$Y267*combined_tbl!$X267</f>
        <v>228.44650000000001</v>
      </c>
      <c r="AB267" s="28">
        <f>(combined_tbl!$Q267*(1+combined_tbl!$Z267)-combined_tbl!$P267)*combined_tbl!$X267</f>
        <v>79.49350000000004</v>
      </c>
    </row>
    <row r="268" spans="1:28" x14ac:dyDescent="0.3">
      <c r="A268" s="29">
        <v>267</v>
      </c>
      <c r="B268" s="25" cm="1">
        <f t="array" aca="1" ref="B268" ca="1">MIN(IF($E:$E=E268,$H:$H))</f>
        <v>45761</v>
      </c>
      <c r="C268" s="25">
        <f t="shared" ca="1" si="49"/>
        <v>7</v>
      </c>
      <c r="D268" s="43">
        <f ca="1">COUNTIF(E:E,combined_tbl!$E268)</f>
        <v>7</v>
      </c>
      <c r="E268" s="29" t="str">
        <f t="shared" ca="1" si="55"/>
        <v>Customer009</v>
      </c>
      <c r="F268" s="29" t="str" cm="1">
        <f t="array" aca="1" ref="F268" ca="1">INDEX({"Male","Female"}, RANDBETWEEN(1,2))</f>
        <v>Female</v>
      </c>
      <c r="G268" s="29" t="str">
        <f t="shared" ca="1" si="48"/>
        <v>East</v>
      </c>
      <c r="H268" s="48">
        <f t="shared" ca="1" si="50"/>
        <v>45761</v>
      </c>
      <c r="I268" s="24">
        <f t="shared" ca="1" si="51"/>
        <v>14</v>
      </c>
      <c r="J268" s="46" t="str">
        <f t="shared" ca="1" si="56"/>
        <v>April</v>
      </c>
      <c r="K268" s="24">
        <f t="shared" ca="1" si="52"/>
        <v>2025</v>
      </c>
      <c r="L268" s="24" t="str">
        <f t="shared" ca="1" si="53"/>
        <v>Bronze</v>
      </c>
      <c r="M268" s="29">
        <v>268</v>
      </c>
      <c r="N268" s="29" t="s">
        <v>955</v>
      </c>
      <c r="O268" s="29" t="s">
        <v>1126</v>
      </c>
      <c r="P268" s="30">
        <v>121</v>
      </c>
      <c r="Q268" s="30">
        <v>163.35000000000002</v>
      </c>
      <c r="R268" s="29">
        <v>268</v>
      </c>
      <c r="S268" s="24" t="str">
        <f t="shared" si="54"/>
        <v>Jul</v>
      </c>
      <c r="T268" s="47">
        <v>45111</v>
      </c>
      <c r="U268" s="29">
        <v>7</v>
      </c>
      <c r="V268" s="38">
        <v>72</v>
      </c>
      <c r="W268" s="29">
        <v>38</v>
      </c>
      <c r="X268" s="29">
        <v>1</v>
      </c>
      <c r="Y268" s="30">
        <f>combined_tbl!$Q268*(1-combined_tbl!$Z268)</f>
        <v>163.35000000000002</v>
      </c>
      <c r="Z268" s="31">
        <f>IF(combined_tbl!$Q268&gt;=500,0.2, IF(combined_tbl!$Q268&gt;=200,0.05, IF(combined_tbl!$X268&gt;=2,0.05,0)))</f>
        <v>0</v>
      </c>
      <c r="AA268" s="30">
        <f>combined_tbl!$Y268*combined_tbl!$X268</f>
        <v>163.35000000000002</v>
      </c>
      <c r="AB268" s="32">
        <f>(combined_tbl!$Q268*(1+combined_tbl!$Z268)-combined_tbl!$P268)*combined_tbl!$X268</f>
        <v>42.350000000000023</v>
      </c>
    </row>
    <row r="269" spans="1:28" x14ac:dyDescent="0.3">
      <c r="A269" s="29">
        <v>268</v>
      </c>
      <c r="B269" s="25" cm="1">
        <f t="array" aca="1" ref="B269" ca="1">MIN(IF($E:$E=E269,$H:$H))</f>
        <v>45815</v>
      </c>
      <c r="C269" s="25">
        <f t="shared" ca="1" si="49"/>
        <v>5</v>
      </c>
      <c r="D269" s="42">
        <f ca="1">COUNTIF(E:E,combined_tbl!$E269)</f>
        <v>1</v>
      </c>
      <c r="E269" s="24" t="str">
        <f t="shared" ca="1" si="55"/>
        <v>Customer100</v>
      </c>
      <c r="F269" s="24" t="str" cm="1">
        <f t="array" aca="1" ref="F269" ca="1">INDEX({"Male","Female"}, RANDBETWEEN(1,2))</f>
        <v>Female</v>
      </c>
      <c r="G269" s="29" t="str">
        <f t="shared" ca="1" si="48"/>
        <v>South</v>
      </c>
      <c r="H269" s="48">
        <f t="shared" ca="1" si="50"/>
        <v>45815</v>
      </c>
      <c r="I269" s="24">
        <f t="shared" ca="1" si="51"/>
        <v>7</v>
      </c>
      <c r="J269" s="46" t="str">
        <f t="shared" ca="1" si="56"/>
        <v>June</v>
      </c>
      <c r="K269" s="24">
        <f t="shared" ca="1" si="52"/>
        <v>2025</v>
      </c>
      <c r="L269" s="24" t="str">
        <f t="shared" ca="1" si="53"/>
        <v>Bronze</v>
      </c>
      <c r="M269" s="24">
        <v>269</v>
      </c>
      <c r="N269" s="24" t="s">
        <v>955</v>
      </c>
      <c r="O269" s="24" t="s">
        <v>1127</v>
      </c>
      <c r="P269" s="26">
        <v>363</v>
      </c>
      <c r="Q269" s="26">
        <v>431.96999999999997</v>
      </c>
      <c r="R269" s="24">
        <v>269</v>
      </c>
      <c r="S269" s="24" t="str">
        <f t="shared" si="54"/>
        <v>Aug</v>
      </c>
      <c r="T269" s="46">
        <v>45874</v>
      </c>
      <c r="U269" s="24">
        <v>1</v>
      </c>
      <c r="V269" s="37">
        <v>27</v>
      </c>
      <c r="W269" s="24">
        <v>80</v>
      </c>
      <c r="X269" s="24">
        <v>1</v>
      </c>
      <c r="Y269" s="26">
        <f>combined_tbl!$Q269*(1-combined_tbl!$Z269)</f>
        <v>410.37149999999997</v>
      </c>
      <c r="Z269" s="27">
        <f>IF(combined_tbl!$Q269&gt;=500,0.2, IF(combined_tbl!$Q269&gt;=200,0.05, IF(combined_tbl!$X269&gt;=2,0.05,0)))</f>
        <v>0.05</v>
      </c>
      <c r="AA269" s="26">
        <f>combined_tbl!$Y269*combined_tbl!$X269</f>
        <v>410.37149999999997</v>
      </c>
      <c r="AB269" s="28">
        <f>(combined_tbl!$Q269*(1+combined_tbl!$Z269)-combined_tbl!$P269)*combined_tbl!$X269</f>
        <v>90.568499999999972</v>
      </c>
    </row>
    <row r="270" spans="1:28" x14ac:dyDescent="0.3">
      <c r="A270" s="29">
        <v>269</v>
      </c>
      <c r="B270" s="25" cm="1">
        <f t="array" aca="1" ref="B270" ca="1">MIN(IF($E:$E=E270,$H:$H))</f>
        <v>45595</v>
      </c>
      <c r="C270" s="25">
        <f t="shared" ca="1" si="49"/>
        <v>13</v>
      </c>
      <c r="D270" s="43">
        <f ca="1">COUNTIF(E:E,combined_tbl!$E270)</f>
        <v>2</v>
      </c>
      <c r="E270" s="29" t="str">
        <f t="shared" ca="1" si="55"/>
        <v>Customer050</v>
      </c>
      <c r="F270" s="29" t="str" cm="1">
        <f t="array" aca="1" ref="F270" ca="1">INDEX({"Male","Female"}, RANDBETWEEN(1,2))</f>
        <v>Male</v>
      </c>
      <c r="G270" s="29" t="str">
        <f t="shared" ca="1" si="48"/>
        <v>North</v>
      </c>
      <c r="H270" s="48">
        <f t="shared" ca="1" si="50"/>
        <v>45595</v>
      </c>
      <c r="I270" s="24">
        <f t="shared" ca="1" si="51"/>
        <v>30</v>
      </c>
      <c r="J270" s="46" t="str">
        <f t="shared" ca="1" si="56"/>
        <v>October</v>
      </c>
      <c r="K270" s="24">
        <f t="shared" ca="1" si="52"/>
        <v>2024</v>
      </c>
      <c r="L270" s="24" t="str">
        <f t="shared" ca="1" si="53"/>
        <v>Bronze</v>
      </c>
      <c r="M270" s="29">
        <v>270</v>
      </c>
      <c r="N270" s="29" t="s">
        <v>837</v>
      </c>
      <c r="O270" s="29" t="s">
        <v>1128</v>
      </c>
      <c r="P270" s="30">
        <v>409</v>
      </c>
      <c r="Q270" s="30">
        <v>462.16999999999996</v>
      </c>
      <c r="R270" s="29">
        <v>270</v>
      </c>
      <c r="S270" s="24" t="str">
        <f t="shared" si="54"/>
        <v>Jul</v>
      </c>
      <c r="T270" s="47">
        <v>45848</v>
      </c>
      <c r="U270" s="29">
        <v>4</v>
      </c>
      <c r="V270" s="38">
        <v>131</v>
      </c>
      <c r="W270" s="29">
        <v>100</v>
      </c>
      <c r="X270" s="29">
        <v>3</v>
      </c>
      <c r="Y270" s="30">
        <f>combined_tbl!$Q270*(1-combined_tbl!$Z270)</f>
        <v>439.06149999999997</v>
      </c>
      <c r="Z270" s="31">
        <f>IF(combined_tbl!$Q270&gt;=500,0.2, IF(combined_tbl!$Q270&gt;=200,0.05, IF(combined_tbl!$X270&gt;=2,0.05,0)))</f>
        <v>0.05</v>
      </c>
      <c r="AA270" s="30">
        <f>combined_tbl!$Y270*combined_tbl!$X270</f>
        <v>1317.1844999999998</v>
      </c>
      <c r="AB270" s="32">
        <f>(combined_tbl!$Q270*(1+combined_tbl!$Z270)-combined_tbl!$P270)*combined_tbl!$X270</f>
        <v>228.83549999999985</v>
      </c>
    </row>
    <row r="271" spans="1:28" x14ac:dyDescent="0.3">
      <c r="A271" s="29">
        <v>270</v>
      </c>
      <c r="B271" s="25" cm="1">
        <f t="array" aca="1" ref="B271" ca="1">MIN(IF($E:$E=E271,$H:$H))</f>
        <v>45587</v>
      </c>
      <c r="C271" s="25">
        <f t="shared" ca="1" si="49"/>
        <v>13</v>
      </c>
      <c r="D271" s="42">
        <f ca="1">COUNTIF(E:E,combined_tbl!$E271)</f>
        <v>2</v>
      </c>
      <c r="E271" s="24" t="str">
        <f t="shared" ca="1" si="55"/>
        <v>Customer120</v>
      </c>
      <c r="F271" s="24" t="str" cm="1">
        <f t="array" aca="1" ref="F271" ca="1">INDEX({"Male","Female"}, RANDBETWEEN(1,2))</f>
        <v>Female</v>
      </c>
      <c r="G271" s="29" t="str">
        <f t="shared" ca="1" si="48"/>
        <v>North</v>
      </c>
      <c r="H271" s="48">
        <f t="shared" ca="1" si="50"/>
        <v>45587</v>
      </c>
      <c r="I271" s="24">
        <f t="shared" ca="1" si="51"/>
        <v>22</v>
      </c>
      <c r="J271" s="46" t="str">
        <f t="shared" ca="1" si="56"/>
        <v>October</v>
      </c>
      <c r="K271" s="24">
        <f t="shared" ca="1" si="52"/>
        <v>2024</v>
      </c>
      <c r="L271" s="24" t="str">
        <f t="shared" ca="1" si="53"/>
        <v>Bronze</v>
      </c>
      <c r="M271" s="24">
        <v>271</v>
      </c>
      <c r="N271" s="24" t="s">
        <v>954</v>
      </c>
      <c r="O271" s="24" t="s">
        <v>1129</v>
      </c>
      <c r="P271" s="26">
        <v>636</v>
      </c>
      <c r="Q271" s="26">
        <v>896.76</v>
      </c>
      <c r="R271" s="24">
        <v>271</v>
      </c>
      <c r="S271" s="24" t="str">
        <f t="shared" si="54"/>
        <v>Oct</v>
      </c>
      <c r="T271" s="46">
        <v>45585</v>
      </c>
      <c r="U271" s="24">
        <v>8</v>
      </c>
      <c r="V271" s="37">
        <v>12</v>
      </c>
      <c r="W271" s="24">
        <v>75</v>
      </c>
      <c r="X271" s="24">
        <v>2</v>
      </c>
      <c r="Y271" s="26">
        <f>combined_tbl!$Q271*(1-combined_tbl!$Z271)</f>
        <v>717.40800000000002</v>
      </c>
      <c r="Z271" s="27">
        <f>IF(combined_tbl!$Q271&gt;=500,0.2, IF(combined_tbl!$Q271&gt;=200,0.05, IF(combined_tbl!$X271&gt;=2,0.05,0)))</f>
        <v>0.2</v>
      </c>
      <c r="AA271" s="26">
        <f>combined_tbl!$Y271*combined_tbl!$X271</f>
        <v>1434.816</v>
      </c>
      <c r="AB271" s="28">
        <f>(combined_tbl!$Q271*(1+combined_tbl!$Z271)-combined_tbl!$P271)*combined_tbl!$X271</f>
        <v>880.22399999999971</v>
      </c>
    </row>
    <row r="272" spans="1:28" x14ac:dyDescent="0.3">
      <c r="A272" s="29">
        <v>271</v>
      </c>
      <c r="B272" s="25" cm="1">
        <f t="array" aca="1" ref="B272" ca="1">MIN(IF($E:$E=E272,$H:$H))</f>
        <v>45433</v>
      </c>
      <c r="C272" s="25">
        <f t="shared" ca="1" si="49"/>
        <v>18</v>
      </c>
      <c r="D272" s="43">
        <f ca="1">COUNTIF(E:E,combined_tbl!$E272)</f>
        <v>6</v>
      </c>
      <c r="E272" s="29" t="str">
        <f t="shared" ca="1" si="55"/>
        <v>Customer066</v>
      </c>
      <c r="F272" s="29" t="str" cm="1">
        <f t="array" aca="1" ref="F272" ca="1">INDEX({"Male","Female"}, RANDBETWEEN(1,2))</f>
        <v>Female</v>
      </c>
      <c r="G272" s="29" t="str">
        <f t="shared" ca="1" si="48"/>
        <v>West</v>
      </c>
      <c r="H272" s="48">
        <f t="shared" ca="1" si="50"/>
        <v>45433</v>
      </c>
      <c r="I272" s="24">
        <f t="shared" ca="1" si="51"/>
        <v>21</v>
      </c>
      <c r="J272" s="46" t="str">
        <f t="shared" ca="1" si="56"/>
        <v>May</v>
      </c>
      <c r="K272" s="24">
        <f t="shared" ca="1" si="52"/>
        <v>2024</v>
      </c>
      <c r="L272" s="24" t="str">
        <f t="shared" ca="1" si="53"/>
        <v>Silver</v>
      </c>
      <c r="M272" s="29">
        <v>272</v>
      </c>
      <c r="N272" s="29" t="s">
        <v>954</v>
      </c>
      <c r="O272" s="29" t="s">
        <v>1130</v>
      </c>
      <c r="P272" s="30">
        <v>852</v>
      </c>
      <c r="Q272" s="30">
        <v>1056.48</v>
      </c>
      <c r="R272" s="29">
        <v>272</v>
      </c>
      <c r="S272" s="24" t="str">
        <f t="shared" si="54"/>
        <v>Oct</v>
      </c>
      <c r="T272" s="47">
        <v>45953</v>
      </c>
      <c r="U272" s="29">
        <v>3</v>
      </c>
      <c r="V272" s="38">
        <v>108</v>
      </c>
      <c r="W272" s="29">
        <v>7</v>
      </c>
      <c r="X272" s="29">
        <v>1</v>
      </c>
      <c r="Y272" s="30">
        <f>combined_tbl!$Q272*(1-combined_tbl!$Z272)</f>
        <v>845.18400000000008</v>
      </c>
      <c r="Z272" s="31">
        <f>IF(combined_tbl!$Q272&gt;=500,0.2, IF(combined_tbl!$Q272&gt;=200,0.05, IF(combined_tbl!$X272&gt;=2,0.05,0)))</f>
        <v>0.2</v>
      </c>
      <c r="AA272" s="30">
        <f>combined_tbl!$Y272*combined_tbl!$X272</f>
        <v>845.18400000000008</v>
      </c>
      <c r="AB272" s="32">
        <f>(combined_tbl!$Q272*(1+combined_tbl!$Z272)-combined_tbl!$P272)*combined_tbl!$X272</f>
        <v>415.77600000000007</v>
      </c>
    </row>
    <row r="273" spans="1:28" x14ac:dyDescent="0.3">
      <c r="A273" s="29">
        <v>272</v>
      </c>
      <c r="B273" s="25" cm="1">
        <f t="array" aca="1" ref="B273" ca="1">MIN(IF($E:$E=E273,$H:$H))</f>
        <v>45608</v>
      </c>
      <c r="C273" s="25">
        <f t="shared" ca="1" si="49"/>
        <v>12</v>
      </c>
      <c r="D273" s="42">
        <f ca="1">COUNTIF(E:E,combined_tbl!$E273)</f>
        <v>5</v>
      </c>
      <c r="E273" s="24" t="str">
        <f t="shared" ca="1" si="55"/>
        <v>Customer041</v>
      </c>
      <c r="F273" s="24" t="str" cm="1">
        <f t="array" aca="1" ref="F273" ca="1">INDEX({"Male","Female"}, RANDBETWEEN(1,2))</f>
        <v>Male</v>
      </c>
      <c r="G273" s="29" t="str">
        <f t="shared" ca="1" si="48"/>
        <v>West</v>
      </c>
      <c r="H273" s="48">
        <f t="shared" ca="1" si="50"/>
        <v>45608</v>
      </c>
      <c r="I273" s="24">
        <f t="shared" ca="1" si="51"/>
        <v>12</v>
      </c>
      <c r="J273" s="46" t="str">
        <f t="shared" ca="1" si="56"/>
        <v>November</v>
      </c>
      <c r="K273" s="24">
        <f t="shared" ca="1" si="52"/>
        <v>2024</v>
      </c>
      <c r="L273" s="24" t="str">
        <f t="shared" ca="1" si="53"/>
        <v>Silver</v>
      </c>
      <c r="M273" s="24">
        <v>273</v>
      </c>
      <c r="N273" s="24" t="s">
        <v>851</v>
      </c>
      <c r="O273" s="24" t="s">
        <v>1131</v>
      </c>
      <c r="P273" s="26">
        <v>76</v>
      </c>
      <c r="Q273" s="26">
        <v>87.399999999999991</v>
      </c>
      <c r="R273" s="24">
        <v>273</v>
      </c>
      <c r="S273" s="24" t="str">
        <f t="shared" si="54"/>
        <v>May</v>
      </c>
      <c r="T273" s="46">
        <v>45053</v>
      </c>
      <c r="U273" s="24">
        <v>8</v>
      </c>
      <c r="V273" s="37">
        <v>119</v>
      </c>
      <c r="W273" s="24">
        <v>22</v>
      </c>
      <c r="X273" s="24">
        <v>2</v>
      </c>
      <c r="Y273" s="26">
        <f>combined_tbl!$Q273*(1-combined_tbl!$Z273)</f>
        <v>83.029999999999987</v>
      </c>
      <c r="Z273" s="27">
        <f>IF(combined_tbl!$Q273&gt;=500,0.2, IF(combined_tbl!$Q273&gt;=200,0.05, IF(combined_tbl!$X273&gt;=2,0.05,0)))</f>
        <v>0.05</v>
      </c>
      <c r="AA273" s="26">
        <f>combined_tbl!$Y273*combined_tbl!$X273</f>
        <v>166.05999999999997</v>
      </c>
      <c r="AB273" s="28">
        <f>(combined_tbl!$Q273*(1+combined_tbl!$Z273)-combined_tbl!$P273)*combined_tbl!$X273</f>
        <v>31.539999999999992</v>
      </c>
    </row>
    <row r="274" spans="1:28" x14ac:dyDescent="0.3">
      <c r="A274" s="19">
        <v>273</v>
      </c>
      <c r="B274" s="25" cm="1">
        <f t="array" aca="1" ref="B274" ca="1">MIN(IF($E:$E=E274,$H:$H))</f>
        <v>44992</v>
      </c>
      <c r="C274" s="25">
        <f t="shared" ca="1" si="49"/>
        <v>32</v>
      </c>
      <c r="D274" s="43">
        <f ca="1">COUNTIF(E:E,combined_tbl!$E274)</f>
        <v>8</v>
      </c>
      <c r="E274" s="29" t="str">
        <f t="shared" ca="1" si="55"/>
        <v>Customer020</v>
      </c>
      <c r="F274" s="29" t="str" cm="1">
        <f t="array" aca="1" ref="F274" ca="1">INDEX({"Male","Female"}, RANDBETWEEN(1,2))</f>
        <v>Female</v>
      </c>
      <c r="G274" s="29" t="str">
        <f t="shared" ca="1" si="48"/>
        <v>South</v>
      </c>
      <c r="H274" s="48">
        <f t="shared" ca="1" si="50"/>
        <v>44992</v>
      </c>
      <c r="I274" s="24">
        <f t="shared" ca="1" si="51"/>
        <v>7</v>
      </c>
      <c r="J274" s="46" t="str">
        <f t="shared" ca="1" si="56"/>
        <v>March</v>
      </c>
      <c r="K274" s="24">
        <f t="shared" ca="1" si="52"/>
        <v>2023</v>
      </c>
      <c r="L274" s="24" t="str">
        <f t="shared" ca="1" si="53"/>
        <v>Gold</v>
      </c>
      <c r="M274" s="29">
        <v>274</v>
      </c>
      <c r="N274" s="29" t="s">
        <v>957</v>
      </c>
      <c r="O274" s="29" t="s">
        <v>1132</v>
      </c>
      <c r="P274" s="30">
        <v>152</v>
      </c>
      <c r="Q274" s="30">
        <v>179.35999999999999</v>
      </c>
      <c r="R274" s="29">
        <v>274</v>
      </c>
      <c r="S274" s="24" t="str">
        <f t="shared" si="54"/>
        <v>Jul</v>
      </c>
      <c r="T274" s="47">
        <v>45138</v>
      </c>
      <c r="U274" s="29">
        <v>6</v>
      </c>
      <c r="V274" s="38">
        <v>76</v>
      </c>
      <c r="W274" s="29">
        <v>87</v>
      </c>
      <c r="X274" s="29">
        <v>1</v>
      </c>
      <c r="Y274" s="30">
        <f>combined_tbl!$Q274*(1-combined_tbl!$Z274)</f>
        <v>179.35999999999999</v>
      </c>
      <c r="Z274" s="31">
        <f>IF(combined_tbl!$Q274&gt;=500,0.2, IF(combined_tbl!$Q274&gt;=200,0.05, IF(combined_tbl!$X274&gt;=2,0.05,0)))</f>
        <v>0</v>
      </c>
      <c r="AA274" s="30">
        <f>combined_tbl!$Y274*combined_tbl!$X274</f>
        <v>179.35999999999999</v>
      </c>
      <c r="AB274" s="32">
        <f>(combined_tbl!$Q274*(1+combined_tbl!$Z274)-combined_tbl!$P274)*combined_tbl!$X274</f>
        <v>27.359999999999985</v>
      </c>
    </row>
    <row r="275" spans="1:28" x14ac:dyDescent="0.3">
      <c r="A275" s="24">
        <v>274</v>
      </c>
      <c r="B275" s="25" cm="1">
        <f t="array" aca="1" ref="B275" ca="1">MIN(IF($E:$E=E275,$H:$H))</f>
        <v>45260</v>
      </c>
      <c r="C275" s="25">
        <f t="shared" ca="1" si="49"/>
        <v>24</v>
      </c>
      <c r="D275" s="42">
        <f ca="1">COUNTIF(E:E,combined_tbl!$E275)</f>
        <v>13</v>
      </c>
      <c r="E275" s="24" t="str">
        <f t="shared" ca="1" si="55"/>
        <v>Customer001</v>
      </c>
      <c r="F275" s="24" t="str" cm="1">
        <f t="array" aca="1" ref="F275" ca="1">INDEX({"Male","Female"}, RANDBETWEEN(1,2))</f>
        <v>Male</v>
      </c>
      <c r="G275" s="29" t="str">
        <f t="shared" ca="1" si="48"/>
        <v>South</v>
      </c>
      <c r="H275" s="48">
        <f t="shared" ca="1" si="50"/>
        <v>45260</v>
      </c>
      <c r="I275" s="24">
        <f t="shared" ca="1" si="51"/>
        <v>30</v>
      </c>
      <c r="J275" s="46" t="str">
        <f t="shared" ca="1" si="56"/>
        <v>November</v>
      </c>
      <c r="K275" s="24">
        <f t="shared" ca="1" si="52"/>
        <v>2023</v>
      </c>
      <c r="L275" s="24" t="str">
        <f t="shared" ca="1" si="53"/>
        <v>Platinum</v>
      </c>
      <c r="M275" s="24">
        <v>275</v>
      </c>
      <c r="N275" s="24" t="s">
        <v>872</v>
      </c>
      <c r="O275" s="24" t="s">
        <v>1133</v>
      </c>
      <c r="P275" s="26">
        <v>11</v>
      </c>
      <c r="Q275" s="26">
        <v>16.39</v>
      </c>
      <c r="R275" s="24">
        <v>275</v>
      </c>
      <c r="S275" s="24" t="str">
        <f t="shared" si="54"/>
        <v>Jun</v>
      </c>
      <c r="T275" s="46">
        <v>45099</v>
      </c>
      <c r="U275" s="24">
        <v>3</v>
      </c>
      <c r="V275" s="37">
        <v>26</v>
      </c>
      <c r="W275" s="24">
        <v>81</v>
      </c>
      <c r="X275" s="24">
        <v>3</v>
      </c>
      <c r="Y275" s="26">
        <f>combined_tbl!$Q275*(1-combined_tbl!$Z275)</f>
        <v>15.570499999999999</v>
      </c>
      <c r="Z275" s="27">
        <f>IF(combined_tbl!$Q275&gt;=500,0.2, IF(combined_tbl!$Q275&gt;=200,0.05, IF(combined_tbl!$X275&gt;=2,0.05,0)))</f>
        <v>0.05</v>
      </c>
      <c r="AA275" s="26">
        <f>combined_tbl!$Y275*combined_tbl!$X275</f>
        <v>46.711500000000001</v>
      </c>
      <c r="AB275" s="28">
        <f>(combined_tbl!$Q275*(1+combined_tbl!$Z275)-combined_tbl!$P275)*combined_tbl!$X275</f>
        <v>18.628500000000006</v>
      </c>
    </row>
    <row r="276" spans="1:28" x14ac:dyDescent="0.3">
      <c r="A276" s="29">
        <v>275</v>
      </c>
      <c r="B276" s="25" cm="1">
        <f t="array" aca="1" ref="B276" ca="1">MIN(IF($E:$E=E276,$H:$H))</f>
        <v>45182</v>
      </c>
      <c r="C276" s="25">
        <f t="shared" ca="1" si="49"/>
        <v>26</v>
      </c>
      <c r="D276" s="43">
        <f ca="1">COUNTIF(E:E,combined_tbl!$E276)</f>
        <v>13</v>
      </c>
      <c r="E276" s="29" t="str">
        <f t="shared" ca="1" si="55"/>
        <v>Customer024</v>
      </c>
      <c r="F276" s="29" t="str" cm="1">
        <f t="array" aca="1" ref="F276" ca="1">INDEX({"Male","Female"}, RANDBETWEEN(1,2))</f>
        <v>Male</v>
      </c>
      <c r="G276" s="29" t="str">
        <f t="shared" ca="1" si="48"/>
        <v>East</v>
      </c>
      <c r="H276" s="48">
        <f t="shared" ca="1" si="50"/>
        <v>45182</v>
      </c>
      <c r="I276" s="24">
        <f t="shared" ca="1" si="51"/>
        <v>13</v>
      </c>
      <c r="J276" s="46" t="str">
        <f t="shared" ca="1" si="56"/>
        <v>September</v>
      </c>
      <c r="K276" s="24">
        <f t="shared" ca="1" si="52"/>
        <v>2023</v>
      </c>
      <c r="L276" s="24" t="str">
        <f t="shared" ca="1" si="53"/>
        <v>Platinum</v>
      </c>
      <c r="M276" s="29">
        <v>276</v>
      </c>
      <c r="N276" s="29" t="s">
        <v>831</v>
      </c>
      <c r="O276" s="29" t="s">
        <v>1134</v>
      </c>
      <c r="P276" s="30">
        <v>269</v>
      </c>
      <c r="Q276" s="30">
        <v>365.84</v>
      </c>
      <c r="R276" s="29">
        <v>276</v>
      </c>
      <c r="S276" s="24" t="str">
        <f t="shared" si="54"/>
        <v>Mar</v>
      </c>
      <c r="T276" s="47">
        <v>45007</v>
      </c>
      <c r="U276" s="29">
        <v>4</v>
      </c>
      <c r="V276" s="38">
        <v>130</v>
      </c>
      <c r="W276" s="29">
        <v>43</v>
      </c>
      <c r="X276" s="29">
        <v>1</v>
      </c>
      <c r="Y276" s="30">
        <f>combined_tbl!$Q276*(1-combined_tbl!$Z276)</f>
        <v>347.54799999999994</v>
      </c>
      <c r="Z276" s="31">
        <f>IF(combined_tbl!$Q276&gt;=500,0.2, IF(combined_tbl!$Q276&gt;=200,0.05, IF(combined_tbl!$X276&gt;=2,0.05,0)))</f>
        <v>0.05</v>
      </c>
      <c r="AA276" s="30">
        <f>combined_tbl!$Y276*combined_tbl!$X276</f>
        <v>347.54799999999994</v>
      </c>
      <c r="AB276" s="32">
        <f>(combined_tbl!$Q276*(1+combined_tbl!$Z276)-combined_tbl!$P276)*combined_tbl!$X276</f>
        <v>115.13200000000001</v>
      </c>
    </row>
    <row r="277" spans="1:28" x14ac:dyDescent="0.3">
      <c r="A277" s="29">
        <v>276</v>
      </c>
      <c r="B277" s="25" cm="1">
        <f t="array" aca="1" ref="B277" ca="1">MIN(IF($E:$E=E277,$H:$H))</f>
        <v>45812</v>
      </c>
      <c r="C277" s="25">
        <f t="shared" ca="1" si="49"/>
        <v>6</v>
      </c>
      <c r="D277" s="42">
        <f ca="1">COUNTIF(E:E,combined_tbl!$E277)</f>
        <v>10</v>
      </c>
      <c r="E277" s="24" t="str">
        <f t="shared" ca="1" si="55"/>
        <v>Customer026</v>
      </c>
      <c r="F277" s="24" t="str" cm="1">
        <f t="array" aca="1" ref="F277" ca="1">INDEX({"Male","Female"}, RANDBETWEEN(1,2))</f>
        <v>Male</v>
      </c>
      <c r="G277" s="29" t="str">
        <f t="shared" ca="1" si="48"/>
        <v>North</v>
      </c>
      <c r="H277" s="48">
        <f t="shared" ca="1" si="50"/>
        <v>45812</v>
      </c>
      <c r="I277" s="24">
        <f t="shared" ca="1" si="51"/>
        <v>4</v>
      </c>
      <c r="J277" s="46" t="str">
        <f t="shared" ca="1" si="56"/>
        <v>June</v>
      </c>
      <c r="K277" s="24">
        <f t="shared" ca="1" si="52"/>
        <v>2025</v>
      </c>
      <c r="L277" s="24" t="str">
        <f t="shared" ca="1" si="53"/>
        <v>Bronze</v>
      </c>
      <c r="M277" s="24">
        <v>277</v>
      </c>
      <c r="N277" s="24" t="s">
        <v>954</v>
      </c>
      <c r="O277" s="24" t="s">
        <v>1135</v>
      </c>
      <c r="P277" s="26">
        <v>398</v>
      </c>
      <c r="Q277" s="26">
        <v>457.7</v>
      </c>
      <c r="R277" s="24">
        <v>277</v>
      </c>
      <c r="S277" s="24" t="str">
        <f t="shared" si="54"/>
        <v>Jun</v>
      </c>
      <c r="T277" s="46">
        <v>45823</v>
      </c>
      <c r="U277" s="24">
        <v>8</v>
      </c>
      <c r="V277" s="37">
        <v>119</v>
      </c>
      <c r="W277" s="24">
        <v>31</v>
      </c>
      <c r="X277" s="24">
        <v>2</v>
      </c>
      <c r="Y277" s="26">
        <f>combined_tbl!$Q277*(1-combined_tbl!$Z277)</f>
        <v>434.81499999999994</v>
      </c>
      <c r="Z277" s="27">
        <f>IF(combined_tbl!$Q277&gt;=500,0.2, IF(combined_tbl!$Q277&gt;=200,0.05, IF(combined_tbl!$X277&gt;=2,0.05,0)))</f>
        <v>0.05</v>
      </c>
      <c r="AA277" s="26">
        <f>combined_tbl!$Y277*combined_tbl!$X277</f>
        <v>869.62999999999988</v>
      </c>
      <c r="AB277" s="28">
        <f>(combined_tbl!$Q277*(1+combined_tbl!$Z277)-combined_tbl!$P277)*combined_tbl!$X277</f>
        <v>165.17000000000007</v>
      </c>
    </row>
    <row r="278" spans="1:28" x14ac:dyDescent="0.3">
      <c r="A278" s="29">
        <v>277</v>
      </c>
      <c r="B278" s="25" cm="1">
        <f t="array" aca="1" ref="B278" ca="1">MIN(IF($E:$E=E278,$H:$H))</f>
        <v>45047</v>
      </c>
      <c r="C278" s="25">
        <f t="shared" ca="1" si="49"/>
        <v>31</v>
      </c>
      <c r="D278" s="43">
        <f ca="1">COUNTIF(E:E,combined_tbl!$E278)</f>
        <v>3</v>
      </c>
      <c r="E278" s="29" t="str">
        <f t="shared" ca="1" si="55"/>
        <v>Customer056</v>
      </c>
      <c r="F278" s="29" t="str" cm="1">
        <f t="array" aca="1" ref="F278" ca="1">INDEX({"Male","Female"}, RANDBETWEEN(1,2))</f>
        <v>Male</v>
      </c>
      <c r="G278" s="29" t="str">
        <f t="shared" ca="1" si="48"/>
        <v>East</v>
      </c>
      <c r="H278" s="48">
        <f t="shared" ca="1" si="50"/>
        <v>45047</v>
      </c>
      <c r="I278" s="24">
        <f t="shared" ca="1" si="51"/>
        <v>1</v>
      </c>
      <c r="J278" s="46" t="str">
        <f t="shared" ca="1" si="56"/>
        <v>May</v>
      </c>
      <c r="K278" s="24">
        <f t="shared" ca="1" si="52"/>
        <v>2023</v>
      </c>
      <c r="L278" s="24" t="str">
        <f t="shared" ca="1" si="53"/>
        <v>Silver</v>
      </c>
      <c r="M278" s="29">
        <v>278</v>
      </c>
      <c r="N278" s="29" t="s">
        <v>872</v>
      </c>
      <c r="O278" s="29" t="s">
        <v>1136</v>
      </c>
      <c r="P278" s="30">
        <v>58</v>
      </c>
      <c r="Q278" s="30">
        <v>64.960000000000008</v>
      </c>
      <c r="R278" s="29">
        <v>278</v>
      </c>
      <c r="S278" s="24" t="str">
        <f t="shared" si="54"/>
        <v>Nov</v>
      </c>
      <c r="T278" s="47">
        <v>45252</v>
      </c>
      <c r="U278" s="29">
        <v>6</v>
      </c>
      <c r="V278" s="38">
        <v>82</v>
      </c>
      <c r="W278" s="29">
        <v>52</v>
      </c>
      <c r="X278" s="29">
        <v>1</v>
      </c>
      <c r="Y278" s="30">
        <f>combined_tbl!$Q278*(1-combined_tbl!$Z278)</f>
        <v>64.960000000000008</v>
      </c>
      <c r="Z278" s="31">
        <f>IF(combined_tbl!$Q278&gt;=500,0.2, IF(combined_tbl!$Q278&gt;=200,0.05, IF(combined_tbl!$X278&gt;=2,0.05,0)))</f>
        <v>0</v>
      </c>
      <c r="AA278" s="30">
        <f>combined_tbl!$Y278*combined_tbl!$X278</f>
        <v>64.960000000000008</v>
      </c>
      <c r="AB278" s="32">
        <f>(combined_tbl!$Q278*(1+combined_tbl!$Z278)-combined_tbl!$P278)*combined_tbl!$X278</f>
        <v>6.960000000000008</v>
      </c>
    </row>
    <row r="279" spans="1:28" x14ac:dyDescent="0.3">
      <c r="A279" s="29">
        <v>278</v>
      </c>
      <c r="B279" s="25" cm="1">
        <f t="array" aca="1" ref="B279" ca="1">MIN(IF($E:$E=E279,$H:$H))</f>
        <v>45318</v>
      </c>
      <c r="C279" s="25">
        <f t="shared" ca="1" si="49"/>
        <v>22</v>
      </c>
      <c r="D279" s="42">
        <f ca="1">COUNTIF(E:E,combined_tbl!$E279)</f>
        <v>3</v>
      </c>
      <c r="E279" s="24" t="str">
        <f t="shared" ca="1" si="55"/>
        <v>Customer035</v>
      </c>
      <c r="F279" s="24" t="str" cm="1">
        <f t="array" aca="1" ref="F279" ca="1">INDEX({"Male","Female"}, RANDBETWEEN(1,2))</f>
        <v>Male</v>
      </c>
      <c r="G279" s="29" t="str">
        <f t="shared" ca="1" si="48"/>
        <v>North</v>
      </c>
      <c r="H279" s="48">
        <f t="shared" ca="1" si="50"/>
        <v>45318</v>
      </c>
      <c r="I279" s="24">
        <f t="shared" ca="1" si="51"/>
        <v>27</v>
      </c>
      <c r="J279" s="46" t="str">
        <f t="shared" ca="1" si="56"/>
        <v>January</v>
      </c>
      <c r="K279" s="24">
        <f t="shared" ca="1" si="52"/>
        <v>2024</v>
      </c>
      <c r="L279" s="24" t="str">
        <f t="shared" ca="1" si="53"/>
        <v>Silver</v>
      </c>
      <c r="M279" s="24">
        <v>279</v>
      </c>
      <c r="N279" s="24" t="s">
        <v>837</v>
      </c>
      <c r="O279" s="24" t="s">
        <v>1137</v>
      </c>
      <c r="P279" s="26">
        <v>106</v>
      </c>
      <c r="Q279" s="26">
        <v>134.62</v>
      </c>
      <c r="R279" s="24">
        <v>279</v>
      </c>
      <c r="S279" s="24" t="str">
        <f t="shared" si="54"/>
        <v>Feb</v>
      </c>
      <c r="T279" s="46">
        <v>45690</v>
      </c>
      <c r="U279" s="24">
        <v>5</v>
      </c>
      <c r="V279" s="37">
        <v>204</v>
      </c>
      <c r="W279" s="24">
        <v>100</v>
      </c>
      <c r="X279" s="24">
        <v>1</v>
      </c>
      <c r="Y279" s="26">
        <f>combined_tbl!$Q279*(1-combined_tbl!$Z279)</f>
        <v>134.62</v>
      </c>
      <c r="Z279" s="27">
        <f>IF(combined_tbl!$Q279&gt;=500,0.2, IF(combined_tbl!$Q279&gt;=200,0.05, IF(combined_tbl!$X279&gt;=2,0.05,0)))</f>
        <v>0</v>
      </c>
      <c r="AA279" s="26">
        <f>combined_tbl!$Y279*combined_tbl!$X279</f>
        <v>134.62</v>
      </c>
      <c r="AB279" s="28">
        <f>(combined_tbl!$Q279*(1+combined_tbl!$Z279)-combined_tbl!$P279)*combined_tbl!$X279</f>
        <v>28.620000000000005</v>
      </c>
    </row>
    <row r="280" spans="1:28" x14ac:dyDescent="0.3">
      <c r="A280" s="29">
        <v>279</v>
      </c>
      <c r="B280" s="25" cm="1">
        <f t="array" aca="1" ref="B280" ca="1">MIN(IF($E:$E=E280,$H:$H))</f>
        <v>45400</v>
      </c>
      <c r="C280" s="25">
        <f t="shared" ca="1" si="49"/>
        <v>19</v>
      </c>
      <c r="D280" s="43">
        <f ca="1">COUNTIF(E:E,combined_tbl!$E280)</f>
        <v>5</v>
      </c>
      <c r="E280" s="29" t="str">
        <f t="shared" ca="1" si="55"/>
        <v>Customer071</v>
      </c>
      <c r="F280" s="29" t="str" cm="1">
        <f t="array" aca="1" ref="F280" ca="1">INDEX({"Male","Female"}, RANDBETWEEN(1,2))</f>
        <v>Female</v>
      </c>
      <c r="G280" s="29" t="str">
        <f t="shared" ca="1" si="48"/>
        <v>West</v>
      </c>
      <c r="H280" s="48">
        <f t="shared" ca="1" si="50"/>
        <v>45400</v>
      </c>
      <c r="I280" s="24">
        <f t="shared" ca="1" si="51"/>
        <v>18</v>
      </c>
      <c r="J280" s="46" t="str">
        <f t="shared" ca="1" si="56"/>
        <v>April</v>
      </c>
      <c r="K280" s="24">
        <f t="shared" ca="1" si="52"/>
        <v>2024</v>
      </c>
      <c r="L280" s="24" t="str">
        <f t="shared" ca="1" si="53"/>
        <v>Silver</v>
      </c>
      <c r="M280" s="29">
        <v>280</v>
      </c>
      <c r="N280" s="29" t="s">
        <v>837</v>
      </c>
      <c r="O280" s="29" t="s">
        <v>1138</v>
      </c>
      <c r="P280" s="30">
        <v>28</v>
      </c>
      <c r="Q280" s="30">
        <v>39.479999999999997</v>
      </c>
      <c r="R280" s="29">
        <v>280</v>
      </c>
      <c r="S280" s="24" t="str">
        <f t="shared" si="54"/>
        <v>Mar</v>
      </c>
      <c r="T280" s="47">
        <v>45720</v>
      </c>
      <c r="U280" s="29">
        <v>7</v>
      </c>
      <c r="V280" s="38">
        <v>127</v>
      </c>
      <c r="W280" s="29">
        <v>68</v>
      </c>
      <c r="X280" s="29">
        <v>1</v>
      </c>
      <c r="Y280" s="30">
        <f>combined_tbl!$Q280*(1-combined_tbl!$Z280)</f>
        <v>39.479999999999997</v>
      </c>
      <c r="Z280" s="31">
        <f>IF(combined_tbl!$Q280&gt;=500,0.2, IF(combined_tbl!$Q280&gt;=200,0.05, IF(combined_tbl!$X280&gt;=2,0.05,0)))</f>
        <v>0</v>
      </c>
      <c r="AA280" s="30">
        <f>combined_tbl!$Y280*combined_tbl!$X280</f>
        <v>39.479999999999997</v>
      </c>
      <c r="AB280" s="32">
        <f>(combined_tbl!$Q280*(1+combined_tbl!$Z280)-combined_tbl!$P280)*combined_tbl!$X280</f>
        <v>11.479999999999997</v>
      </c>
    </row>
    <row r="281" spans="1:28" x14ac:dyDescent="0.3">
      <c r="A281" s="29">
        <v>280</v>
      </c>
      <c r="B281" s="25" cm="1">
        <f t="array" aca="1" ref="B281" ca="1">MIN(IF($E:$E=E281,$H:$H))</f>
        <v>45625</v>
      </c>
      <c r="C281" s="25">
        <f t="shared" ca="1" si="49"/>
        <v>12</v>
      </c>
      <c r="D281" s="42">
        <f ca="1">COUNTIF(E:E,combined_tbl!$E281)</f>
        <v>7</v>
      </c>
      <c r="E281" s="24" t="str">
        <f t="shared" ca="1" si="55"/>
        <v>Customer038</v>
      </c>
      <c r="F281" s="24" t="str" cm="1">
        <f t="array" aca="1" ref="F281" ca="1">INDEX({"Male","Female"}, RANDBETWEEN(1,2))</f>
        <v>Female</v>
      </c>
      <c r="G281" s="29" t="str">
        <f t="shared" ca="1" si="48"/>
        <v>West</v>
      </c>
      <c r="H281" s="48">
        <f t="shared" ca="1" si="50"/>
        <v>45625</v>
      </c>
      <c r="I281" s="24">
        <f t="shared" ca="1" si="51"/>
        <v>29</v>
      </c>
      <c r="J281" s="46" t="str">
        <f t="shared" ca="1" si="56"/>
        <v>November</v>
      </c>
      <c r="K281" s="24">
        <f t="shared" ca="1" si="52"/>
        <v>2024</v>
      </c>
      <c r="L281" s="24" t="str">
        <f t="shared" ca="1" si="53"/>
        <v>Silver</v>
      </c>
      <c r="M281" s="24">
        <v>281</v>
      </c>
      <c r="N281" s="24" t="s">
        <v>847</v>
      </c>
      <c r="O281" s="24" t="s">
        <v>1139</v>
      </c>
      <c r="P281" s="26">
        <v>31</v>
      </c>
      <c r="Q281" s="26">
        <v>45.26</v>
      </c>
      <c r="R281" s="24">
        <v>281</v>
      </c>
      <c r="S281" s="24" t="str">
        <f t="shared" si="54"/>
        <v>Nov</v>
      </c>
      <c r="T281" s="46">
        <v>45619</v>
      </c>
      <c r="U281" s="24">
        <v>1</v>
      </c>
      <c r="V281" s="37">
        <v>173</v>
      </c>
      <c r="W281" s="24">
        <v>8</v>
      </c>
      <c r="X281" s="24">
        <v>1</v>
      </c>
      <c r="Y281" s="26">
        <f>combined_tbl!$Q281*(1-combined_tbl!$Z281)</f>
        <v>45.26</v>
      </c>
      <c r="Z281" s="27">
        <f>IF(combined_tbl!$Q281&gt;=500,0.2, IF(combined_tbl!$Q281&gt;=200,0.05, IF(combined_tbl!$X281&gt;=2,0.05,0)))</f>
        <v>0</v>
      </c>
      <c r="AA281" s="26">
        <f>combined_tbl!$Y281*combined_tbl!$X281</f>
        <v>45.26</v>
      </c>
      <c r="AB281" s="28">
        <f>(combined_tbl!$Q281*(1+combined_tbl!$Z281)-combined_tbl!$P281)*combined_tbl!$X281</f>
        <v>14.259999999999998</v>
      </c>
    </row>
    <row r="282" spans="1:28" x14ac:dyDescent="0.3">
      <c r="A282" s="19">
        <v>281</v>
      </c>
      <c r="B282" s="25" cm="1">
        <f t="array" aca="1" ref="B282" ca="1">MIN(IF($E:$E=E282,$H:$H))</f>
        <v>45260</v>
      </c>
      <c r="C282" s="25">
        <f t="shared" ca="1" si="49"/>
        <v>24</v>
      </c>
      <c r="D282" s="43">
        <f ca="1">COUNTIF(E:E,combined_tbl!$E282)</f>
        <v>13</v>
      </c>
      <c r="E282" s="29" t="str">
        <f t="shared" ca="1" si="55"/>
        <v>Customer001</v>
      </c>
      <c r="F282" s="29" t="str" cm="1">
        <f t="array" aca="1" ref="F282" ca="1">INDEX({"Male","Female"}, RANDBETWEEN(1,2))</f>
        <v>Male</v>
      </c>
      <c r="G282" s="29" t="str">
        <f t="shared" ca="1" si="48"/>
        <v>South</v>
      </c>
      <c r="H282" s="48">
        <f t="shared" ca="1" si="50"/>
        <v>45260</v>
      </c>
      <c r="I282" s="24">
        <f t="shared" ca="1" si="51"/>
        <v>30</v>
      </c>
      <c r="J282" s="46" t="str">
        <f t="shared" ca="1" si="56"/>
        <v>November</v>
      </c>
      <c r="K282" s="24">
        <f t="shared" ca="1" si="52"/>
        <v>2023</v>
      </c>
      <c r="L282" s="24" t="str">
        <f t="shared" ca="1" si="53"/>
        <v>Platinum</v>
      </c>
      <c r="M282" s="29">
        <v>282</v>
      </c>
      <c r="N282" s="29" t="s">
        <v>872</v>
      </c>
      <c r="O282" s="29" t="s">
        <v>1140</v>
      </c>
      <c r="P282" s="30">
        <v>80</v>
      </c>
      <c r="Q282" s="30">
        <v>108</v>
      </c>
      <c r="R282" s="29">
        <v>282</v>
      </c>
      <c r="S282" s="24" t="str">
        <f t="shared" si="54"/>
        <v>Nov</v>
      </c>
      <c r="T282" s="47">
        <v>45612</v>
      </c>
      <c r="U282" s="29">
        <v>2</v>
      </c>
      <c r="V282" s="38">
        <v>103</v>
      </c>
      <c r="W282" s="29">
        <v>47</v>
      </c>
      <c r="X282" s="29">
        <v>1</v>
      </c>
      <c r="Y282" s="30">
        <f>combined_tbl!$Q282*(1-combined_tbl!$Z282)</f>
        <v>108</v>
      </c>
      <c r="Z282" s="31">
        <f>IF(combined_tbl!$Q282&gt;=500,0.2, IF(combined_tbl!$Q282&gt;=200,0.05, IF(combined_tbl!$X282&gt;=2,0.05,0)))</f>
        <v>0</v>
      </c>
      <c r="AA282" s="30">
        <f>combined_tbl!$Y282*combined_tbl!$X282</f>
        <v>108</v>
      </c>
      <c r="AB282" s="32">
        <f>(combined_tbl!$Q282*(1+combined_tbl!$Z282)-combined_tbl!$P282)*combined_tbl!$X282</f>
        <v>28</v>
      </c>
    </row>
    <row r="283" spans="1:28" x14ac:dyDescent="0.3">
      <c r="A283" s="24">
        <v>282</v>
      </c>
      <c r="B283" s="25" cm="1">
        <f t="array" aca="1" ref="B283" ca="1">MIN(IF($E:$E=E283,$H:$H))</f>
        <v>45492</v>
      </c>
      <c r="C283" s="25">
        <f t="shared" ca="1" si="49"/>
        <v>16</v>
      </c>
      <c r="D283" s="42">
        <f ca="1">COUNTIF(E:E,combined_tbl!$E283)</f>
        <v>4</v>
      </c>
      <c r="E283" s="24" t="str">
        <f t="shared" ca="1" si="55"/>
        <v>Customer048</v>
      </c>
      <c r="F283" s="24" t="str" cm="1">
        <f t="array" aca="1" ref="F283" ca="1">INDEX({"Male","Female"}, RANDBETWEEN(1,2))</f>
        <v>Female</v>
      </c>
      <c r="G283" s="29" t="str">
        <f t="shared" ca="1" si="48"/>
        <v>West</v>
      </c>
      <c r="H283" s="48">
        <f t="shared" ca="1" si="50"/>
        <v>45492</v>
      </c>
      <c r="I283" s="24">
        <f t="shared" ca="1" si="51"/>
        <v>19</v>
      </c>
      <c r="J283" s="46" t="str">
        <f t="shared" ca="1" si="56"/>
        <v>July</v>
      </c>
      <c r="K283" s="24">
        <f t="shared" ca="1" si="52"/>
        <v>2024</v>
      </c>
      <c r="L283" s="24" t="str">
        <f t="shared" ca="1" si="53"/>
        <v>Silver</v>
      </c>
      <c r="M283" s="24">
        <v>283</v>
      </c>
      <c r="N283" s="24" t="s">
        <v>831</v>
      </c>
      <c r="O283" s="24" t="s">
        <v>1141</v>
      </c>
      <c r="P283" s="26">
        <v>290</v>
      </c>
      <c r="Q283" s="26">
        <v>423.4</v>
      </c>
      <c r="R283" s="24">
        <v>283</v>
      </c>
      <c r="S283" s="24" t="str">
        <f t="shared" si="54"/>
        <v>Nov</v>
      </c>
      <c r="T283" s="46">
        <v>45602</v>
      </c>
      <c r="U283" s="24">
        <v>2</v>
      </c>
      <c r="V283" s="37">
        <v>88</v>
      </c>
      <c r="W283" s="24">
        <v>67</v>
      </c>
      <c r="X283" s="24">
        <v>1</v>
      </c>
      <c r="Y283" s="26">
        <f>combined_tbl!$Q283*(1-combined_tbl!$Z283)</f>
        <v>402.22999999999996</v>
      </c>
      <c r="Z283" s="27">
        <f>IF(combined_tbl!$Q283&gt;=500,0.2, IF(combined_tbl!$Q283&gt;=200,0.05, IF(combined_tbl!$X283&gt;=2,0.05,0)))</f>
        <v>0.05</v>
      </c>
      <c r="AA283" s="26">
        <f>combined_tbl!$Y283*combined_tbl!$X283</f>
        <v>402.22999999999996</v>
      </c>
      <c r="AB283" s="28">
        <f>(combined_tbl!$Q283*(1+combined_tbl!$Z283)-combined_tbl!$P283)*combined_tbl!$X283</f>
        <v>154.57</v>
      </c>
    </row>
    <row r="284" spans="1:28" x14ac:dyDescent="0.3">
      <c r="A284" s="29">
        <v>283</v>
      </c>
      <c r="B284" s="25" cm="1">
        <f t="array" aca="1" ref="B284" ca="1">MIN(IF($E:$E=E284,$H:$H))</f>
        <v>45955</v>
      </c>
      <c r="C284" s="25">
        <f t="shared" ca="1" si="49"/>
        <v>1</v>
      </c>
      <c r="D284" s="43">
        <f ca="1">COUNTIF(E:E,combined_tbl!$E284)</f>
        <v>9</v>
      </c>
      <c r="E284" s="29" t="str">
        <f t="shared" ca="1" si="55"/>
        <v>Customer080</v>
      </c>
      <c r="F284" s="29" t="str" cm="1">
        <f t="array" aca="1" ref="F284" ca="1">INDEX({"Male","Female"}, RANDBETWEEN(1,2))</f>
        <v>Female</v>
      </c>
      <c r="G284" s="29" t="str">
        <f t="shared" ca="1" si="48"/>
        <v>West</v>
      </c>
      <c r="H284" s="48">
        <f t="shared" ca="1" si="50"/>
        <v>45955</v>
      </c>
      <c r="I284" s="24">
        <f t="shared" ca="1" si="51"/>
        <v>25</v>
      </c>
      <c r="J284" s="46" t="str">
        <f t="shared" ca="1" si="56"/>
        <v>October</v>
      </c>
      <c r="K284" s="24">
        <f t="shared" ca="1" si="52"/>
        <v>2025</v>
      </c>
      <c r="L284" s="24" t="str">
        <f t="shared" ca="1" si="53"/>
        <v>Bronze</v>
      </c>
      <c r="M284" s="29">
        <v>284</v>
      </c>
      <c r="N284" s="29" t="s">
        <v>954</v>
      </c>
      <c r="O284" s="29" t="s">
        <v>1142</v>
      </c>
      <c r="P284" s="30">
        <v>438</v>
      </c>
      <c r="Q284" s="30">
        <v>630.72</v>
      </c>
      <c r="R284" s="29">
        <v>284</v>
      </c>
      <c r="S284" s="24" t="str">
        <f t="shared" si="54"/>
        <v>Mar</v>
      </c>
      <c r="T284" s="47">
        <v>45718</v>
      </c>
      <c r="U284" s="29">
        <v>5</v>
      </c>
      <c r="V284" s="38">
        <v>190</v>
      </c>
      <c r="W284" s="29">
        <v>93</v>
      </c>
      <c r="X284" s="29">
        <v>1</v>
      </c>
      <c r="Y284" s="30">
        <f>combined_tbl!$Q284*(1-combined_tbl!$Z284)</f>
        <v>504.57600000000002</v>
      </c>
      <c r="Z284" s="31">
        <f>IF(combined_tbl!$Q284&gt;=500,0.2, IF(combined_tbl!$Q284&gt;=200,0.05, IF(combined_tbl!$X284&gt;=2,0.05,0)))</f>
        <v>0.2</v>
      </c>
      <c r="AA284" s="30">
        <f>combined_tbl!$Y284*combined_tbl!$X284</f>
        <v>504.57600000000002</v>
      </c>
      <c r="AB284" s="32">
        <f>(combined_tbl!$Q284*(1+combined_tbl!$Z284)-combined_tbl!$P284)*combined_tbl!$X284</f>
        <v>318.86400000000003</v>
      </c>
    </row>
    <row r="285" spans="1:28" x14ac:dyDescent="0.3">
      <c r="A285" s="29">
        <v>284</v>
      </c>
      <c r="B285" s="25" cm="1">
        <f t="array" aca="1" ref="B285" ca="1">MIN(IF($E:$E=E285,$H:$H))</f>
        <v>45787</v>
      </c>
      <c r="C285" s="25">
        <f t="shared" ca="1" si="49"/>
        <v>6</v>
      </c>
      <c r="D285" s="42">
        <f ca="1">COUNTIF(E:E,combined_tbl!$E285)</f>
        <v>8</v>
      </c>
      <c r="E285" s="24" t="str">
        <f t="shared" ca="1" si="55"/>
        <v>Customer006</v>
      </c>
      <c r="F285" s="24" t="str" cm="1">
        <f t="array" aca="1" ref="F285" ca="1">INDEX({"Male","Female"}, RANDBETWEEN(1,2))</f>
        <v>Female</v>
      </c>
      <c r="G285" s="29" t="str">
        <f t="shared" ca="1" si="48"/>
        <v>North</v>
      </c>
      <c r="H285" s="48">
        <f t="shared" ca="1" si="50"/>
        <v>45787</v>
      </c>
      <c r="I285" s="24">
        <f t="shared" ca="1" si="51"/>
        <v>10</v>
      </c>
      <c r="J285" s="46" t="str">
        <f t="shared" ca="1" si="56"/>
        <v>May</v>
      </c>
      <c r="K285" s="24">
        <f t="shared" ca="1" si="52"/>
        <v>2025</v>
      </c>
      <c r="L285" s="24" t="str">
        <f t="shared" ca="1" si="53"/>
        <v>Bronze</v>
      </c>
      <c r="M285" s="24">
        <v>285</v>
      </c>
      <c r="N285" s="24" t="s">
        <v>954</v>
      </c>
      <c r="O285" s="24" t="s">
        <v>1143</v>
      </c>
      <c r="P285" s="26">
        <v>847</v>
      </c>
      <c r="Q285" s="26">
        <v>999.45999999999992</v>
      </c>
      <c r="R285" s="24">
        <v>285</v>
      </c>
      <c r="S285" s="24" t="str">
        <f t="shared" si="54"/>
        <v>May</v>
      </c>
      <c r="T285" s="46">
        <v>45443</v>
      </c>
      <c r="U285" s="24">
        <v>3</v>
      </c>
      <c r="V285" s="37">
        <v>148</v>
      </c>
      <c r="W285" s="24">
        <v>77</v>
      </c>
      <c r="X285" s="24">
        <v>1</v>
      </c>
      <c r="Y285" s="26">
        <f>combined_tbl!$Q285*(1-combined_tbl!$Z285)</f>
        <v>799.56799999999998</v>
      </c>
      <c r="Z285" s="27">
        <f>IF(combined_tbl!$Q285&gt;=500,0.2, IF(combined_tbl!$Q285&gt;=200,0.05, IF(combined_tbl!$X285&gt;=2,0.05,0)))</f>
        <v>0.2</v>
      </c>
      <c r="AA285" s="26">
        <f>combined_tbl!$Y285*combined_tbl!$X285</f>
        <v>799.56799999999998</v>
      </c>
      <c r="AB285" s="28">
        <f>(combined_tbl!$Q285*(1+combined_tbl!$Z285)-combined_tbl!$P285)*combined_tbl!$X285</f>
        <v>352.35199999999986</v>
      </c>
    </row>
    <row r="286" spans="1:28" x14ac:dyDescent="0.3">
      <c r="A286" s="29">
        <v>285</v>
      </c>
      <c r="B286" s="25" cm="1">
        <f t="array" aca="1" ref="B286" ca="1">MIN(IF($E:$E=E286,$H:$H))</f>
        <v>45667</v>
      </c>
      <c r="C286" s="25">
        <f t="shared" ca="1" si="49"/>
        <v>10</v>
      </c>
      <c r="D286" s="43">
        <f ca="1">COUNTIF(E:E,combined_tbl!$E286)</f>
        <v>5</v>
      </c>
      <c r="E286" s="29" t="str">
        <f t="shared" ca="1" si="55"/>
        <v>Customer067</v>
      </c>
      <c r="F286" s="29" t="str" cm="1">
        <f t="array" aca="1" ref="F286" ca="1">INDEX({"Male","Female"}, RANDBETWEEN(1,2))</f>
        <v>Female</v>
      </c>
      <c r="G286" s="29" t="str">
        <f t="shared" ca="1" si="48"/>
        <v>East</v>
      </c>
      <c r="H286" s="48">
        <f t="shared" ca="1" si="50"/>
        <v>45667</v>
      </c>
      <c r="I286" s="24">
        <f t="shared" ca="1" si="51"/>
        <v>10</v>
      </c>
      <c r="J286" s="46" t="str">
        <f t="shared" ca="1" si="56"/>
        <v>January</v>
      </c>
      <c r="K286" s="24">
        <f t="shared" ca="1" si="52"/>
        <v>2025</v>
      </c>
      <c r="L286" s="24" t="str">
        <f t="shared" ca="1" si="53"/>
        <v>Bronze</v>
      </c>
      <c r="M286" s="29">
        <v>286</v>
      </c>
      <c r="N286" s="29" t="s">
        <v>954</v>
      </c>
      <c r="O286" s="29" t="s">
        <v>1144</v>
      </c>
      <c r="P286" s="30">
        <v>507</v>
      </c>
      <c r="Q286" s="30">
        <v>557.70000000000005</v>
      </c>
      <c r="R286" s="29">
        <v>286</v>
      </c>
      <c r="S286" s="24" t="str">
        <f t="shared" si="54"/>
        <v>Nov</v>
      </c>
      <c r="T286" s="47">
        <v>45609</v>
      </c>
      <c r="U286" s="29">
        <v>2</v>
      </c>
      <c r="V286" s="38">
        <v>35</v>
      </c>
      <c r="W286" s="29">
        <v>83</v>
      </c>
      <c r="X286" s="29">
        <v>1</v>
      </c>
      <c r="Y286" s="30">
        <f>combined_tbl!$Q286*(1-combined_tbl!$Z286)</f>
        <v>446.16000000000008</v>
      </c>
      <c r="Z286" s="31">
        <f>IF(combined_tbl!$Q286&gt;=500,0.2, IF(combined_tbl!$Q286&gt;=200,0.05, IF(combined_tbl!$X286&gt;=2,0.05,0)))</f>
        <v>0.2</v>
      </c>
      <c r="AA286" s="30">
        <f>combined_tbl!$Y286*combined_tbl!$X286</f>
        <v>446.16000000000008</v>
      </c>
      <c r="AB286" s="32">
        <f>(combined_tbl!$Q286*(1+combined_tbl!$Z286)-combined_tbl!$P286)*combined_tbl!$X286</f>
        <v>162.24</v>
      </c>
    </row>
    <row r="287" spans="1:28" x14ac:dyDescent="0.3">
      <c r="A287" s="29">
        <v>286</v>
      </c>
      <c r="B287" s="25" cm="1">
        <f t="array" aca="1" ref="B287" ca="1">MIN(IF($E:$E=E287,$H:$H))</f>
        <v>45297</v>
      </c>
      <c r="C287" s="25">
        <f t="shared" ca="1" si="49"/>
        <v>22</v>
      </c>
      <c r="D287" s="42">
        <f ca="1">COUNTIF(E:E,combined_tbl!$E287)</f>
        <v>8</v>
      </c>
      <c r="E287" s="24" t="str">
        <f t="shared" ca="1" si="55"/>
        <v>Customer010</v>
      </c>
      <c r="F287" s="24" t="str" cm="1">
        <f t="array" aca="1" ref="F287" ca="1">INDEX({"Male","Female"}, RANDBETWEEN(1,2))</f>
        <v>Male</v>
      </c>
      <c r="G287" s="29" t="str">
        <f t="shared" ca="1" si="48"/>
        <v>East</v>
      </c>
      <c r="H287" s="48">
        <f t="shared" ca="1" si="50"/>
        <v>45297</v>
      </c>
      <c r="I287" s="24">
        <f t="shared" ca="1" si="51"/>
        <v>6</v>
      </c>
      <c r="J287" s="46" t="str">
        <f t="shared" ca="1" si="56"/>
        <v>January</v>
      </c>
      <c r="K287" s="24">
        <f t="shared" ca="1" si="52"/>
        <v>2024</v>
      </c>
      <c r="L287" s="24" t="str">
        <f t="shared" ca="1" si="53"/>
        <v>Gold</v>
      </c>
      <c r="M287" s="24">
        <v>287</v>
      </c>
      <c r="N287" s="24" t="s">
        <v>1359</v>
      </c>
      <c r="O287" s="24" t="s">
        <v>1145</v>
      </c>
      <c r="P287" s="26">
        <v>497</v>
      </c>
      <c r="Q287" s="26">
        <v>606.34</v>
      </c>
      <c r="R287" s="24">
        <v>287</v>
      </c>
      <c r="S287" s="24" t="str">
        <f t="shared" si="54"/>
        <v>Oct</v>
      </c>
      <c r="T287" s="46">
        <v>45216</v>
      </c>
      <c r="U287" s="24">
        <v>6</v>
      </c>
      <c r="V287" s="37">
        <v>80</v>
      </c>
      <c r="W287" s="24">
        <v>7</v>
      </c>
      <c r="X287" s="24">
        <v>1</v>
      </c>
      <c r="Y287" s="26">
        <f>combined_tbl!$Q287*(1-combined_tbl!$Z287)</f>
        <v>485.07200000000006</v>
      </c>
      <c r="Z287" s="27">
        <f>IF(combined_tbl!$Q287&gt;=500,0.2, IF(combined_tbl!$Q287&gt;=200,0.05, IF(combined_tbl!$X287&gt;=2,0.05,0)))</f>
        <v>0.2</v>
      </c>
      <c r="AA287" s="26">
        <f>combined_tbl!$Y287*combined_tbl!$X287</f>
        <v>485.07200000000006</v>
      </c>
      <c r="AB287" s="28">
        <f>(combined_tbl!$Q287*(1+combined_tbl!$Z287)-combined_tbl!$P287)*combined_tbl!$X287</f>
        <v>230.60800000000006</v>
      </c>
    </row>
    <row r="288" spans="1:28" x14ac:dyDescent="0.3">
      <c r="A288" s="29">
        <v>287</v>
      </c>
      <c r="B288" s="25" cm="1">
        <f t="array" aca="1" ref="B288" ca="1">MIN(IF($E:$E=E288,$H:$H))</f>
        <v>45988</v>
      </c>
      <c r="C288" s="25">
        <f t="shared" ca="1" si="49"/>
        <v>0</v>
      </c>
      <c r="D288" s="43">
        <f ca="1">COUNTIF(E:E,combined_tbl!$E288)</f>
        <v>2</v>
      </c>
      <c r="E288" s="29" t="str">
        <f t="shared" ca="1" si="55"/>
        <v>Customer074</v>
      </c>
      <c r="F288" s="29" t="str" cm="1">
        <f t="array" aca="1" ref="F288" ca="1">INDEX({"Male","Female"}, RANDBETWEEN(1,2))</f>
        <v>Male</v>
      </c>
      <c r="G288" s="29" t="str">
        <f t="shared" ca="1" si="48"/>
        <v>West</v>
      </c>
      <c r="H288" s="48">
        <f t="shared" ca="1" si="50"/>
        <v>45988</v>
      </c>
      <c r="I288" s="24">
        <f t="shared" ca="1" si="51"/>
        <v>27</v>
      </c>
      <c r="J288" s="46" t="str">
        <f t="shared" ca="1" si="56"/>
        <v>November</v>
      </c>
      <c r="K288" s="24">
        <f t="shared" ca="1" si="52"/>
        <v>2025</v>
      </c>
      <c r="L288" s="24" t="str">
        <f t="shared" ca="1" si="53"/>
        <v>Bronze</v>
      </c>
      <c r="M288" s="29">
        <v>288</v>
      </c>
      <c r="N288" s="29" t="s">
        <v>837</v>
      </c>
      <c r="O288" s="29" t="s">
        <v>1146</v>
      </c>
      <c r="P288" s="30">
        <v>366</v>
      </c>
      <c r="Q288" s="30">
        <v>490.44000000000005</v>
      </c>
      <c r="R288" s="29">
        <v>288</v>
      </c>
      <c r="S288" s="24" t="str">
        <f t="shared" si="54"/>
        <v>Sep</v>
      </c>
      <c r="T288" s="47">
        <v>45562</v>
      </c>
      <c r="U288" s="29">
        <v>7</v>
      </c>
      <c r="V288" s="38">
        <v>217</v>
      </c>
      <c r="W288" s="29">
        <v>90</v>
      </c>
      <c r="X288" s="29">
        <v>2</v>
      </c>
      <c r="Y288" s="30">
        <f>combined_tbl!$Q288*(1-combined_tbl!$Z288)</f>
        <v>465.91800000000001</v>
      </c>
      <c r="Z288" s="31">
        <f>IF(combined_tbl!$Q288&gt;=500,0.2, IF(combined_tbl!$Q288&gt;=200,0.05, IF(combined_tbl!$X288&gt;=2,0.05,0)))</f>
        <v>0.05</v>
      </c>
      <c r="AA288" s="30">
        <f>combined_tbl!$Y288*combined_tbl!$X288</f>
        <v>931.83600000000001</v>
      </c>
      <c r="AB288" s="32">
        <f>(combined_tbl!$Q288*(1+combined_tbl!$Z288)-combined_tbl!$P288)*combined_tbl!$X288</f>
        <v>297.92400000000021</v>
      </c>
    </row>
    <row r="289" spans="1:28" x14ac:dyDescent="0.3">
      <c r="A289" s="29">
        <v>288</v>
      </c>
      <c r="B289" s="25" cm="1">
        <f t="array" aca="1" ref="B289" ca="1">MIN(IF($E:$E=E289,$H:$H))</f>
        <v>44976</v>
      </c>
      <c r="C289" s="25">
        <f t="shared" ca="1" si="49"/>
        <v>33</v>
      </c>
      <c r="D289" s="42">
        <f ca="1">COUNTIF(E:E,combined_tbl!$E289)</f>
        <v>7</v>
      </c>
      <c r="E289" s="24" t="str">
        <f t="shared" ca="1" si="55"/>
        <v>Customer015</v>
      </c>
      <c r="F289" s="24" t="str" cm="1">
        <f t="array" aca="1" ref="F289" ca="1">INDEX({"Male","Female"}, RANDBETWEEN(1,2))</f>
        <v>Male</v>
      </c>
      <c r="G289" s="29" t="str">
        <f t="shared" ca="1" si="48"/>
        <v>East</v>
      </c>
      <c r="H289" s="48">
        <f t="shared" ca="1" si="50"/>
        <v>44976</v>
      </c>
      <c r="I289" s="24">
        <f t="shared" ca="1" si="51"/>
        <v>19</v>
      </c>
      <c r="J289" s="46" t="str">
        <f t="shared" ca="1" si="56"/>
        <v>February</v>
      </c>
      <c r="K289" s="24">
        <f t="shared" ca="1" si="52"/>
        <v>2023</v>
      </c>
      <c r="L289" s="24" t="str">
        <f t="shared" ca="1" si="53"/>
        <v>Gold</v>
      </c>
      <c r="M289" s="24">
        <v>289</v>
      </c>
      <c r="N289" s="24" t="s">
        <v>837</v>
      </c>
      <c r="O289" s="24" t="s">
        <v>1147</v>
      </c>
      <c r="P289" s="26">
        <v>373</v>
      </c>
      <c r="Q289" s="26">
        <v>425.22</v>
      </c>
      <c r="R289" s="24">
        <v>289</v>
      </c>
      <c r="S289" s="24" t="str">
        <f t="shared" si="54"/>
        <v>Sep</v>
      </c>
      <c r="T289" s="46">
        <v>45191</v>
      </c>
      <c r="U289" s="24">
        <v>2</v>
      </c>
      <c r="V289" s="37">
        <v>167</v>
      </c>
      <c r="W289" s="24">
        <v>10</v>
      </c>
      <c r="X289" s="24">
        <v>1</v>
      </c>
      <c r="Y289" s="26">
        <f>combined_tbl!$Q289*(1-combined_tbl!$Z289)</f>
        <v>403.959</v>
      </c>
      <c r="Z289" s="27">
        <f>IF(combined_tbl!$Q289&gt;=500,0.2, IF(combined_tbl!$Q289&gt;=200,0.05, IF(combined_tbl!$X289&gt;=2,0.05,0)))</f>
        <v>0.05</v>
      </c>
      <c r="AA289" s="26">
        <f>combined_tbl!$Y289*combined_tbl!$X289</f>
        <v>403.959</v>
      </c>
      <c r="AB289" s="28">
        <f>(combined_tbl!$Q289*(1+combined_tbl!$Z289)-combined_tbl!$P289)*combined_tbl!$X289</f>
        <v>73.481000000000051</v>
      </c>
    </row>
    <row r="290" spans="1:28" x14ac:dyDescent="0.3">
      <c r="A290" s="19">
        <v>289</v>
      </c>
      <c r="B290" s="25" cm="1">
        <f t="array" aca="1" ref="B290" ca="1">MIN(IF($E:$E=E290,$H:$H))</f>
        <v>45580</v>
      </c>
      <c r="C290" s="25">
        <f t="shared" ca="1" si="49"/>
        <v>13</v>
      </c>
      <c r="D290" s="43">
        <f ca="1">COUNTIF(E:E,combined_tbl!$E290)</f>
        <v>4</v>
      </c>
      <c r="E290" s="29" t="str">
        <f t="shared" ca="1" si="55"/>
        <v>Customer064</v>
      </c>
      <c r="F290" s="29" t="str" cm="1">
        <f t="array" aca="1" ref="F290" ca="1">INDEX({"Male","Female"}, RANDBETWEEN(1,2))</f>
        <v>Male</v>
      </c>
      <c r="G290" s="29" t="str">
        <f t="shared" ca="1" si="48"/>
        <v>East</v>
      </c>
      <c r="H290" s="48">
        <f t="shared" ca="1" si="50"/>
        <v>45580</v>
      </c>
      <c r="I290" s="24">
        <f t="shared" ca="1" si="51"/>
        <v>15</v>
      </c>
      <c r="J290" s="46" t="str">
        <f t="shared" ca="1" si="56"/>
        <v>October</v>
      </c>
      <c r="K290" s="24">
        <f t="shared" ca="1" si="52"/>
        <v>2024</v>
      </c>
      <c r="L290" s="24" t="str">
        <f t="shared" ca="1" si="53"/>
        <v>Silver</v>
      </c>
      <c r="M290" s="29">
        <v>290</v>
      </c>
      <c r="N290" s="29" t="s">
        <v>957</v>
      </c>
      <c r="O290" s="29" t="s">
        <v>1148</v>
      </c>
      <c r="P290" s="30">
        <v>58</v>
      </c>
      <c r="Q290" s="30">
        <v>84.1</v>
      </c>
      <c r="R290" s="29">
        <v>290</v>
      </c>
      <c r="S290" s="24" t="str">
        <f t="shared" si="54"/>
        <v>Sep</v>
      </c>
      <c r="T290" s="47">
        <v>45561</v>
      </c>
      <c r="U290" s="29">
        <v>7</v>
      </c>
      <c r="V290" s="38">
        <v>135</v>
      </c>
      <c r="W290" s="29">
        <v>72</v>
      </c>
      <c r="X290" s="29">
        <v>1</v>
      </c>
      <c r="Y290" s="30">
        <f>combined_tbl!$Q290*(1-combined_tbl!$Z290)</f>
        <v>84.1</v>
      </c>
      <c r="Z290" s="31">
        <f>IF(combined_tbl!$Q290&gt;=500,0.2, IF(combined_tbl!$Q290&gt;=200,0.05, IF(combined_tbl!$X290&gt;=2,0.05,0)))</f>
        <v>0</v>
      </c>
      <c r="AA290" s="30">
        <f>combined_tbl!$Y290*combined_tbl!$X290</f>
        <v>84.1</v>
      </c>
      <c r="AB290" s="32">
        <f>(combined_tbl!$Q290*(1+combined_tbl!$Z290)-combined_tbl!$P290)*combined_tbl!$X290</f>
        <v>26.099999999999994</v>
      </c>
    </row>
    <row r="291" spans="1:28" x14ac:dyDescent="0.3">
      <c r="A291" s="24">
        <v>290</v>
      </c>
      <c r="B291" s="25" cm="1">
        <f t="array" aca="1" ref="B291" ca="1">MIN(IF($E:$E=E291,$H:$H))</f>
        <v>44938</v>
      </c>
      <c r="C291" s="25">
        <f t="shared" ca="1" si="49"/>
        <v>34</v>
      </c>
      <c r="D291" s="42">
        <f ca="1">COUNTIF(E:E,combined_tbl!$E291)</f>
        <v>3</v>
      </c>
      <c r="E291" s="24" t="str">
        <f t="shared" ca="1" si="55"/>
        <v>Customer054</v>
      </c>
      <c r="F291" s="24" t="str" cm="1">
        <f t="array" aca="1" ref="F291" ca="1">INDEX({"Male","Female"}, RANDBETWEEN(1,2))</f>
        <v>Female</v>
      </c>
      <c r="G291" s="29" t="str">
        <f t="shared" ca="1" si="48"/>
        <v>West</v>
      </c>
      <c r="H291" s="48">
        <f t="shared" ca="1" si="50"/>
        <v>44938</v>
      </c>
      <c r="I291" s="24">
        <f t="shared" ca="1" si="51"/>
        <v>12</v>
      </c>
      <c r="J291" s="46" t="str">
        <f t="shared" ca="1" si="56"/>
        <v>January</v>
      </c>
      <c r="K291" s="24">
        <f t="shared" ca="1" si="52"/>
        <v>2023</v>
      </c>
      <c r="L291" s="24" t="str">
        <f t="shared" ca="1" si="53"/>
        <v>Silver</v>
      </c>
      <c r="M291" s="24">
        <v>291</v>
      </c>
      <c r="N291" s="24" t="s">
        <v>954</v>
      </c>
      <c r="O291" s="24" t="s">
        <v>1149</v>
      </c>
      <c r="P291" s="26">
        <v>111</v>
      </c>
      <c r="Q291" s="26">
        <v>146.52000000000001</v>
      </c>
      <c r="R291" s="24">
        <v>291</v>
      </c>
      <c r="S291" s="24" t="str">
        <f t="shared" si="54"/>
        <v>Nov</v>
      </c>
      <c r="T291" s="46">
        <v>45599</v>
      </c>
      <c r="U291" s="24">
        <v>3</v>
      </c>
      <c r="V291" s="37">
        <v>216</v>
      </c>
      <c r="W291" s="24">
        <v>24</v>
      </c>
      <c r="X291" s="24">
        <v>5</v>
      </c>
      <c r="Y291" s="26">
        <f>combined_tbl!$Q291*(1-combined_tbl!$Z291)</f>
        <v>139.19400000000002</v>
      </c>
      <c r="Z291" s="27">
        <f>IF(combined_tbl!$Q291&gt;=500,0.2, IF(combined_tbl!$Q291&gt;=200,0.05, IF(combined_tbl!$X291&gt;=2,0.05,0)))</f>
        <v>0.05</v>
      </c>
      <c r="AA291" s="26">
        <f>combined_tbl!$Y291*combined_tbl!$X291</f>
        <v>695.97</v>
      </c>
      <c r="AB291" s="28">
        <f>(combined_tbl!$Q291*(1+combined_tbl!$Z291)-combined_tbl!$P291)*combined_tbl!$X291</f>
        <v>214.23000000000002</v>
      </c>
    </row>
    <row r="292" spans="1:28" x14ac:dyDescent="0.3">
      <c r="A292" s="29">
        <v>291</v>
      </c>
      <c r="B292" s="25" cm="1">
        <f t="array" aca="1" ref="B292" ca="1">MIN(IF($E:$E=E292,$H:$H))</f>
        <v>45734</v>
      </c>
      <c r="C292" s="25">
        <f t="shared" ca="1" si="49"/>
        <v>8</v>
      </c>
      <c r="D292" s="43">
        <f ca="1">COUNTIF(E:E,combined_tbl!$E292)</f>
        <v>5</v>
      </c>
      <c r="E292" s="29" t="str">
        <f t="shared" ca="1" si="55"/>
        <v>Customer034</v>
      </c>
      <c r="F292" s="29" t="str" cm="1">
        <f t="array" aca="1" ref="F292" ca="1">INDEX({"Male","Female"}, RANDBETWEEN(1,2))</f>
        <v>Female</v>
      </c>
      <c r="G292" s="29" t="str">
        <f t="shared" ca="1" si="48"/>
        <v>East</v>
      </c>
      <c r="H292" s="48">
        <f t="shared" ca="1" si="50"/>
        <v>45734</v>
      </c>
      <c r="I292" s="24">
        <f t="shared" ca="1" si="51"/>
        <v>18</v>
      </c>
      <c r="J292" s="46" t="str">
        <f t="shared" ca="1" si="56"/>
        <v>March</v>
      </c>
      <c r="K292" s="24">
        <f t="shared" ca="1" si="52"/>
        <v>2025</v>
      </c>
      <c r="L292" s="24" t="str">
        <f t="shared" ca="1" si="53"/>
        <v>Bronze</v>
      </c>
      <c r="M292" s="29">
        <v>292</v>
      </c>
      <c r="N292" s="29" t="s">
        <v>872</v>
      </c>
      <c r="O292" s="29" t="s">
        <v>1150</v>
      </c>
      <c r="P292" s="30">
        <v>108</v>
      </c>
      <c r="Q292" s="30">
        <v>135</v>
      </c>
      <c r="R292" s="29">
        <v>292</v>
      </c>
      <c r="S292" s="24" t="str">
        <f t="shared" si="54"/>
        <v>Jul</v>
      </c>
      <c r="T292" s="47">
        <v>45118</v>
      </c>
      <c r="U292" s="29">
        <v>7</v>
      </c>
      <c r="V292" s="38">
        <v>130</v>
      </c>
      <c r="W292" s="29">
        <v>74</v>
      </c>
      <c r="X292" s="29">
        <v>1</v>
      </c>
      <c r="Y292" s="30">
        <f>combined_tbl!$Q292*(1-combined_tbl!$Z292)</f>
        <v>135</v>
      </c>
      <c r="Z292" s="31">
        <f>IF(combined_tbl!$Q292&gt;=500,0.2, IF(combined_tbl!$Q292&gt;=200,0.05, IF(combined_tbl!$X292&gt;=2,0.05,0)))</f>
        <v>0</v>
      </c>
      <c r="AA292" s="30">
        <f>combined_tbl!$Y292*combined_tbl!$X292</f>
        <v>135</v>
      </c>
      <c r="AB292" s="32">
        <f>(combined_tbl!$Q292*(1+combined_tbl!$Z292)-combined_tbl!$P292)*combined_tbl!$X292</f>
        <v>27</v>
      </c>
    </row>
    <row r="293" spans="1:28" x14ac:dyDescent="0.3">
      <c r="A293" s="29">
        <v>292</v>
      </c>
      <c r="B293" s="25" cm="1">
        <f t="array" aca="1" ref="B293" ca="1">MIN(IF($E:$E=E293,$H:$H))</f>
        <v>45101</v>
      </c>
      <c r="C293" s="25">
        <f t="shared" ca="1" si="49"/>
        <v>29</v>
      </c>
      <c r="D293" s="42">
        <f ca="1">COUNTIF(E:E,combined_tbl!$E293)</f>
        <v>2</v>
      </c>
      <c r="E293" s="24" t="str">
        <f t="shared" ca="1" si="55"/>
        <v>Customer127</v>
      </c>
      <c r="F293" s="24" t="str" cm="1">
        <f t="array" aca="1" ref="F293" ca="1">INDEX({"Male","Female"}, RANDBETWEEN(1,2))</f>
        <v>Female</v>
      </c>
      <c r="G293" s="29" t="str">
        <f t="shared" ca="1" si="48"/>
        <v>South</v>
      </c>
      <c r="H293" s="48">
        <f t="shared" ca="1" si="50"/>
        <v>45101</v>
      </c>
      <c r="I293" s="24">
        <f t="shared" ca="1" si="51"/>
        <v>24</v>
      </c>
      <c r="J293" s="46" t="str">
        <f t="shared" ca="1" si="56"/>
        <v>June</v>
      </c>
      <c r="K293" s="24">
        <f t="shared" ca="1" si="52"/>
        <v>2023</v>
      </c>
      <c r="L293" s="24" t="str">
        <f t="shared" ca="1" si="53"/>
        <v>Bronze</v>
      </c>
      <c r="M293" s="24">
        <v>293</v>
      </c>
      <c r="N293" s="24" t="s">
        <v>837</v>
      </c>
      <c r="O293" s="24" t="s">
        <v>1151</v>
      </c>
      <c r="P293" s="26">
        <v>271</v>
      </c>
      <c r="Q293" s="26">
        <v>322.49</v>
      </c>
      <c r="R293" s="24">
        <v>293</v>
      </c>
      <c r="S293" s="24" t="str">
        <f t="shared" si="54"/>
        <v>Nov</v>
      </c>
      <c r="T293" s="46">
        <v>45968</v>
      </c>
      <c r="U293" s="24">
        <v>6</v>
      </c>
      <c r="V293" s="37">
        <v>42</v>
      </c>
      <c r="W293" s="24">
        <v>26</v>
      </c>
      <c r="X293" s="24">
        <v>2</v>
      </c>
      <c r="Y293" s="26">
        <f>combined_tbl!$Q293*(1-combined_tbl!$Z293)</f>
        <v>306.3655</v>
      </c>
      <c r="Z293" s="27">
        <f>IF(combined_tbl!$Q293&gt;=500,0.2, IF(combined_tbl!$Q293&gt;=200,0.05, IF(combined_tbl!$X293&gt;=2,0.05,0)))</f>
        <v>0.05</v>
      </c>
      <c r="AA293" s="26">
        <f>combined_tbl!$Y293*combined_tbl!$X293</f>
        <v>612.73099999999999</v>
      </c>
      <c r="AB293" s="28">
        <f>(combined_tbl!$Q293*(1+combined_tbl!$Z293)-combined_tbl!$P293)*combined_tbl!$X293</f>
        <v>135.22900000000004</v>
      </c>
    </row>
    <row r="294" spans="1:28" x14ac:dyDescent="0.3">
      <c r="A294" s="29">
        <v>293</v>
      </c>
      <c r="B294" s="25" cm="1">
        <f t="array" aca="1" ref="B294" ca="1">MIN(IF($E:$E=E294,$H:$H))</f>
        <v>45439</v>
      </c>
      <c r="C294" s="25">
        <f t="shared" ca="1" si="49"/>
        <v>18</v>
      </c>
      <c r="D294" s="43">
        <f ca="1">COUNTIF(E:E,combined_tbl!$E294)</f>
        <v>10</v>
      </c>
      <c r="E294" s="29" t="str">
        <f t="shared" ca="1" si="55"/>
        <v>Customer018</v>
      </c>
      <c r="F294" s="29" t="str" cm="1">
        <f t="array" aca="1" ref="F294" ca="1">INDEX({"Male","Female"}, RANDBETWEEN(1,2))</f>
        <v>Female</v>
      </c>
      <c r="G294" s="29" t="str">
        <f t="shared" ca="1" si="48"/>
        <v>East</v>
      </c>
      <c r="H294" s="48">
        <f t="shared" ca="1" si="50"/>
        <v>45439</v>
      </c>
      <c r="I294" s="24">
        <f t="shared" ca="1" si="51"/>
        <v>27</v>
      </c>
      <c r="J294" s="46" t="str">
        <f t="shared" ca="1" si="56"/>
        <v>May</v>
      </c>
      <c r="K294" s="24">
        <f t="shared" ca="1" si="52"/>
        <v>2024</v>
      </c>
      <c r="L294" s="24" t="str">
        <f t="shared" ca="1" si="53"/>
        <v>Gold</v>
      </c>
      <c r="M294" s="29">
        <v>294</v>
      </c>
      <c r="N294" s="29" t="s">
        <v>847</v>
      </c>
      <c r="O294" s="29" t="s">
        <v>1152</v>
      </c>
      <c r="P294" s="30">
        <v>86</v>
      </c>
      <c r="Q294" s="30">
        <v>110.08</v>
      </c>
      <c r="R294" s="29">
        <v>294</v>
      </c>
      <c r="S294" s="24" t="str">
        <f t="shared" si="54"/>
        <v>Feb</v>
      </c>
      <c r="T294" s="47">
        <v>44964</v>
      </c>
      <c r="U294" s="29">
        <v>6</v>
      </c>
      <c r="V294" s="38">
        <v>101</v>
      </c>
      <c r="W294" s="29">
        <v>27</v>
      </c>
      <c r="X294" s="29">
        <v>1</v>
      </c>
      <c r="Y294" s="30">
        <f>combined_tbl!$Q294*(1-combined_tbl!$Z294)</f>
        <v>110.08</v>
      </c>
      <c r="Z294" s="31">
        <f>IF(combined_tbl!$Q294&gt;=500,0.2, IF(combined_tbl!$Q294&gt;=200,0.05, IF(combined_tbl!$X294&gt;=2,0.05,0)))</f>
        <v>0</v>
      </c>
      <c r="AA294" s="30">
        <f>combined_tbl!$Y294*combined_tbl!$X294</f>
        <v>110.08</v>
      </c>
      <c r="AB294" s="32">
        <f>(combined_tbl!$Q294*(1+combined_tbl!$Z294)-combined_tbl!$P294)*combined_tbl!$X294</f>
        <v>24.08</v>
      </c>
    </row>
    <row r="295" spans="1:28" x14ac:dyDescent="0.3">
      <c r="A295" s="29">
        <v>294</v>
      </c>
      <c r="B295" s="25" cm="1">
        <f t="array" aca="1" ref="B295" ca="1">MIN(IF($E:$E=E295,$H:$H))</f>
        <v>45608</v>
      </c>
      <c r="C295" s="25">
        <f t="shared" ca="1" si="49"/>
        <v>12</v>
      </c>
      <c r="D295" s="42">
        <f ca="1">COUNTIF(E:E,combined_tbl!$E295)</f>
        <v>5</v>
      </c>
      <c r="E295" s="24" t="str">
        <f t="shared" ca="1" si="55"/>
        <v>Customer041</v>
      </c>
      <c r="F295" s="24" t="str" cm="1">
        <f t="array" aca="1" ref="F295" ca="1">INDEX({"Male","Female"}, RANDBETWEEN(1,2))</f>
        <v>Male</v>
      </c>
      <c r="G295" s="29" t="str">
        <f t="shared" ca="1" si="48"/>
        <v>West</v>
      </c>
      <c r="H295" s="48">
        <f t="shared" ca="1" si="50"/>
        <v>45608</v>
      </c>
      <c r="I295" s="24">
        <f t="shared" ca="1" si="51"/>
        <v>12</v>
      </c>
      <c r="J295" s="46" t="str">
        <f t="shared" ca="1" si="56"/>
        <v>November</v>
      </c>
      <c r="K295" s="24">
        <f t="shared" ca="1" si="52"/>
        <v>2024</v>
      </c>
      <c r="L295" s="24" t="str">
        <f t="shared" ca="1" si="53"/>
        <v>Silver</v>
      </c>
      <c r="M295" s="24">
        <v>295</v>
      </c>
      <c r="N295" s="24" t="s">
        <v>872</v>
      </c>
      <c r="O295" s="24" t="s">
        <v>1153</v>
      </c>
      <c r="P295" s="26">
        <v>18</v>
      </c>
      <c r="Q295" s="26">
        <v>20.7</v>
      </c>
      <c r="R295" s="24">
        <v>295</v>
      </c>
      <c r="S295" s="24" t="str">
        <f t="shared" si="54"/>
        <v>Sep</v>
      </c>
      <c r="T295" s="46">
        <v>45559</v>
      </c>
      <c r="U295" s="24">
        <v>3</v>
      </c>
      <c r="V295" s="37">
        <v>34</v>
      </c>
      <c r="W295" s="24">
        <v>19</v>
      </c>
      <c r="X295" s="24">
        <v>1</v>
      </c>
      <c r="Y295" s="26">
        <f>combined_tbl!$Q295*(1-combined_tbl!$Z295)</f>
        <v>20.7</v>
      </c>
      <c r="Z295" s="27">
        <f>IF(combined_tbl!$Q295&gt;=500,0.2, IF(combined_tbl!$Q295&gt;=200,0.05, IF(combined_tbl!$X295&gt;=2,0.05,0)))</f>
        <v>0</v>
      </c>
      <c r="AA295" s="26">
        <f>combined_tbl!$Y295*combined_tbl!$X295</f>
        <v>20.7</v>
      </c>
      <c r="AB295" s="28">
        <f>(combined_tbl!$Q295*(1+combined_tbl!$Z295)-combined_tbl!$P295)*combined_tbl!$X295</f>
        <v>2.6999999999999993</v>
      </c>
    </row>
    <row r="296" spans="1:28" x14ac:dyDescent="0.3">
      <c r="A296" s="29">
        <v>295</v>
      </c>
      <c r="B296" s="25" cm="1">
        <f t="array" aca="1" ref="B296" ca="1">MIN(IF($E:$E=E296,$H:$H))</f>
        <v>45560</v>
      </c>
      <c r="C296" s="25">
        <f t="shared" ca="1" si="49"/>
        <v>14</v>
      </c>
      <c r="D296" s="43">
        <f ca="1">COUNTIF(E:E,combined_tbl!$E296)</f>
        <v>8</v>
      </c>
      <c r="E296" s="29" t="str">
        <f t="shared" ca="1" si="55"/>
        <v>Customer021</v>
      </c>
      <c r="F296" s="29" t="str" cm="1">
        <f t="array" aca="1" ref="F296" ca="1">INDEX({"Male","Female"}, RANDBETWEEN(1,2))</f>
        <v>Female</v>
      </c>
      <c r="G296" s="29" t="str">
        <f t="shared" ca="1" si="48"/>
        <v>South</v>
      </c>
      <c r="H296" s="48">
        <f t="shared" ca="1" si="50"/>
        <v>45560</v>
      </c>
      <c r="I296" s="24">
        <f t="shared" ca="1" si="51"/>
        <v>25</v>
      </c>
      <c r="J296" s="46" t="str">
        <f t="shared" ca="1" si="56"/>
        <v>September</v>
      </c>
      <c r="K296" s="24">
        <f t="shared" ca="1" si="52"/>
        <v>2024</v>
      </c>
      <c r="L296" s="24" t="str">
        <f t="shared" ca="1" si="53"/>
        <v>Silver</v>
      </c>
      <c r="M296" s="29">
        <v>296</v>
      </c>
      <c r="N296" s="29" t="s">
        <v>1359</v>
      </c>
      <c r="O296" s="29" t="s">
        <v>1154</v>
      </c>
      <c r="P296" s="30">
        <v>554</v>
      </c>
      <c r="Q296" s="30">
        <v>659.26</v>
      </c>
      <c r="R296" s="29">
        <v>296</v>
      </c>
      <c r="S296" s="24" t="str">
        <f t="shared" si="54"/>
        <v>Mar</v>
      </c>
      <c r="T296" s="47">
        <v>45365</v>
      </c>
      <c r="U296" s="29">
        <v>6</v>
      </c>
      <c r="V296" s="38">
        <v>8</v>
      </c>
      <c r="W296" s="29">
        <v>82</v>
      </c>
      <c r="X296" s="29">
        <v>1</v>
      </c>
      <c r="Y296" s="30">
        <f>combined_tbl!$Q296*(1-combined_tbl!$Z296)</f>
        <v>527.40800000000002</v>
      </c>
      <c r="Z296" s="31">
        <f>IF(combined_tbl!$Q296&gt;=500,0.2, IF(combined_tbl!$Q296&gt;=200,0.05, IF(combined_tbl!$X296&gt;=2,0.05,0)))</f>
        <v>0.2</v>
      </c>
      <c r="AA296" s="30">
        <f>combined_tbl!$Y296*combined_tbl!$X296</f>
        <v>527.40800000000002</v>
      </c>
      <c r="AB296" s="32">
        <f>(combined_tbl!$Q296*(1+combined_tbl!$Z296)-combined_tbl!$P296)*combined_tbl!$X296</f>
        <v>237.11199999999997</v>
      </c>
    </row>
    <row r="297" spans="1:28" x14ac:dyDescent="0.3">
      <c r="A297" s="29">
        <v>296</v>
      </c>
      <c r="B297" s="25" cm="1">
        <f t="array" aca="1" ref="B297" ca="1">MIN(IF($E:$E=E297,$H:$H))</f>
        <v>45268</v>
      </c>
      <c r="C297" s="25">
        <f t="shared" ca="1" si="49"/>
        <v>23</v>
      </c>
      <c r="D297" s="42">
        <f ca="1">COUNTIF(E:E,combined_tbl!$E297)</f>
        <v>9</v>
      </c>
      <c r="E297" s="24" t="str">
        <f t="shared" ca="1" si="55"/>
        <v>Customer012</v>
      </c>
      <c r="F297" s="24" t="str" cm="1">
        <f t="array" aca="1" ref="F297" ca="1">INDEX({"Male","Female"}, RANDBETWEEN(1,2))</f>
        <v>Male</v>
      </c>
      <c r="G297" s="29" t="str">
        <f t="shared" ca="1" si="48"/>
        <v>East</v>
      </c>
      <c r="H297" s="48">
        <f t="shared" ca="1" si="50"/>
        <v>45268</v>
      </c>
      <c r="I297" s="24">
        <f t="shared" ca="1" si="51"/>
        <v>8</v>
      </c>
      <c r="J297" s="46" t="str">
        <f t="shared" ca="1" si="56"/>
        <v>December</v>
      </c>
      <c r="K297" s="24">
        <f t="shared" ca="1" si="52"/>
        <v>2023</v>
      </c>
      <c r="L297" s="24" t="str">
        <f t="shared" ca="1" si="53"/>
        <v>Gold</v>
      </c>
      <c r="M297" s="24">
        <v>297</v>
      </c>
      <c r="N297" s="24" t="s">
        <v>847</v>
      </c>
      <c r="O297" s="24" t="s">
        <v>1155</v>
      </c>
      <c r="P297" s="26">
        <v>145</v>
      </c>
      <c r="Q297" s="26">
        <v>176.9</v>
      </c>
      <c r="R297" s="24">
        <v>297</v>
      </c>
      <c r="S297" s="24" t="str">
        <f t="shared" si="54"/>
        <v>Sep</v>
      </c>
      <c r="T297" s="46">
        <v>45922</v>
      </c>
      <c r="U297" s="24">
        <v>4</v>
      </c>
      <c r="V297" s="37">
        <v>201</v>
      </c>
      <c r="W297" s="24">
        <v>32</v>
      </c>
      <c r="X297" s="24">
        <v>1</v>
      </c>
      <c r="Y297" s="26">
        <f>combined_tbl!$Q297*(1-combined_tbl!$Z297)</f>
        <v>176.9</v>
      </c>
      <c r="Z297" s="27">
        <f>IF(combined_tbl!$Q297&gt;=500,0.2, IF(combined_tbl!$Q297&gt;=200,0.05, IF(combined_tbl!$X297&gt;=2,0.05,0)))</f>
        <v>0</v>
      </c>
      <c r="AA297" s="26">
        <f>combined_tbl!$Y297*combined_tbl!$X297</f>
        <v>176.9</v>
      </c>
      <c r="AB297" s="28">
        <f>(combined_tbl!$Q297*(1+combined_tbl!$Z297)-combined_tbl!$P297)*combined_tbl!$X297</f>
        <v>31.900000000000006</v>
      </c>
    </row>
    <row r="298" spans="1:28" x14ac:dyDescent="0.3">
      <c r="A298" s="19">
        <v>297</v>
      </c>
      <c r="B298" s="25" cm="1">
        <f t="array" aca="1" ref="B298" ca="1">MIN(IF($E:$E=E298,$H:$H))</f>
        <v>45734</v>
      </c>
      <c r="C298" s="25">
        <f t="shared" ca="1" si="49"/>
        <v>8</v>
      </c>
      <c r="D298" s="43">
        <f ca="1">COUNTIF(E:E,combined_tbl!$E298)</f>
        <v>5</v>
      </c>
      <c r="E298" s="29" t="str">
        <f t="shared" ca="1" si="55"/>
        <v>Customer034</v>
      </c>
      <c r="F298" s="29" t="str" cm="1">
        <f t="array" aca="1" ref="F298" ca="1">INDEX({"Male","Female"}, RANDBETWEEN(1,2))</f>
        <v>Female</v>
      </c>
      <c r="G298" s="29" t="str">
        <f t="shared" ca="1" si="48"/>
        <v>East</v>
      </c>
      <c r="H298" s="48">
        <f t="shared" ca="1" si="50"/>
        <v>45734</v>
      </c>
      <c r="I298" s="24">
        <f t="shared" ca="1" si="51"/>
        <v>18</v>
      </c>
      <c r="J298" s="46" t="str">
        <f t="shared" ca="1" si="56"/>
        <v>March</v>
      </c>
      <c r="K298" s="24">
        <f t="shared" ca="1" si="52"/>
        <v>2025</v>
      </c>
      <c r="L298" s="24" t="str">
        <f t="shared" ca="1" si="53"/>
        <v>Bronze</v>
      </c>
      <c r="M298" s="29">
        <v>298</v>
      </c>
      <c r="N298" s="29" t="s">
        <v>872</v>
      </c>
      <c r="O298" s="29" t="s">
        <v>1156</v>
      </c>
      <c r="P298" s="30">
        <v>82</v>
      </c>
      <c r="Q298" s="30">
        <v>109.06</v>
      </c>
      <c r="R298" s="29">
        <v>298</v>
      </c>
      <c r="S298" s="24" t="str">
        <f t="shared" si="54"/>
        <v>Apr</v>
      </c>
      <c r="T298" s="47">
        <v>45390</v>
      </c>
      <c r="U298" s="29">
        <v>3</v>
      </c>
      <c r="V298" s="38">
        <v>114</v>
      </c>
      <c r="W298" s="29">
        <v>92</v>
      </c>
      <c r="X298" s="29">
        <v>1</v>
      </c>
      <c r="Y298" s="30">
        <f>combined_tbl!$Q298*(1-combined_tbl!$Z298)</f>
        <v>109.06</v>
      </c>
      <c r="Z298" s="31">
        <f>IF(combined_tbl!$Q298&gt;=500,0.2, IF(combined_tbl!$Q298&gt;=200,0.05, IF(combined_tbl!$X298&gt;=2,0.05,0)))</f>
        <v>0</v>
      </c>
      <c r="AA298" s="30">
        <f>combined_tbl!$Y298*combined_tbl!$X298</f>
        <v>109.06</v>
      </c>
      <c r="AB298" s="32">
        <f>(combined_tbl!$Q298*(1+combined_tbl!$Z298)-combined_tbl!$P298)*combined_tbl!$X298</f>
        <v>27.060000000000002</v>
      </c>
    </row>
    <row r="299" spans="1:28" x14ac:dyDescent="0.3">
      <c r="A299" s="24">
        <v>298</v>
      </c>
      <c r="B299" s="25" cm="1">
        <f t="array" aca="1" ref="B299" ca="1">MIN(IF($E:$E=E299,$H:$H))</f>
        <v>45812</v>
      </c>
      <c r="C299" s="25">
        <f t="shared" ca="1" si="49"/>
        <v>6</v>
      </c>
      <c r="D299" s="42">
        <f ca="1">COUNTIF(E:E,combined_tbl!$E299)</f>
        <v>10</v>
      </c>
      <c r="E299" s="24" t="str">
        <f t="shared" ca="1" si="55"/>
        <v>Customer026</v>
      </c>
      <c r="F299" s="24" t="str" cm="1">
        <f t="array" aca="1" ref="F299" ca="1">INDEX({"Male","Female"}, RANDBETWEEN(1,2))</f>
        <v>Female</v>
      </c>
      <c r="G299" s="29" t="str">
        <f t="shared" ca="1" si="48"/>
        <v>North</v>
      </c>
      <c r="H299" s="48">
        <f t="shared" ca="1" si="50"/>
        <v>45812</v>
      </c>
      <c r="I299" s="24">
        <f t="shared" ca="1" si="51"/>
        <v>4</v>
      </c>
      <c r="J299" s="46" t="str">
        <f t="shared" ca="1" si="56"/>
        <v>June</v>
      </c>
      <c r="K299" s="24">
        <f t="shared" ca="1" si="52"/>
        <v>2025</v>
      </c>
      <c r="L299" s="24" t="str">
        <f t="shared" ca="1" si="53"/>
        <v>Bronze</v>
      </c>
      <c r="M299" s="24">
        <v>299</v>
      </c>
      <c r="N299" s="24" t="s">
        <v>957</v>
      </c>
      <c r="O299" s="24" t="s">
        <v>1157</v>
      </c>
      <c r="P299" s="26">
        <v>195</v>
      </c>
      <c r="Q299" s="26">
        <v>245.7</v>
      </c>
      <c r="R299" s="24">
        <v>299</v>
      </c>
      <c r="S299" s="24" t="str">
        <f t="shared" si="54"/>
        <v>Nov</v>
      </c>
      <c r="T299" s="46">
        <v>45244</v>
      </c>
      <c r="U299" s="24">
        <v>2</v>
      </c>
      <c r="V299" s="37">
        <v>54</v>
      </c>
      <c r="W299" s="24">
        <v>81</v>
      </c>
      <c r="X299" s="24">
        <v>1</v>
      </c>
      <c r="Y299" s="26">
        <f>combined_tbl!$Q299*(1-combined_tbl!$Z299)</f>
        <v>233.41499999999999</v>
      </c>
      <c r="Z299" s="27">
        <f>IF(combined_tbl!$Q299&gt;=500,0.2, IF(combined_tbl!$Q299&gt;=200,0.05, IF(combined_tbl!$X299&gt;=2,0.05,0)))</f>
        <v>0.05</v>
      </c>
      <c r="AA299" s="26">
        <f>combined_tbl!$Y299*combined_tbl!$X299</f>
        <v>233.41499999999999</v>
      </c>
      <c r="AB299" s="28">
        <f>(combined_tbl!$Q299*(1+combined_tbl!$Z299)-combined_tbl!$P299)*combined_tbl!$X299</f>
        <v>62.985000000000014</v>
      </c>
    </row>
    <row r="300" spans="1:28" x14ac:dyDescent="0.3">
      <c r="A300" s="29">
        <v>299</v>
      </c>
      <c r="B300" s="25" cm="1">
        <f t="array" aca="1" ref="B300" ca="1">MIN(IF($E:$E=E300,$H:$H))</f>
        <v>44938</v>
      </c>
      <c r="C300" s="25">
        <f t="shared" ca="1" si="49"/>
        <v>34</v>
      </c>
      <c r="D300" s="43">
        <f ca="1">COUNTIF(E:E,combined_tbl!$E300)</f>
        <v>3</v>
      </c>
      <c r="E300" s="29" t="str">
        <f t="shared" ca="1" si="55"/>
        <v>Customer054</v>
      </c>
      <c r="F300" s="29" t="str" cm="1">
        <f t="array" aca="1" ref="F300" ca="1">INDEX({"Male","Female"}, RANDBETWEEN(1,2))</f>
        <v>Female</v>
      </c>
      <c r="G300" s="29" t="str">
        <f t="shared" ca="1" si="48"/>
        <v>West</v>
      </c>
      <c r="H300" s="48">
        <f t="shared" ca="1" si="50"/>
        <v>44938</v>
      </c>
      <c r="I300" s="24">
        <f t="shared" ca="1" si="51"/>
        <v>12</v>
      </c>
      <c r="J300" s="46" t="str">
        <f t="shared" ca="1" si="56"/>
        <v>January</v>
      </c>
      <c r="K300" s="24">
        <f t="shared" ca="1" si="52"/>
        <v>2023</v>
      </c>
      <c r="L300" s="24" t="str">
        <f t="shared" ca="1" si="53"/>
        <v>Silver</v>
      </c>
      <c r="M300" s="29">
        <v>300</v>
      </c>
      <c r="N300" s="29" t="s">
        <v>955</v>
      </c>
      <c r="O300" s="29" t="s">
        <v>1158</v>
      </c>
      <c r="P300" s="30">
        <v>141</v>
      </c>
      <c r="Q300" s="30">
        <v>155.10000000000002</v>
      </c>
      <c r="R300" s="29">
        <v>300</v>
      </c>
      <c r="S300" s="24" t="str">
        <f t="shared" si="54"/>
        <v>Aug</v>
      </c>
      <c r="T300" s="47">
        <v>45532</v>
      </c>
      <c r="U300" s="29">
        <v>2</v>
      </c>
      <c r="V300" s="38">
        <v>72</v>
      </c>
      <c r="W300" s="29">
        <v>22</v>
      </c>
      <c r="X300" s="29">
        <v>2</v>
      </c>
      <c r="Y300" s="30">
        <f>combined_tbl!$Q300*(1-combined_tbl!$Z300)</f>
        <v>147.34500000000003</v>
      </c>
      <c r="Z300" s="31">
        <f>IF(combined_tbl!$Q300&gt;=500,0.2, IF(combined_tbl!$Q300&gt;=200,0.05, IF(combined_tbl!$X300&gt;=2,0.05,0)))</f>
        <v>0.05</v>
      </c>
      <c r="AA300" s="30">
        <f>combined_tbl!$Y300*combined_tbl!$X300</f>
        <v>294.69000000000005</v>
      </c>
      <c r="AB300" s="32">
        <f>(combined_tbl!$Q300*(1+combined_tbl!$Z300)-combined_tbl!$P300)*combined_tbl!$X300</f>
        <v>43.710000000000036</v>
      </c>
    </row>
    <row r="301" spans="1:28" x14ac:dyDescent="0.3">
      <c r="A301" s="29">
        <v>300</v>
      </c>
      <c r="B301" s="25" cm="1">
        <f t="array" aca="1" ref="B301" ca="1">MIN(IF($E:$E=E301,$H:$H))</f>
        <v>44976</v>
      </c>
      <c r="C301" s="25">
        <f t="shared" ca="1" si="49"/>
        <v>33</v>
      </c>
      <c r="D301" s="42">
        <f ca="1">COUNTIF(E:E,combined_tbl!$E301)</f>
        <v>7</v>
      </c>
      <c r="E301" s="24" t="str">
        <f t="shared" ca="1" si="55"/>
        <v>Customer015</v>
      </c>
      <c r="F301" s="24" t="str" cm="1">
        <f t="array" aca="1" ref="F301" ca="1">INDEX({"Male","Female"}, RANDBETWEEN(1,2))</f>
        <v>Male</v>
      </c>
      <c r="G301" s="29" t="str">
        <f t="shared" ca="1" si="48"/>
        <v>East</v>
      </c>
      <c r="H301" s="48">
        <f t="shared" ca="1" si="50"/>
        <v>44976</v>
      </c>
      <c r="I301" s="24">
        <f t="shared" ca="1" si="51"/>
        <v>19</v>
      </c>
      <c r="J301" s="46" t="str">
        <f t="shared" ca="1" si="56"/>
        <v>February</v>
      </c>
      <c r="K301" s="24">
        <f t="shared" ca="1" si="52"/>
        <v>2023</v>
      </c>
      <c r="L301" s="24" t="str">
        <f t="shared" ca="1" si="53"/>
        <v>Gold</v>
      </c>
      <c r="M301" s="24">
        <v>301</v>
      </c>
      <c r="N301" s="24" t="s">
        <v>955</v>
      </c>
      <c r="O301" s="24" t="s">
        <v>1159</v>
      </c>
      <c r="P301" s="26">
        <v>161</v>
      </c>
      <c r="Q301" s="26">
        <v>204.47</v>
      </c>
      <c r="R301" s="24">
        <v>301</v>
      </c>
      <c r="S301" s="24" t="str">
        <f t="shared" si="54"/>
        <v>Nov</v>
      </c>
      <c r="T301" s="46">
        <v>45966</v>
      </c>
      <c r="U301" s="24">
        <v>1</v>
      </c>
      <c r="V301" s="37">
        <v>136</v>
      </c>
      <c r="W301" s="24">
        <v>19</v>
      </c>
      <c r="X301" s="24">
        <v>1</v>
      </c>
      <c r="Y301" s="26">
        <f>combined_tbl!$Q301*(1-combined_tbl!$Z301)</f>
        <v>194.2465</v>
      </c>
      <c r="Z301" s="27">
        <f>IF(combined_tbl!$Q301&gt;=500,0.2, IF(combined_tbl!$Q301&gt;=200,0.05, IF(combined_tbl!$X301&gt;=2,0.05,0)))</f>
        <v>0.05</v>
      </c>
      <c r="AA301" s="26">
        <f>combined_tbl!$Y301*combined_tbl!$X301</f>
        <v>194.2465</v>
      </c>
      <c r="AB301" s="28">
        <f>(combined_tbl!$Q301*(1+combined_tbl!$Z301)-combined_tbl!$P301)*combined_tbl!$X301</f>
        <v>53.6935</v>
      </c>
    </row>
    <row r="302" spans="1:28" x14ac:dyDescent="0.3">
      <c r="A302" s="29">
        <v>301</v>
      </c>
      <c r="B302" s="25" cm="1">
        <f t="array" aca="1" ref="B302" ca="1">MIN(IF($E:$E=E302,$H:$H))</f>
        <v>45965</v>
      </c>
      <c r="C302" s="25">
        <f t="shared" ca="1" si="49"/>
        <v>1</v>
      </c>
      <c r="D302" s="43">
        <f ca="1">COUNTIF(E:E,combined_tbl!$E302)</f>
        <v>4</v>
      </c>
      <c r="E302" s="29" t="str">
        <f t="shared" ca="1" si="55"/>
        <v>Customer058</v>
      </c>
      <c r="F302" s="29" t="str" cm="1">
        <f t="array" aca="1" ref="F302" ca="1">INDEX({"Male","Female"}, RANDBETWEEN(1,2))</f>
        <v>Female</v>
      </c>
      <c r="G302" s="29" t="str">
        <f t="shared" ca="1" si="48"/>
        <v>North</v>
      </c>
      <c r="H302" s="48">
        <f t="shared" ca="1" si="50"/>
        <v>45965</v>
      </c>
      <c r="I302" s="24">
        <f t="shared" ca="1" si="51"/>
        <v>4</v>
      </c>
      <c r="J302" s="46" t="str">
        <f t="shared" ca="1" si="56"/>
        <v>November</v>
      </c>
      <c r="K302" s="24">
        <f t="shared" ca="1" si="52"/>
        <v>2025</v>
      </c>
      <c r="L302" s="24" t="str">
        <f t="shared" ca="1" si="53"/>
        <v>Bronze</v>
      </c>
      <c r="M302" s="29">
        <v>302</v>
      </c>
      <c r="N302" s="29" t="s">
        <v>851</v>
      </c>
      <c r="O302" s="29" t="s">
        <v>1160</v>
      </c>
      <c r="P302" s="30">
        <v>82</v>
      </c>
      <c r="Q302" s="30">
        <v>119.72</v>
      </c>
      <c r="R302" s="29">
        <v>302</v>
      </c>
      <c r="S302" s="24" t="str">
        <f t="shared" si="54"/>
        <v>Nov</v>
      </c>
      <c r="T302" s="47">
        <v>45616</v>
      </c>
      <c r="U302" s="29">
        <v>3</v>
      </c>
      <c r="V302" s="38">
        <v>11</v>
      </c>
      <c r="W302" s="29">
        <v>21</v>
      </c>
      <c r="X302" s="29">
        <v>1</v>
      </c>
      <c r="Y302" s="30">
        <f>combined_tbl!$Q302*(1-combined_tbl!$Z302)</f>
        <v>119.72</v>
      </c>
      <c r="Z302" s="31">
        <f>IF(combined_tbl!$Q302&gt;=500,0.2, IF(combined_tbl!$Q302&gt;=200,0.05, IF(combined_tbl!$X302&gt;=2,0.05,0)))</f>
        <v>0</v>
      </c>
      <c r="AA302" s="30">
        <f>combined_tbl!$Y302*combined_tbl!$X302</f>
        <v>119.72</v>
      </c>
      <c r="AB302" s="32">
        <f>(combined_tbl!$Q302*(1+combined_tbl!$Z302)-combined_tbl!$P302)*combined_tbl!$X302</f>
        <v>37.72</v>
      </c>
    </row>
    <row r="303" spans="1:28" x14ac:dyDescent="0.3">
      <c r="A303" s="29">
        <v>302</v>
      </c>
      <c r="B303" s="25" cm="1">
        <f t="array" aca="1" ref="B303" ca="1">MIN(IF($E:$E=E303,$H:$H))</f>
        <v>45809</v>
      </c>
      <c r="C303" s="25">
        <f t="shared" ca="1" si="49"/>
        <v>6</v>
      </c>
      <c r="D303" s="42">
        <f ca="1">COUNTIF(E:E,combined_tbl!$E303)</f>
        <v>10</v>
      </c>
      <c r="E303" s="24" t="str">
        <f t="shared" ca="1" si="55"/>
        <v>Customer019</v>
      </c>
      <c r="F303" s="24" t="str" cm="1">
        <f t="array" aca="1" ref="F303" ca="1">INDEX({"Male","Female"}, RANDBETWEEN(1,2))</f>
        <v>Male</v>
      </c>
      <c r="G303" s="29" t="str">
        <f t="shared" ca="1" si="48"/>
        <v>North</v>
      </c>
      <c r="H303" s="48">
        <f t="shared" ca="1" si="50"/>
        <v>45809</v>
      </c>
      <c r="I303" s="24">
        <f t="shared" ca="1" si="51"/>
        <v>1</v>
      </c>
      <c r="J303" s="46" t="str">
        <f t="shared" ca="1" si="56"/>
        <v>June</v>
      </c>
      <c r="K303" s="24">
        <f t="shared" ca="1" si="52"/>
        <v>2025</v>
      </c>
      <c r="L303" s="24" t="str">
        <f t="shared" ca="1" si="53"/>
        <v>Bronze</v>
      </c>
      <c r="M303" s="24">
        <v>303</v>
      </c>
      <c r="N303" s="24" t="s">
        <v>837</v>
      </c>
      <c r="O303" s="24" t="s">
        <v>1161</v>
      </c>
      <c r="P303" s="26">
        <v>308</v>
      </c>
      <c r="Q303" s="26">
        <v>354.2</v>
      </c>
      <c r="R303" s="24">
        <v>303</v>
      </c>
      <c r="S303" s="24" t="str">
        <f t="shared" si="54"/>
        <v>Feb</v>
      </c>
      <c r="T303" s="46">
        <v>45698</v>
      </c>
      <c r="U303" s="24">
        <v>3</v>
      </c>
      <c r="V303" s="37">
        <v>136</v>
      </c>
      <c r="W303" s="24">
        <v>4</v>
      </c>
      <c r="X303" s="24">
        <v>1</v>
      </c>
      <c r="Y303" s="26">
        <f>combined_tbl!$Q303*(1-combined_tbl!$Z303)</f>
        <v>336.48999999999995</v>
      </c>
      <c r="Z303" s="27">
        <f>IF(combined_tbl!$Q303&gt;=500,0.2, IF(combined_tbl!$Q303&gt;=200,0.05, IF(combined_tbl!$X303&gt;=2,0.05,0)))</f>
        <v>0.05</v>
      </c>
      <c r="AA303" s="26">
        <f>combined_tbl!$Y303*combined_tbl!$X303</f>
        <v>336.48999999999995</v>
      </c>
      <c r="AB303" s="28">
        <f>(combined_tbl!$Q303*(1+combined_tbl!$Z303)-combined_tbl!$P303)*combined_tbl!$X303</f>
        <v>63.910000000000025</v>
      </c>
    </row>
    <row r="304" spans="1:28" x14ac:dyDescent="0.3">
      <c r="A304" s="29">
        <v>303</v>
      </c>
      <c r="B304" s="25" cm="1">
        <f t="array" aca="1" ref="B304" ca="1">MIN(IF($E:$E=E304,$H:$H))</f>
        <v>45675</v>
      </c>
      <c r="C304" s="25">
        <f t="shared" ca="1" si="49"/>
        <v>10</v>
      </c>
      <c r="D304" s="43">
        <f ca="1">COUNTIF(E:E,combined_tbl!$E304)</f>
        <v>2</v>
      </c>
      <c r="E304" s="29" t="str">
        <f t="shared" ca="1" si="55"/>
        <v>Customer087</v>
      </c>
      <c r="F304" s="29" t="str" cm="1">
        <f t="array" aca="1" ref="F304" ca="1">INDEX({"Male","Female"}, RANDBETWEEN(1,2))</f>
        <v>Male</v>
      </c>
      <c r="G304" s="29" t="str">
        <f t="shared" ca="1" si="48"/>
        <v>South</v>
      </c>
      <c r="H304" s="48">
        <f t="shared" ca="1" si="50"/>
        <v>45675</v>
      </c>
      <c r="I304" s="24">
        <f t="shared" ca="1" si="51"/>
        <v>18</v>
      </c>
      <c r="J304" s="46" t="str">
        <f t="shared" ca="1" si="56"/>
        <v>January</v>
      </c>
      <c r="K304" s="24">
        <f t="shared" ca="1" si="52"/>
        <v>2025</v>
      </c>
      <c r="L304" s="24" t="str">
        <f t="shared" ca="1" si="53"/>
        <v>Bronze</v>
      </c>
      <c r="M304" s="29">
        <v>304</v>
      </c>
      <c r="N304" s="29" t="s">
        <v>837</v>
      </c>
      <c r="O304" s="29" t="s">
        <v>1162</v>
      </c>
      <c r="P304" s="30">
        <v>410</v>
      </c>
      <c r="Q304" s="30">
        <v>528.9</v>
      </c>
      <c r="R304" s="29">
        <v>304</v>
      </c>
      <c r="S304" s="24" t="str">
        <f t="shared" si="54"/>
        <v>Nov</v>
      </c>
      <c r="T304" s="47">
        <v>45259</v>
      </c>
      <c r="U304" s="29">
        <v>3</v>
      </c>
      <c r="V304" s="38">
        <v>180</v>
      </c>
      <c r="W304" s="29">
        <v>19</v>
      </c>
      <c r="X304" s="29">
        <v>1</v>
      </c>
      <c r="Y304" s="30">
        <f>combined_tbl!$Q304*(1-combined_tbl!$Z304)</f>
        <v>423.12</v>
      </c>
      <c r="Z304" s="31">
        <f>IF(combined_tbl!$Q304&gt;=500,0.2, IF(combined_tbl!$Q304&gt;=200,0.05, IF(combined_tbl!$X304&gt;=2,0.05,0)))</f>
        <v>0.2</v>
      </c>
      <c r="AA304" s="30">
        <f>combined_tbl!$Y304*combined_tbl!$X304</f>
        <v>423.12</v>
      </c>
      <c r="AB304" s="32">
        <f>(combined_tbl!$Q304*(1+combined_tbl!$Z304)-combined_tbl!$P304)*combined_tbl!$X304</f>
        <v>224.67999999999995</v>
      </c>
    </row>
    <row r="305" spans="1:28" x14ac:dyDescent="0.3">
      <c r="A305" s="29">
        <v>304</v>
      </c>
      <c r="B305" s="25" cm="1">
        <f t="array" aca="1" ref="B305" ca="1">MIN(IF($E:$E=E305,$H:$H))</f>
        <v>45625</v>
      </c>
      <c r="C305" s="25">
        <f t="shared" ca="1" si="49"/>
        <v>12</v>
      </c>
      <c r="D305" s="42">
        <f ca="1">COUNTIF(E:E,combined_tbl!$E305)</f>
        <v>7</v>
      </c>
      <c r="E305" s="24" t="str">
        <f t="shared" ca="1" si="55"/>
        <v>Customer038</v>
      </c>
      <c r="F305" s="24" t="str" cm="1">
        <f t="array" aca="1" ref="F305" ca="1">INDEX({"Male","Female"}, RANDBETWEEN(1,2))</f>
        <v>Male</v>
      </c>
      <c r="G305" s="29" t="str">
        <f t="shared" ca="1" si="48"/>
        <v>West</v>
      </c>
      <c r="H305" s="48">
        <f t="shared" ca="1" si="50"/>
        <v>45625</v>
      </c>
      <c r="I305" s="24">
        <f t="shared" ca="1" si="51"/>
        <v>29</v>
      </c>
      <c r="J305" s="46" t="str">
        <f t="shared" ca="1" si="56"/>
        <v>November</v>
      </c>
      <c r="K305" s="24">
        <f t="shared" ca="1" si="52"/>
        <v>2024</v>
      </c>
      <c r="L305" s="24" t="str">
        <f t="shared" ca="1" si="53"/>
        <v>Silver</v>
      </c>
      <c r="M305" s="24">
        <v>305</v>
      </c>
      <c r="N305" s="24" t="s">
        <v>957</v>
      </c>
      <c r="O305" s="24" t="s">
        <v>1163</v>
      </c>
      <c r="P305" s="26">
        <v>109</v>
      </c>
      <c r="Q305" s="26">
        <v>155.87</v>
      </c>
      <c r="R305" s="24">
        <v>305</v>
      </c>
      <c r="S305" s="24" t="str">
        <f t="shared" si="54"/>
        <v>Dec</v>
      </c>
      <c r="T305" s="46">
        <v>45266</v>
      </c>
      <c r="U305" s="24">
        <v>8</v>
      </c>
      <c r="V305" s="37">
        <v>141</v>
      </c>
      <c r="W305" s="24">
        <v>13</v>
      </c>
      <c r="X305" s="24">
        <v>2</v>
      </c>
      <c r="Y305" s="26">
        <f>combined_tbl!$Q305*(1-combined_tbl!$Z305)</f>
        <v>148.07650000000001</v>
      </c>
      <c r="Z305" s="27">
        <f>IF(combined_tbl!$Q305&gt;=500,0.2, IF(combined_tbl!$Q305&gt;=200,0.05, IF(combined_tbl!$X305&gt;=2,0.05,0)))</f>
        <v>0.05</v>
      </c>
      <c r="AA305" s="26">
        <f>combined_tbl!$Y305*combined_tbl!$X305</f>
        <v>296.15300000000002</v>
      </c>
      <c r="AB305" s="28">
        <f>(combined_tbl!$Q305*(1+combined_tbl!$Z305)-combined_tbl!$P305)*combined_tbl!$X305</f>
        <v>109.327</v>
      </c>
    </row>
    <row r="306" spans="1:28" x14ac:dyDescent="0.3">
      <c r="A306" s="19">
        <v>305</v>
      </c>
      <c r="B306" s="25" cm="1">
        <f t="array" aca="1" ref="B306" ca="1">MIN(IF($E:$E=E306,$H:$H))</f>
        <v>45637</v>
      </c>
      <c r="C306" s="25">
        <f t="shared" ca="1" si="49"/>
        <v>11</v>
      </c>
      <c r="D306" s="43">
        <f ca="1">COUNTIF(E:E,combined_tbl!$E306)</f>
        <v>4</v>
      </c>
      <c r="E306" s="29" t="str">
        <f t="shared" ca="1" si="55"/>
        <v>Customer059</v>
      </c>
      <c r="F306" s="29" t="str" cm="1">
        <f t="array" aca="1" ref="F306" ca="1">INDEX({"Male","Female"}, RANDBETWEEN(1,2))</f>
        <v>Male</v>
      </c>
      <c r="G306" s="29" t="str">
        <f t="shared" ca="1" si="48"/>
        <v>East</v>
      </c>
      <c r="H306" s="48">
        <f t="shared" ca="1" si="50"/>
        <v>45637</v>
      </c>
      <c r="I306" s="24">
        <f t="shared" ca="1" si="51"/>
        <v>11</v>
      </c>
      <c r="J306" s="46" t="str">
        <f t="shared" ca="1" si="56"/>
        <v>December</v>
      </c>
      <c r="K306" s="24">
        <f t="shared" ca="1" si="52"/>
        <v>2024</v>
      </c>
      <c r="L306" s="24" t="str">
        <f t="shared" ca="1" si="53"/>
        <v>Bronze</v>
      </c>
      <c r="M306" s="29">
        <v>306</v>
      </c>
      <c r="N306" s="29" t="s">
        <v>872</v>
      </c>
      <c r="O306" s="29" t="s">
        <v>1164</v>
      </c>
      <c r="P306" s="30">
        <v>116</v>
      </c>
      <c r="Q306" s="30">
        <v>134.56</v>
      </c>
      <c r="R306" s="29">
        <v>306</v>
      </c>
      <c r="S306" s="24" t="str">
        <f t="shared" si="54"/>
        <v>Mar</v>
      </c>
      <c r="T306" s="47">
        <v>45016</v>
      </c>
      <c r="U306" s="29">
        <v>7</v>
      </c>
      <c r="V306" s="38">
        <v>109</v>
      </c>
      <c r="W306" s="29">
        <v>97</v>
      </c>
      <c r="X306" s="29">
        <v>1</v>
      </c>
      <c r="Y306" s="30">
        <f>combined_tbl!$Q306*(1-combined_tbl!$Z306)</f>
        <v>134.56</v>
      </c>
      <c r="Z306" s="31">
        <f>IF(combined_tbl!$Q306&gt;=500,0.2, IF(combined_tbl!$Q306&gt;=200,0.05, IF(combined_tbl!$X306&gt;=2,0.05,0)))</f>
        <v>0</v>
      </c>
      <c r="AA306" s="30">
        <f>combined_tbl!$Y306*combined_tbl!$X306</f>
        <v>134.56</v>
      </c>
      <c r="AB306" s="32">
        <f>(combined_tbl!$Q306*(1+combined_tbl!$Z306)-combined_tbl!$P306)*combined_tbl!$X306</f>
        <v>18.560000000000002</v>
      </c>
    </row>
    <row r="307" spans="1:28" x14ac:dyDescent="0.3">
      <c r="A307" s="24">
        <v>306</v>
      </c>
      <c r="B307" s="25" cm="1">
        <f t="array" aca="1" ref="B307" ca="1">MIN(IF($E:$E=E307,$H:$H))</f>
        <v>45750</v>
      </c>
      <c r="C307" s="25">
        <f t="shared" ca="1" si="49"/>
        <v>8</v>
      </c>
      <c r="D307" s="42">
        <f ca="1">COUNTIF(E:E,combined_tbl!$E307)</f>
        <v>6</v>
      </c>
      <c r="E307" s="24" t="str">
        <f t="shared" ca="1" si="55"/>
        <v>Customer005</v>
      </c>
      <c r="F307" s="24" t="str" cm="1">
        <f t="array" aca="1" ref="F307" ca="1">INDEX({"Male","Female"}, RANDBETWEEN(1,2))</f>
        <v>Female</v>
      </c>
      <c r="G307" s="29" t="str">
        <f t="shared" ca="1" si="48"/>
        <v>East</v>
      </c>
      <c r="H307" s="48">
        <f t="shared" ca="1" si="50"/>
        <v>45750</v>
      </c>
      <c r="I307" s="24">
        <f t="shared" ca="1" si="51"/>
        <v>3</v>
      </c>
      <c r="J307" s="46" t="str">
        <f t="shared" ca="1" si="56"/>
        <v>April</v>
      </c>
      <c r="K307" s="24">
        <f t="shared" ca="1" si="52"/>
        <v>2025</v>
      </c>
      <c r="L307" s="24" t="str">
        <f t="shared" ca="1" si="53"/>
        <v>Bronze</v>
      </c>
      <c r="M307" s="24">
        <v>307</v>
      </c>
      <c r="N307" s="24" t="s">
        <v>957</v>
      </c>
      <c r="O307" s="24" t="s">
        <v>1165</v>
      </c>
      <c r="P307" s="26">
        <v>182</v>
      </c>
      <c r="Q307" s="26">
        <v>263.89999999999998</v>
      </c>
      <c r="R307" s="24">
        <v>307</v>
      </c>
      <c r="S307" s="24" t="str">
        <f t="shared" si="54"/>
        <v>Jan</v>
      </c>
      <c r="T307" s="46">
        <v>45673</v>
      </c>
      <c r="U307" s="24">
        <v>4</v>
      </c>
      <c r="V307" s="37">
        <v>145</v>
      </c>
      <c r="W307" s="24">
        <v>20</v>
      </c>
      <c r="X307" s="24">
        <v>1</v>
      </c>
      <c r="Y307" s="26">
        <f>combined_tbl!$Q307*(1-combined_tbl!$Z307)</f>
        <v>250.70499999999996</v>
      </c>
      <c r="Z307" s="27">
        <f>IF(combined_tbl!$Q307&gt;=500,0.2, IF(combined_tbl!$Q307&gt;=200,0.05, IF(combined_tbl!$X307&gt;=2,0.05,0)))</f>
        <v>0.05</v>
      </c>
      <c r="AA307" s="26">
        <f>combined_tbl!$Y307*combined_tbl!$X307</f>
        <v>250.70499999999996</v>
      </c>
      <c r="AB307" s="28">
        <f>(combined_tbl!$Q307*(1+combined_tbl!$Z307)-combined_tbl!$P307)*combined_tbl!$X307</f>
        <v>95.09499999999997</v>
      </c>
    </row>
    <row r="308" spans="1:28" x14ac:dyDescent="0.3">
      <c r="A308" s="29">
        <v>307</v>
      </c>
      <c r="B308" s="25" cm="1">
        <f t="array" aca="1" ref="B308" ca="1">MIN(IF($E:$E=E308,$H:$H))</f>
        <v>45495</v>
      </c>
      <c r="C308" s="25">
        <f t="shared" ca="1" si="49"/>
        <v>16</v>
      </c>
      <c r="D308" s="43">
        <f ca="1">COUNTIF(E:E,combined_tbl!$E308)</f>
        <v>8</v>
      </c>
      <c r="E308" s="29" t="str">
        <f t="shared" ca="1" si="55"/>
        <v>Customer003</v>
      </c>
      <c r="F308" s="29" t="str" cm="1">
        <f t="array" aca="1" ref="F308" ca="1">INDEX({"Male","Female"}, RANDBETWEEN(1,2))</f>
        <v>Female</v>
      </c>
      <c r="G308" s="29" t="str">
        <f t="shared" ca="1" si="48"/>
        <v>East</v>
      </c>
      <c r="H308" s="48">
        <f t="shared" ca="1" si="50"/>
        <v>45495</v>
      </c>
      <c r="I308" s="24">
        <f t="shared" ca="1" si="51"/>
        <v>22</v>
      </c>
      <c r="J308" s="46" t="str">
        <f t="shared" ca="1" si="56"/>
        <v>July</v>
      </c>
      <c r="K308" s="24">
        <f t="shared" ca="1" si="52"/>
        <v>2024</v>
      </c>
      <c r="L308" s="24" t="str">
        <f t="shared" ca="1" si="53"/>
        <v>Silver</v>
      </c>
      <c r="M308" s="29">
        <v>308</v>
      </c>
      <c r="N308" s="29" t="s">
        <v>954</v>
      </c>
      <c r="O308" s="29" t="s">
        <v>1166</v>
      </c>
      <c r="P308" s="30">
        <v>844</v>
      </c>
      <c r="Q308" s="30">
        <v>1055</v>
      </c>
      <c r="R308" s="29">
        <v>308</v>
      </c>
      <c r="S308" s="24" t="str">
        <f t="shared" si="54"/>
        <v>Jun</v>
      </c>
      <c r="T308" s="47">
        <v>45836</v>
      </c>
      <c r="U308" s="29">
        <v>5</v>
      </c>
      <c r="V308" s="38">
        <v>114</v>
      </c>
      <c r="W308" s="29">
        <v>17</v>
      </c>
      <c r="X308" s="29">
        <v>2</v>
      </c>
      <c r="Y308" s="30">
        <f>combined_tbl!$Q308*(1-combined_tbl!$Z308)</f>
        <v>844</v>
      </c>
      <c r="Z308" s="31">
        <f>IF(combined_tbl!$Q308&gt;=500,0.2, IF(combined_tbl!$Q308&gt;=200,0.05, IF(combined_tbl!$X308&gt;=2,0.05,0)))</f>
        <v>0.2</v>
      </c>
      <c r="AA308" s="30">
        <f>combined_tbl!$Y308*combined_tbl!$X308</f>
        <v>1688</v>
      </c>
      <c r="AB308" s="32">
        <f>(combined_tbl!$Q308*(1+combined_tbl!$Z308)-combined_tbl!$P308)*combined_tbl!$X308</f>
        <v>844</v>
      </c>
    </row>
    <row r="309" spans="1:28" x14ac:dyDescent="0.3">
      <c r="A309" s="29">
        <v>308</v>
      </c>
      <c r="B309" s="25" cm="1">
        <f t="array" aca="1" ref="B309" ca="1">MIN(IF($E:$E=E309,$H:$H))</f>
        <v>45069</v>
      </c>
      <c r="C309" s="25">
        <f t="shared" ca="1" si="49"/>
        <v>30</v>
      </c>
      <c r="D309" s="42">
        <f ca="1">COUNTIF(E:E,combined_tbl!$E309)</f>
        <v>2</v>
      </c>
      <c r="E309" s="24" t="str">
        <f t="shared" ca="1" si="55"/>
        <v>Customer045</v>
      </c>
      <c r="F309" s="24" t="str" cm="1">
        <f t="array" aca="1" ref="F309" ca="1">INDEX({"Male","Female"}, RANDBETWEEN(1,2))</f>
        <v>Male</v>
      </c>
      <c r="G309" s="29" t="str">
        <f t="shared" ca="1" si="48"/>
        <v>East</v>
      </c>
      <c r="H309" s="48">
        <f t="shared" ca="1" si="50"/>
        <v>45069</v>
      </c>
      <c r="I309" s="24">
        <f t="shared" ca="1" si="51"/>
        <v>23</v>
      </c>
      <c r="J309" s="46" t="str">
        <f t="shared" ca="1" si="56"/>
        <v>May</v>
      </c>
      <c r="K309" s="24">
        <f t="shared" ca="1" si="52"/>
        <v>2023</v>
      </c>
      <c r="L309" s="24" t="str">
        <f t="shared" ca="1" si="53"/>
        <v>Bronze</v>
      </c>
      <c r="M309" s="24">
        <v>309</v>
      </c>
      <c r="N309" s="24" t="s">
        <v>954</v>
      </c>
      <c r="O309" s="24" t="s">
        <v>1167</v>
      </c>
      <c r="P309" s="26">
        <v>994</v>
      </c>
      <c r="Q309" s="26">
        <v>1212.68</v>
      </c>
      <c r="R309" s="24">
        <v>309</v>
      </c>
      <c r="S309" s="24" t="str">
        <f t="shared" si="54"/>
        <v>Jul</v>
      </c>
      <c r="T309" s="46">
        <v>45846</v>
      </c>
      <c r="U309" s="24">
        <v>4</v>
      </c>
      <c r="V309" s="37">
        <v>50</v>
      </c>
      <c r="W309" s="24">
        <v>62</v>
      </c>
      <c r="X309" s="24">
        <v>1</v>
      </c>
      <c r="Y309" s="26">
        <f>combined_tbl!$Q309*(1-combined_tbl!$Z309)</f>
        <v>970.14400000000012</v>
      </c>
      <c r="Z309" s="27">
        <f>IF(combined_tbl!$Q309&gt;=500,0.2, IF(combined_tbl!$Q309&gt;=200,0.05, IF(combined_tbl!$X309&gt;=2,0.05,0)))</f>
        <v>0.2</v>
      </c>
      <c r="AA309" s="26">
        <f>combined_tbl!$Y309*combined_tbl!$X309</f>
        <v>970.14400000000012</v>
      </c>
      <c r="AB309" s="28">
        <f>(combined_tbl!$Q309*(1+combined_tbl!$Z309)-combined_tbl!$P309)*combined_tbl!$X309</f>
        <v>461.21600000000012</v>
      </c>
    </row>
    <row r="310" spans="1:28" x14ac:dyDescent="0.3">
      <c r="A310" s="29">
        <v>309</v>
      </c>
      <c r="B310" s="25" cm="1">
        <f t="array" aca="1" ref="B310" ca="1">MIN(IF($E:$E=E310,$H:$H))</f>
        <v>45260</v>
      </c>
      <c r="C310" s="25">
        <f t="shared" ca="1" si="49"/>
        <v>24</v>
      </c>
      <c r="D310" s="43">
        <f ca="1">COUNTIF(E:E,combined_tbl!$E310)</f>
        <v>13</v>
      </c>
      <c r="E310" s="29" t="str">
        <f t="shared" ca="1" si="55"/>
        <v>Customer001</v>
      </c>
      <c r="F310" s="29" t="str" cm="1">
        <f t="array" aca="1" ref="F310" ca="1">INDEX({"Male","Female"}, RANDBETWEEN(1,2))</f>
        <v>Male</v>
      </c>
      <c r="G310" s="29" t="str">
        <f t="shared" ca="1" si="48"/>
        <v>South</v>
      </c>
      <c r="H310" s="48">
        <f t="shared" ca="1" si="50"/>
        <v>45260</v>
      </c>
      <c r="I310" s="24">
        <f t="shared" ca="1" si="51"/>
        <v>30</v>
      </c>
      <c r="J310" s="46" t="str">
        <f t="shared" ca="1" si="56"/>
        <v>November</v>
      </c>
      <c r="K310" s="24">
        <f t="shared" ca="1" si="52"/>
        <v>2023</v>
      </c>
      <c r="L310" s="24" t="str">
        <f t="shared" ca="1" si="53"/>
        <v>Platinum</v>
      </c>
      <c r="M310" s="29">
        <v>310</v>
      </c>
      <c r="N310" s="29" t="s">
        <v>957</v>
      </c>
      <c r="O310" s="29" t="s">
        <v>1168</v>
      </c>
      <c r="P310" s="30">
        <v>167</v>
      </c>
      <c r="Q310" s="30">
        <v>217.1</v>
      </c>
      <c r="R310" s="29">
        <v>310</v>
      </c>
      <c r="S310" s="24" t="str">
        <f t="shared" si="54"/>
        <v>May</v>
      </c>
      <c r="T310" s="47">
        <v>45416</v>
      </c>
      <c r="U310" s="29">
        <v>5</v>
      </c>
      <c r="V310" s="38">
        <v>215</v>
      </c>
      <c r="W310" s="29">
        <v>40</v>
      </c>
      <c r="X310" s="29">
        <v>2</v>
      </c>
      <c r="Y310" s="30">
        <f>combined_tbl!$Q310*(1-combined_tbl!$Z310)</f>
        <v>206.24499999999998</v>
      </c>
      <c r="Z310" s="31">
        <f>IF(combined_tbl!$Q310&gt;=500,0.2, IF(combined_tbl!$Q310&gt;=200,0.05, IF(combined_tbl!$X310&gt;=2,0.05,0)))</f>
        <v>0.05</v>
      </c>
      <c r="AA310" s="30">
        <f>combined_tbl!$Y310*combined_tbl!$X310</f>
        <v>412.48999999999995</v>
      </c>
      <c r="AB310" s="32">
        <f>(combined_tbl!$Q310*(1+combined_tbl!$Z310)-combined_tbl!$P310)*combined_tbl!$X310</f>
        <v>121.91000000000003</v>
      </c>
    </row>
    <row r="311" spans="1:28" x14ac:dyDescent="0.3">
      <c r="A311" s="29">
        <v>310</v>
      </c>
      <c r="B311" s="25" cm="1">
        <f t="array" aca="1" ref="B311" ca="1">MIN(IF($E:$E=E311,$H:$H))</f>
        <v>45103</v>
      </c>
      <c r="C311" s="25">
        <f t="shared" ca="1" si="49"/>
        <v>29</v>
      </c>
      <c r="D311" s="42">
        <f ca="1">COUNTIF(E:E,combined_tbl!$E311)</f>
        <v>8</v>
      </c>
      <c r="E311" s="24" t="str">
        <f t="shared" ca="1" si="55"/>
        <v>Customer014</v>
      </c>
      <c r="F311" s="24" t="str" cm="1">
        <f t="array" aca="1" ref="F311" ca="1">INDEX({"Male","Female"}, RANDBETWEEN(1,2))</f>
        <v>Male</v>
      </c>
      <c r="G311" s="29" t="str">
        <f t="shared" ref="G311:G374" ca="1" si="57">_xlfn.XLOOKUP(E311,AI$1:AI$139,AF$2:AF$140)</f>
        <v>West</v>
      </c>
      <c r="H311" s="48">
        <f t="shared" ca="1" si="50"/>
        <v>45103</v>
      </c>
      <c r="I311" s="24">
        <f t="shared" ca="1" si="51"/>
        <v>26</v>
      </c>
      <c r="J311" s="46" t="str">
        <f t="shared" ca="1" si="56"/>
        <v>June</v>
      </c>
      <c r="K311" s="24">
        <f t="shared" ca="1" si="52"/>
        <v>2023</v>
      </c>
      <c r="L311" s="24" t="str">
        <f t="shared" ca="1" si="53"/>
        <v>Gold</v>
      </c>
      <c r="M311" s="24">
        <v>311</v>
      </c>
      <c r="N311" s="24" t="s">
        <v>851</v>
      </c>
      <c r="O311" s="24" t="s">
        <v>1169</v>
      </c>
      <c r="P311" s="26">
        <v>85</v>
      </c>
      <c r="Q311" s="26">
        <v>126.65</v>
      </c>
      <c r="R311" s="24">
        <v>311</v>
      </c>
      <c r="S311" s="24" t="str">
        <f t="shared" si="54"/>
        <v>Aug</v>
      </c>
      <c r="T311" s="46">
        <v>45887</v>
      </c>
      <c r="U311" s="24">
        <v>4</v>
      </c>
      <c r="V311" s="37">
        <v>19</v>
      </c>
      <c r="W311" s="24">
        <v>32</v>
      </c>
      <c r="X311" s="24">
        <v>1</v>
      </c>
      <c r="Y311" s="26">
        <f>combined_tbl!$Q311*(1-combined_tbl!$Z311)</f>
        <v>126.65</v>
      </c>
      <c r="Z311" s="27">
        <f>IF(combined_tbl!$Q311&gt;=500,0.2, IF(combined_tbl!$Q311&gt;=200,0.05, IF(combined_tbl!$X311&gt;=2,0.05,0)))</f>
        <v>0</v>
      </c>
      <c r="AA311" s="26">
        <f>combined_tbl!$Y311*combined_tbl!$X311</f>
        <v>126.65</v>
      </c>
      <c r="AB311" s="28">
        <f>(combined_tbl!$Q311*(1+combined_tbl!$Z311)-combined_tbl!$P311)*combined_tbl!$X311</f>
        <v>41.650000000000006</v>
      </c>
    </row>
    <row r="312" spans="1:28" x14ac:dyDescent="0.3">
      <c r="A312" s="29">
        <v>311</v>
      </c>
      <c r="B312" s="25" cm="1">
        <f t="array" aca="1" ref="B312" ca="1">MIN(IF($E:$E=E312,$H:$H))</f>
        <v>45493</v>
      </c>
      <c r="C312" s="25">
        <f t="shared" ca="1" si="49"/>
        <v>16</v>
      </c>
      <c r="D312" s="43">
        <f ca="1">COUNTIF(E:E,combined_tbl!$E312)</f>
        <v>1</v>
      </c>
      <c r="E312" s="29" t="str">
        <f t="shared" ca="1" si="55"/>
        <v>Customer089</v>
      </c>
      <c r="F312" s="29" t="str" cm="1">
        <f t="array" aca="1" ref="F312" ca="1">INDEX({"Male","Female"}, RANDBETWEEN(1,2))</f>
        <v>Female</v>
      </c>
      <c r="G312" s="29" t="str">
        <f t="shared" ca="1" si="57"/>
        <v>South</v>
      </c>
      <c r="H312" s="48">
        <f t="shared" ca="1" si="50"/>
        <v>45493</v>
      </c>
      <c r="I312" s="24">
        <f t="shared" ca="1" si="51"/>
        <v>20</v>
      </c>
      <c r="J312" s="46" t="str">
        <f t="shared" ca="1" si="56"/>
        <v>July</v>
      </c>
      <c r="K312" s="24">
        <f t="shared" ca="1" si="52"/>
        <v>2024</v>
      </c>
      <c r="L312" s="24" t="str">
        <f t="shared" ca="1" si="53"/>
        <v>Bronze</v>
      </c>
      <c r="M312" s="29">
        <v>312</v>
      </c>
      <c r="N312" s="29" t="s">
        <v>1359</v>
      </c>
      <c r="O312" s="29" t="s">
        <v>1170</v>
      </c>
      <c r="P312" s="30">
        <v>257</v>
      </c>
      <c r="Q312" s="30">
        <v>308.39999999999998</v>
      </c>
      <c r="R312" s="29">
        <v>312</v>
      </c>
      <c r="S312" s="24" t="str">
        <f t="shared" si="54"/>
        <v>Jan</v>
      </c>
      <c r="T312" s="47">
        <v>45680</v>
      </c>
      <c r="U312" s="29">
        <v>8</v>
      </c>
      <c r="V312" s="38">
        <v>48</v>
      </c>
      <c r="W312" s="29">
        <v>72</v>
      </c>
      <c r="X312" s="29">
        <v>1</v>
      </c>
      <c r="Y312" s="30">
        <f>combined_tbl!$Q312*(1-combined_tbl!$Z312)</f>
        <v>292.97999999999996</v>
      </c>
      <c r="Z312" s="31">
        <f>IF(combined_tbl!$Q312&gt;=500,0.2, IF(combined_tbl!$Q312&gt;=200,0.05, IF(combined_tbl!$X312&gt;=2,0.05,0)))</f>
        <v>0.05</v>
      </c>
      <c r="AA312" s="30">
        <f>combined_tbl!$Y312*combined_tbl!$X312</f>
        <v>292.97999999999996</v>
      </c>
      <c r="AB312" s="32">
        <f>(combined_tbl!$Q312*(1+combined_tbl!$Z312)-combined_tbl!$P312)*combined_tbl!$X312</f>
        <v>66.819999999999993</v>
      </c>
    </row>
    <row r="313" spans="1:28" x14ac:dyDescent="0.3">
      <c r="A313" s="29">
        <v>312</v>
      </c>
      <c r="B313" s="25" cm="1">
        <f t="array" aca="1" ref="B313" ca="1">MIN(IF($E:$E=E313,$H:$H))</f>
        <v>45881</v>
      </c>
      <c r="C313" s="25">
        <f t="shared" ca="1" si="49"/>
        <v>3</v>
      </c>
      <c r="D313" s="42">
        <f ca="1">COUNTIF(E:E,combined_tbl!$E313)</f>
        <v>4</v>
      </c>
      <c r="E313" s="24" t="str">
        <f t="shared" ca="1" si="55"/>
        <v>Customer037</v>
      </c>
      <c r="F313" s="24" t="str" cm="1">
        <f t="array" aca="1" ref="F313" ca="1">INDEX({"Male","Female"}, RANDBETWEEN(1,2))</f>
        <v>Male</v>
      </c>
      <c r="G313" s="29" t="str">
        <f t="shared" ca="1" si="57"/>
        <v>West</v>
      </c>
      <c r="H313" s="48">
        <f t="shared" ca="1" si="50"/>
        <v>45881</v>
      </c>
      <c r="I313" s="24">
        <f t="shared" ca="1" si="51"/>
        <v>12</v>
      </c>
      <c r="J313" s="46" t="str">
        <f t="shared" ca="1" si="56"/>
        <v>August</v>
      </c>
      <c r="K313" s="24">
        <f t="shared" ca="1" si="52"/>
        <v>2025</v>
      </c>
      <c r="L313" s="24" t="str">
        <f t="shared" ca="1" si="53"/>
        <v>Bronze</v>
      </c>
      <c r="M313" s="24">
        <v>313</v>
      </c>
      <c r="N313" s="24" t="s">
        <v>957</v>
      </c>
      <c r="O313" s="24" t="s">
        <v>1171</v>
      </c>
      <c r="P313" s="26">
        <v>41</v>
      </c>
      <c r="Q313" s="26">
        <v>50.43</v>
      </c>
      <c r="R313" s="24">
        <v>313</v>
      </c>
      <c r="S313" s="24" t="str">
        <f t="shared" si="54"/>
        <v>Aug</v>
      </c>
      <c r="T313" s="46">
        <v>45872</v>
      </c>
      <c r="U313" s="24">
        <v>5</v>
      </c>
      <c r="V313" s="37">
        <v>137</v>
      </c>
      <c r="W313" s="24">
        <v>97</v>
      </c>
      <c r="X313" s="24">
        <v>1</v>
      </c>
      <c r="Y313" s="26">
        <f>combined_tbl!$Q313*(1-combined_tbl!$Z313)</f>
        <v>50.43</v>
      </c>
      <c r="Z313" s="27">
        <f>IF(combined_tbl!$Q313&gt;=500,0.2, IF(combined_tbl!$Q313&gt;=200,0.05, IF(combined_tbl!$X313&gt;=2,0.05,0)))</f>
        <v>0</v>
      </c>
      <c r="AA313" s="26">
        <f>combined_tbl!$Y313*combined_tbl!$X313</f>
        <v>50.43</v>
      </c>
      <c r="AB313" s="28">
        <f>(combined_tbl!$Q313*(1+combined_tbl!$Z313)-combined_tbl!$P313)*combined_tbl!$X313</f>
        <v>9.43</v>
      </c>
    </row>
    <row r="314" spans="1:28" x14ac:dyDescent="0.3">
      <c r="A314" s="19">
        <v>313</v>
      </c>
      <c r="B314" s="25" cm="1">
        <f t="array" aca="1" ref="B314" ca="1">MIN(IF($E:$E=E314,$H:$H))</f>
        <v>45439</v>
      </c>
      <c r="C314" s="25">
        <f t="shared" ca="1" si="49"/>
        <v>18</v>
      </c>
      <c r="D314" s="43">
        <f ca="1">COUNTIF(E:E,combined_tbl!$E314)</f>
        <v>10</v>
      </c>
      <c r="E314" s="29" t="str">
        <f t="shared" ca="1" si="55"/>
        <v>Customer018</v>
      </c>
      <c r="F314" s="29" t="str" cm="1">
        <f t="array" aca="1" ref="F314" ca="1">INDEX({"Male","Female"}, RANDBETWEEN(1,2))</f>
        <v>Male</v>
      </c>
      <c r="G314" s="29" t="str">
        <f t="shared" ca="1" si="57"/>
        <v>East</v>
      </c>
      <c r="H314" s="48">
        <f t="shared" ca="1" si="50"/>
        <v>45439</v>
      </c>
      <c r="I314" s="24">
        <f t="shared" ca="1" si="51"/>
        <v>27</v>
      </c>
      <c r="J314" s="46" t="str">
        <f t="shared" ca="1" si="56"/>
        <v>May</v>
      </c>
      <c r="K314" s="24">
        <f t="shared" ca="1" si="52"/>
        <v>2024</v>
      </c>
      <c r="L314" s="24" t="str">
        <f t="shared" ca="1" si="53"/>
        <v>Gold</v>
      </c>
      <c r="M314" s="29">
        <v>314</v>
      </c>
      <c r="N314" s="29" t="s">
        <v>837</v>
      </c>
      <c r="O314" s="29" t="s">
        <v>1172</v>
      </c>
      <c r="P314" s="30">
        <v>391</v>
      </c>
      <c r="Q314" s="30">
        <v>445.74000000000007</v>
      </c>
      <c r="R314" s="29">
        <v>314</v>
      </c>
      <c r="S314" s="24" t="str">
        <f t="shared" si="54"/>
        <v>Feb</v>
      </c>
      <c r="T314" s="47">
        <v>45709</v>
      </c>
      <c r="U314" s="29">
        <v>7</v>
      </c>
      <c r="V314" s="38">
        <v>47</v>
      </c>
      <c r="W314" s="29">
        <v>36</v>
      </c>
      <c r="X314" s="29">
        <v>1</v>
      </c>
      <c r="Y314" s="30">
        <f>combined_tbl!$Q314*(1-combined_tbl!$Z314)</f>
        <v>423.45300000000003</v>
      </c>
      <c r="Z314" s="31">
        <f>IF(combined_tbl!$Q314&gt;=500,0.2, IF(combined_tbl!$Q314&gt;=200,0.05, IF(combined_tbl!$X314&gt;=2,0.05,0)))</f>
        <v>0.05</v>
      </c>
      <c r="AA314" s="30">
        <f>combined_tbl!$Y314*combined_tbl!$X314</f>
        <v>423.45300000000003</v>
      </c>
      <c r="AB314" s="32">
        <f>(combined_tbl!$Q314*(1+combined_tbl!$Z314)-combined_tbl!$P314)*combined_tbl!$X314</f>
        <v>77.0270000000001</v>
      </c>
    </row>
    <row r="315" spans="1:28" x14ac:dyDescent="0.3">
      <c r="A315" s="24">
        <v>314</v>
      </c>
      <c r="B315" s="25" cm="1">
        <f t="array" aca="1" ref="B315" ca="1">MIN(IF($E:$E=E315,$H:$H))</f>
        <v>45638</v>
      </c>
      <c r="C315" s="25">
        <f t="shared" ca="1" si="49"/>
        <v>11</v>
      </c>
      <c r="D315" s="42">
        <f ca="1">COUNTIF(E:E,combined_tbl!$E315)</f>
        <v>4</v>
      </c>
      <c r="E315" s="24" t="str">
        <f t="shared" ca="1" si="55"/>
        <v>Customer044</v>
      </c>
      <c r="F315" s="24" t="str" cm="1">
        <f t="array" aca="1" ref="F315" ca="1">INDEX({"Male","Female"}, RANDBETWEEN(1,2))</f>
        <v>Male</v>
      </c>
      <c r="G315" s="29" t="str">
        <f t="shared" ca="1" si="57"/>
        <v>West</v>
      </c>
      <c r="H315" s="48">
        <f t="shared" ca="1" si="50"/>
        <v>45638</v>
      </c>
      <c r="I315" s="24">
        <f t="shared" ca="1" si="51"/>
        <v>12</v>
      </c>
      <c r="J315" s="46" t="str">
        <f t="shared" ca="1" si="56"/>
        <v>December</v>
      </c>
      <c r="K315" s="24">
        <f t="shared" ca="1" si="52"/>
        <v>2024</v>
      </c>
      <c r="L315" s="24" t="str">
        <f t="shared" ca="1" si="53"/>
        <v>Bronze</v>
      </c>
      <c r="M315" s="24">
        <v>315</v>
      </c>
      <c r="N315" s="24" t="s">
        <v>851</v>
      </c>
      <c r="O315" s="24" t="s">
        <v>1173</v>
      </c>
      <c r="P315" s="26">
        <v>44</v>
      </c>
      <c r="Q315" s="26">
        <v>63.8</v>
      </c>
      <c r="R315" s="24">
        <v>315</v>
      </c>
      <c r="S315" s="24" t="str">
        <f t="shared" si="54"/>
        <v>Nov</v>
      </c>
      <c r="T315" s="46">
        <v>45258</v>
      </c>
      <c r="U315" s="24">
        <v>4</v>
      </c>
      <c r="V315" s="37">
        <v>45</v>
      </c>
      <c r="W315" s="24">
        <v>9</v>
      </c>
      <c r="X315" s="24">
        <v>4</v>
      </c>
      <c r="Y315" s="26">
        <f>combined_tbl!$Q315*(1-combined_tbl!$Z315)</f>
        <v>60.609999999999992</v>
      </c>
      <c r="Z315" s="27">
        <f>IF(combined_tbl!$Q315&gt;=500,0.2, IF(combined_tbl!$Q315&gt;=200,0.05, IF(combined_tbl!$X315&gt;=2,0.05,0)))</f>
        <v>0.05</v>
      </c>
      <c r="AA315" s="26">
        <f>combined_tbl!$Y315*combined_tbl!$X315</f>
        <v>242.43999999999997</v>
      </c>
      <c r="AB315" s="28">
        <f>(combined_tbl!$Q315*(1+combined_tbl!$Z315)-combined_tbl!$P315)*combined_tbl!$X315</f>
        <v>91.95999999999998</v>
      </c>
    </row>
    <row r="316" spans="1:28" x14ac:dyDescent="0.3">
      <c r="A316" s="29">
        <v>315</v>
      </c>
      <c r="B316" s="25" cm="1">
        <f t="array" aca="1" ref="B316" ca="1">MIN(IF($E:$E=E316,$H:$H))</f>
        <v>45387</v>
      </c>
      <c r="C316" s="25">
        <f t="shared" ca="1" si="49"/>
        <v>19</v>
      </c>
      <c r="D316" s="43">
        <f ca="1">COUNTIF(E:E,combined_tbl!$E316)</f>
        <v>2</v>
      </c>
      <c r="E316" s="29" t="str">
        <f t="shared" ca="1" si="55"/>
        <v>Customer110</v>
      </c>
      <c r="F316" s="29" t="str" cm="1">
        <f t="array" aca="1" ref="F316" ca="1">INDEX({"Male","Female"}, RANDBETWEEN(1,2))</f>
        <v>Female</v>
      </c>
      <c r="G316" s="29" t="str">
        <f t="shared" ca="1" si="57"/>
        <v>North</v>
      </c>
      <c r="H316" s="48">
        <f t="shared" ca="1" si="50"/>
        <v>45387</v>
      </c>
      <c r="I316" s="24">
        <f t="shared" ca="1" si="51"/>
        <v>5</v>
      </c>
      <c r="J316" s="46" t="str">
        <f t="shared" ca="1" si="56"/>
        <v>April</v>
      </c>
      <c r="K316" s="24">
        <f t="shared" ca="1" si="52"/>
        <v>2024</v>
      </c>
      <c r="L316" s="24" t="str">
        <f t="shared" ca="1" si="53"/>
        <v>Bronze</v>
      </c>
      <c r="M316" s="29">
        <v>316</v>
      </c>
      <c r="N316" s="29" t="s">
        <v>1359</v>
      </c>
      <c r="O316" s="29" t="s">
        <v>1174</v>
      </c>
      <c r="P316" s="30">
        <v>621</v>
      </c>
      <c r="Q316" s="30">
        <v>794.88</v>
      </c>
      <c r="R316" s="29">
        <v>316</v>
      </c>
      <c r="S316" s="24" t="str">
        <f t="shared" si="54"/>
        <v>Oct</v>
      </c>
      <c r="T316" s="47">
        <v>45210</v>
      </c>
      <c r="U316" s="29">
        <v>5</v>
      </c>
      <c r="V316" s="38">
        <v>146</v>
      </c>
      <c r="W316" s="29">
        <v>100</v>
      </c>
      <c r="X316" s="29">
        <v>1</v>
      </c>
      <c r="Y316" s="30">
        <f>combined_tbl!$Q316*(1-combined_tbl!$Z316)</f>
        <v>635.904</v>
      </c>
      <c r="Z316" s="31">
        <f>IF(combined_tbl!$Q316&gt;=500,0.2, IF(combined_tbl!$Q316&gt;=200,0.05, IF(combined_tbl!$X316&gt;=2,0.05,0)))</f>
        <v>0.2</v>
      </c>
      <c r="AA316" s="30">
        <f>combined_tbl!$Y316*combined_tbl!$X316</f>
        <v>635.904</v>
      </c>
      <c r="AB316" s="32">
        <f>(combined_tbl!$Q316*(1+combined_tbl!$Z316)-combined_tbl!$P316)*combined_tbl!$X316</f>
        <v>332.85599999999999</v>
      </c>
    </row>
    <row r="317" spans="1:28" x14ac:dyDescent="0.3">
      <c r="A317" s="29">
        <v>316</v>
      </c>
      <c r="B317" s="25" cm="1">
        <f t="array" aca="1" ref="B317" ca="1">MIN(IF($E:$E=E317,$H:$H))</f>
        <v>45085</v>
      </c>
      <c r="C317" s="25">
        <f t="shared" ca="1" si="49"/>
        <v>29</v>
      </c>
      <c r="D317" s="42">
        <f ca="1">COUNTIF(E:E,combined_tbl!$E317)</f>
        <v>10</v>
      </c>
      <c r="E317" s="24" t="str">
        <f t="shared" ca="1" si="55"/>
        <v>Customer007</v>
      </c>
      <c r="F317" s="24" t="str" cm="1">
        <f t="array" aca="1" ref="F317" ca="1">INDEX({"Male","Female"}, RANDBETWEEN(1,2))</f>
        <v>Female</v>
      </c>
      <c r="G317" s="29" t="str">
        <f t="shared" ca="1" si="57"/>
        <v>East</v>
      </c>
      <c r="H317" s="48">
        <f t="shared" ca="1" si="50"/>
        <v>45085</v>
      </c>
      <c r="I317" s="24">
        <f t="shared" ca="1" si="51"/>
        <v>8</v>
      </c>
      <c r="J317" s="46" t="str">
        <f t="shared" ca="1" si="56"/>
        <v>June</v>
      </c>
      <c r="K317" s="24">
        <f t="shared" ca="1" si="52"/>
        <v>2023</v>
      </c>
      <c r="L317" s="24" t="str">
        <f t="shared" ca="1" si="53"/>
        <v>Platinum</v>
      </c>
      <c r="M317" s="24">
        <v>317</v>
      </c>
      <c r="N317" s="24" t="s">
        <v>851</v>
      </c>
      <c r="O317" s="24" t="s">
        <v>1175</v>
      </c>
      <c r="P317" s="26">
        <v>53</v>
      </c>
      <c r="Q317" s="26">
        <v>75.789999999999992</v>
      </c>
      <c r="R317" s="24">
        <v>317</v>
      </c>
      <c r="S317" s="24" t="str">
        <f t="shared" si="54"/>
        <v>Apr</v>
      </c>
      <c r="T317" s="46">
        <v>45033</v>
      </c>
      <c r="U317" s="24">
        <v>8</v>
      </c>
      <c r="V317" s="37">
        <v>163</v>
      </c>
      <c r="W317" s="24">
        <v>71</v>
      </c>
      <c r="X317" s="24">
        <v>1</v>
      </c>
      <c r="Y317" s="26">
        <f>combined_tbl!$Q317*(1-combined_tbl!$Z317)</f>
        <v>75.789999999999992</v>
      </c>
      <c r="Z317" s="27">
        <f>IF(combined_tbl!$Q317&gt;=500,0.2, IF(combined_tbl!$Q317&gt;=200,0.05, IF(combined_tbl!$X317&gt;=2,0.05,0)))</f>
        <v>0</v>
      </c>
      <c r="AA317" s="26">
        <f>combined_tbl!$Y317*combined_tbl!$X317</f>
        <v>75.789999999999992</v>
      </c>
      <c r="AB317" s="28">
        <f>(combined_tbl!$Q317*(1+combined_tbl!$Z317)-combined_tbl!$P317)*combined_tbl!$X317</f>
        <v>22.789999999999992</v>
      </c>
    </row>
    <row r="318" spans="1:28" x14ac:dyDescent="0.3">
      <c r="A318" s="29">
        <v>317</v>
      </c>
      <c r="B318" s="25" cm="1">
        <f t="array" aca="1" ref="B318" ca="1">MIN(IF($E:$E=E318,$H:$H))</f>
        <v>45595</v>
      </c>
      <c r="C318" s="25">
        <f t="shared" ca="1" si="49"/>
        <v>13</v>
      </c>
      <c r="D318" s="43">
        <f ca="1">COUNTIF(E:E,combined_tbl!$E318)</f>
        <v>2</v>
      </c>
      <c r="E318" s="29" t="str">
        <f t="shared" ca="1" si="55"/>
        <v>Customer050</v>
      </c>
      <c r="F318" s="29" t="str" cm="1">
        <f t="array" aca="1" ref="F318" ca="1">INDEX({"Male","Female"}, RANDBETWEEN(1,2))</f>
        <v>Male</v>
      </c>
      <c r="G318" s="29" t="str">
        <f t="shared" ca="1" si="57"/>
        <v>North</v>
      </c>
      <c r="H318" s="48">
        <f t="shared" ca="1" si="50"/>
        <v>45595</v>
      </c>
      <c r="I318" s="24">
        <f t="shared" ca="1" si="51"/>
        <v>30</v>
      </c>
      <c r="J318" s="46" t="str">
        <f t="shared" ca="1" si="56"/>
        <v>October</v>
      </c>
      <c r="K318" s="24">
        <f t="shared" ca="1" si="52"/>
        <v>2024</v>
      </c>
      <c r="L318" s="24" t="str">
        <f t="shared" ca="1" si="53"/>
        <v>Bronze</v>
      </c>
      <c r="M318" s="29">
        <v>318</v>
      </c>
      <c r="N318" s="29" t="s">
        <v>954</v>
      </c>
      <c r="O318" s="29" t="s">
        <v>1176</v>
      </c>
      <c r="P318" s="30">
        <v>306</v>
      </c>
      <c r="Q318" s="30">
        <v>443.7</v>
      </c>
      <c r="R318" s="29">
        <v>318</v>
      </c>
      <c r="S318" s="24" t="str">
        <f t="shared" si="54"/>
        <v>Jan</v>
      </c>
      <c r="T318" s="47">
        <v>45687</v>
      </c>
      <c r="U318" s="29">
        <v>2</v>
      </c>
      <c r="V318" s="38">
        <v>180</v>
      </c>
      <c r="W318" s="29">
        <v>80</v>
      </c>
      <c r="X318" s="29">
        <v>1</v>
      </c>
      <c r="Y318" s="30">
        <f>combined_tbl!$Q318*(1-combined_tbl!$Z318)</f>
        <v>421.51499999999999</v>
      </c>
      <c r="Z318" s="31">
        <f>IF(combined_tbl!$Q318&gt;=500,0.2, IF(combined_tbl!$Q318&gt;=200,0.05, IF(combined_tbl!$X318&gt;=2,0.05,0)))</f>
        <v>0.05</v>
      </c>
      <c r="AA318" s="30">
        <f>combined_tbl!$Y318*combined_tbl!$X318</f>
        <v>421.51499999999999</v>
      </c>
      <c r="AB318" s="32">
        <f>(combined_tbl!$Q318*(1+combined_tbl!$Z318)-combined_tbl!$P318)*combined_tbl!$X318</f>
        <v>159.88499999999999</v>
      </c>
    </row>
    <row r="319" spans="1:28" x14ac:dyDescent="0.3">
      <c r="A319" s="29">
        <v>318</v>
      </c>
      <c r="B319" s="25" cm="1">
        <f t="array" aca="1" ref="B319" ca="1">MIN(IF($E:$E=E319,$H:$H))</f>
        <v>45083</v>
      </c>
      <c r="C319" s="25">
        <f t="shared" ca="1" si="49"/>
        <v>29</v>
      </c>
      <c r="D319" s="42">
        <f ca="1">COUNTIF(E:E,combined_tbl!$E319)</f>
        <v>3</v>
      </c>
      <c r="E319" s="24" t="str">
        <f t="shared" ca="1" si="55"/>
        <v>Customer075</v>
      </c>
      <c r="F319" s="24" t="str" cm="1">
        <f t="array" aca="1" ref="F319" ca="1">INDEX({"Male","Female"}, RANDBETWEEN(1,2))</f>
        <v>Female</v>
      </c>
      <c r="G319" s="29" t="str">
        <f t="shared" ca="1" si="57"/>
        <v>West</v>
      </c>
      <c r="H319" s="48">
        <f t="shared" ca="1" si="50"/>
        <v>45083</v>
      </c>
      <c r="I319" s="24">
        <f t="shared" ca="1" si="51"/>
        <v>6</v>
      </c>
      <c r="J319" s="46" t="str">
        <f t="shared" ca="1" si="56"/>
        <v>June</v>
      </c>
      <c r="K319" s="24">
        <f t="shared" ca="1" si="52"/>
        <v>2023</v>
      </c>
      <c r="L319" s="24" t="str">
        <f t="shared" ca="1" si="53"/>
        <v>Silver</v>
      </c>
      <c r="M319" s="24">
        <v>319</v>
      </c>
      <c r="N319" s="24" t="s">
        <v>831</v>
      </c>
      <c r="O319" s="24" t="s">
        <v>1177</v>
      </c>
      <c r="P319" s="26">
        <v>328</v>
      </c>
      <c r="Q319" s="26">
        <v>426.40000000000003</v>
      </c>
      <c r="R319" s="24">
        <v>319</v>
      </c>
      <c r="S319" s="24" t="str">
        <f t="shared" si="54"/>
        <v>Sep</v>
      </c>
      <c r="T319" s="46">
        <v>45182</v>
      </c>
      <c r="U319" s="24">
        <v>5</v>
      </c>
      <c r="V319" s="37">
        <v>198</v>
      </c>
      <c r="W319" s="24">
        <v>97</v>
      </c>
      <c r="X319" s="24">
        <v>1</v>
      </c>
      <c r="Y319" s="26">
        <f>combined_tbl!$Q319*(1-combined_tbl!$Z319)</f>
        <v>405.08000000000004</v>
      </c>
      <c r="Z319" s="27">
        <f>IF(combined_tbl!$Q319&gt;=500,0.2, IF(combined_tbl!$Q319&gt;=200,0.05, IF(combined_tbl!$X319&gt;=2,0.05,0)))</f>
        <v>0.05</v>
      </c>
      <c r="AA319" s="26">
        <f>combined_tbl!$Y319*combined_tbl!$X319</f>
        <v>405.08000000000004</v>
      </c>
      <c r="AB319" s="28">
        <f>(combined_tbl!$Q319*(1+combined_tbl!$Z319)-combined_tbl!$P319)*combined_tbl!$X319</f>
        <v>119.72000000000003</v>
      </c>
    </row>
    <row r="320" spans="1:28" x14ac:dyDescent="0.3">
      <c r="A320" s="29">
        <v>319</v>
      </c>
      <c r="B320" s="25" cm="1">
        <f t="array" aca="1" ref="B320" ca="1">MIN(IF($E:$E=E320,$H:$H))</f>
        <v>45799</v>
      </c>
      <c r="C320" s="25">
        <f t="shared" ca="1" si="49"/>
        <v>6</v>
      </c>
      <c r="D320" s="43">
        <f ca="1">COUNTIF(E:E,combined_tbl!$E320)</f>
        <v>1</v>
      </c>
      <c r="E320" s="29" t="str">
        <f t="shared" ca="1" si="55"/>
        <v>Customer119</v>
      </c>
      <c r="F320" s="29" t="str" cm="1">
        <f t="array" aca="1" ref="F320" ca="1">INDEX({"Male","Female"}, RANDBETWEEN(1,2))</f>
        <v>Male</v>
      </c>
      <c r="G320" s="29" t="str">
        <f t="shared" ca="1" si="57"/>
        <v>East</v>
      </c>
      <c r="H320" s="48">
        <f t="shared" ca="1" si="50"/>
        <v>45799</v>
      </c>
      <c r="I320" s="24">
        <f t="shared" ca="1" si="51"/>
        <v>22</v>
      </c>
      <c r="J320" s="46" t="str">
        <f t="shared" ca="1" si="56"/>
        <v>May</v>
      </c>
      <c r="K320" s="24">
        <f t="shared" ca="1" si="52"/>
        <v>2025</v>
      </c>
      <c r="L320" s="24" t="str">
        <f t="shared" ca="1" si="53"/>
        <v>Bronze</v>
      </c>
      <c r="M320" s="29">
        <v>320</v>
      </c>
      <c r="N320" s="29" t="s">
        <v>851</v>
      </c>
      <c r="O320" s="29" t="s">
        <v>1178</v>
      </c>
      <c r="P320" s="30">
        <v>111</v>
      </c>
      <c r="Q320" s="30">
        <v>126.54000000000002</v>
      </c>
      <c r="R320" s="29">
        <v>320</v>
      </c>
      <c r="S320" s="24" t="str">
        <f t="shared" si="54"/>
        <v>Jun</v>
      </c>
      <c r="T320" s="47">
        <v>45098</v>
      </c>
      <c r="U320" s="29">
        <v>3</v>
      </c>
      <c r="V320" s="38">
        <v>6</v>
      </c>
      <c r="W320" s="29">
        <v>48</v>
      </c>
      <c r="X320" s="29">
        <v>1</v>
      </c>
      <c r="Y320" s="30">
        <f>combined_tbl!$Q320*(1-combined_tbl!$Z320)</f>
        <v>126.54000000000002</v>
      </c>
      <c r="Z320" s="31">
        <f>IF(combined_tbl!$Q320&gt;=500,0.2, IF(combined_tbl!$Q320&gt;=200,0.05, IF(combined_tbl!$X320&gt;=2,0.05,0)))</f>
        <v>0</v>
      </c>
      <c r="AA320" s="30">
        <f>combined_tbl!$Y320*combined_tbl!$X320</f>
        <v>126.54000000000002</v>
      </c>
      <c r="AB320" s="32">
        <f>(combined_tbl!$Q320*(1+combined_tbl!$Z320)-combined_tbl!$P320)*combined_tbl!$X320</f>
        <v>15.54000000000002</v>
      </c>
    </row>
    <row r="321" spans="1:28" x14ac:dyDescent="0.3">
      <c r="A321" s="29">
        <v>320</v>
      </c>
      <c r="B321" s="25" cm="1">
        <f t="array" aca="1" ref="B321" ca="1">MIN(IF($E:$E=E321,$H:$H))</f>
        <v>45991</v>
      </c>
      <c r="C321" s="25">
        <f t="shared" ca="1" si="49"/>
        <v>0</v>
      </c>
      <c r="D321" s="42">
        <f ca="1">COUNTIF(E:E,combined_tbl!$E321)</f>
        <v>9</v>
      </c>
      <c r="E321" s="24" t="str">
        <f t="shared" ca="1" si="55"/>
        <v>Customer029</v>
      </c>
      <c r="F321" s="24" t="str" cm="1">
        <f t="array" aca="1" ref="F321" ca="1">INDEX({"Male","Female"}, RANDBETWEEN(1,2))</f>
        <v>Male</v>
      </c>
      <c r="G321" s="29" t="str">
        <f t="shared" ca="1" si="57"/>
        <v>East</v>
      </c>
      <c r="H321" s="48">
        <f t="shared" ca="1" si="50"/>
        <v>45991</v>
      </c>
      <c r="I321" s="24">
        <f t="shared" ca="1" si="51"/>
        <v>30</v>
      </c>
      <c r="J321" s="46" t="str">
        <f t="shared" ca="1" si="56"/>
        <v>November</v>
      </c>
      <c r="K321" s="24">
        <f t="shared" ca="1" si="52"/>
        <v>2025</v>
      </c>
      <c r="L321" s="24" t="str">
        <f t="shared" ca="1" si="53"/>
        <v>Bronze</v>
      </c>
      <c r="M321" s="24">
        <v>321</v>
      </c>
      <c r="N321" s="24" t="s">
        <v>847</v>
      </c>
      <c r="O321" s="24" t="s">
        <v>1179</v>
      </c>
      <c r="P321" s="26">
        <v>139</v>
      </c>
      <c r="Q321" s="26">
        <v>180.70000000000002</v>
      </c>
      <c r="R321" s="24">
        <v>321</v>
      </c>
      <c r="S321" s="24" t="str">
        <f t="shared" si="54"/>
        <v>Jul</v>
      </c>
      <c r="T321" s="46">
        <v>45485</v>
      </c>
      <c r="U321" s="24">
        <v>8</v>
      </c>
      <c r="V321" s="37">
        <v>217</v>
      </c>
      <c r="W321" s="24">
        <v>69</v>
      </c>
      <c r="X321" s="24">
        <v>1</v>
      </c>
      <c r="Y321" s="26">
        <f>combined_tbl!$Q321*(1-combined_tbl!$Z321)</f>
        <v>180.70000000000002</v>
      </c>
      <c r="Z321" s="27">
        <f>IF(combined_tbl!$Q321&gt;=500,0.2, IF(combined_tbl!$Q321&gt;=200,0.05, IF(combined_tbl!$X321&gt;=2,0.05,0)))</f>
        <v>0</v>
      </c>
      <c r="AA321" s="26">
        <f>combined_tbl!$Y321*combined_tbl!$X321</f>
        <v>180.70000000000002</v>
      </c>
      <c r="AB321" s="28">
        <f>(combined_tbl!$Q321*(1+combined_tbl!$Z321)-combined_tbl!$P321)*combined_tbl!$X321</f>
        <v>41.700000000000017</v>
      </c>
    </row>
    <row r="322" spans="1:28" x14ac:dyDescent="0.3">
      <c r="A322" s="19">
        <v>321</v>
      </c>
      <c r="B322" s="25" cm="1">
        <f t="array" aca="1" ref="B322" ca="1">MIN(IF($E:$E=E322,$H:$H))</f>
        <v>45433</v>
      </c>
      <c r="C322" s="25">
        <f t="shared" ref="C322:C385" ca="1" si="58">DATEDIF(B322,MAX($H:$H),"m")</f>
        <v>18</v>
      </c>
      <c r="D322" s="43">
        <f ca="1">COUNTIF(E:E,combined_tbl!$E322)</f>
        <v>6</v>
      </c>
      <c r="E322" s="29" t="str">
        <f t="shared" ca="1" si="55"/>
        <v>Customer066</v>
      </c>
      <c r="F322" s="29" t="str" cm="1">
        <f t="array" aca="1" ref="F322" ca="1">INDEX({"Male","Female"}, RANDBETWEEN(1,2))</f>
        <v>Female</v>
      </c>
      <c r="G322" s="29" t="str">
        <f t="shared" ca="1" si="57"/>
        <v>West</v>
      </c>
      <c r="H322" s="48">
        <f t="shared" ref="H322:H385" ca="1" si="59">_xlfn.XLOOKUP(E322,AI$1:AI$139,AJ$1:AJ$139)</f>
        <v>45433</v>
      </c>
      <c r="I322" s="24">
        <f t="shared" ref="I322:I385" ca="1" si="60">DAY(H322)</f>
        <v>21</v>
      </c>
      <c r="J322" s="46" t="str">
        <f t="shared" ca="1" si="56"/>
        <v>May</v>
      </c>
      <c r="K322" s="24">
        <f t="shared" ref="K322:K385" ca="1" si="61">YEAR(H322)</f>
        <v>2024</v>
      </c>
      <c r="L322" s="24" t="str">
        <f t="shared" ref="L322:L385" ca="1" si="62">IF(AND(D322&gt;=10,C322&gt;=24),"Platinum",IF(AND(D322&gt;=7,C322&gt;=18),"Gold",IF(AND(D322&gt;=3,C322&gt;=12),"Silver","Bronze")))</f>
        <v>Silver</v>
      </c>
      <c r="M322" s="29">
        <v>322</v>
      </c>
      <c r="N322" s="29" t="s">
        <v>957</v>
      </c>
      <c r="O322" s="29" t="s">
        <v>1180</v>
      </c>
      <c r="P322" s="30">
        <v>138</v>
      </c>
      <c r="Q322" s="30">
        <v>162.84</v>
      </c>
      <c r="R322" s="29">
        <v>322</v>
      </c>
      <c r="S322" s="24" t="str">
        <f t="shared" ref="S322:S385" si="63">TEXT(T322,"MMM")</f>
        <v>Oct</v>
      </c>
      <c r="T322" s="47">
        <v>45228</v>
      </c>
      <c r="U322" s="29">
        <v>7</v>
      </c>
      <c r="V322" s="38">
        <v>8</v>
      </c>
      <c r="W322" s="29">
        <v>73</v>
      </c>
      <c r="X322" s="29">
        <v>1</v>
      </c>
      <c r="Y322" s="30">
        <f>combined_tbl!$Q322*(1-combined_tbl!$Z322)</f>
        <v>162.84</v>
      </c>
      <c r="Z322" s="31">
        <f>IF(combined_tbl!$Q322&gt;=500,0.2, IF(combined_tbl!$Q322&gt;=200,0.05, IF(combined_tbl!$X322&gt;=2,0.05,0)))</f>
        <v>0</v>
      </c>
      <c r="AA322" s="30">
        <f>combined_tbl!$Y322*combined_tbl!$X322</f>
        <v>162.84</v>
      </c>
      <c r="AB322" s="32">
        <f>(combined_tbl!$Q322*(1+combined_tbl!$Z322)-combined_tbl!$P322)*combined_tbl!$X322</f>
        <v>24.840000000000003</v>
      </c>
    </row>
    <row r="323" spans="1:28" x14ac:dyDescent="0.3">
      <c r="A323" s="24">
        <v>322</v>
      </c>
      <c r="B323" s="25" cm="1">
        <f t="array" aca="1" ref="B323" ca="1">MIN(IF($E:$E=E323,$H:$H))</f>
        <v>45761</v>
      </c>
      <c r="C323" s="25">
        <f t="shared" ca="1" si="58"/>
        <v>7</v>
      </c>
      <c r="D323" s="42">
        <f ca="1">COUNTIF(E:E,combined_tbl!$E323)</f>
        <v>7</v>
      </c>
      <c r="E323" s="24" t="str">
        <f t="shared" ref="E323:E386" ca="1" si="64">IF(RAND()&lt;=0.5,
   "Customer"&amp;TEXT(RANDBETWEEN(1,30),"000"),
IF(RAND()&lt;=0.8,
   "Customer"&amp;TEXT(RANDBETWEEN(31,80),"000"),
   "Customer"&amp;TEXT(RANDBETWEEN(81,139),"000")))</f>
        <v>Customer009</v>
      </c>
      <c r="F323" s="24" t="str" cm="1">
        <f t="array" aca="1" ref="F323" ca="1">INDEX({"Male","Female"}, RANDBETWEEN(1,2))</f>
        <v>Female</v>
      </c>
      <c r="G323" s="29" t="str">
        <f t="shared" ca="1" si="57"/>
        <v>East</v>
      </c>
      <c r="H323" s="48">
        <f t="shared" ca="1" si="59"/>
        <v>45761</v>
      </c>
      <c r="I323" s="24">
        <f t="shared" ca="1" si="60"/>
        <v>14</v>
      </c>
      <c r="J323" s="46" t="str">
        <f t="shared" ref="J323:J386" ca="1" si="65">TEXT(H323,"mmmm")</f>
        <v>April</v>
      </c>
      <c r="K323" s="24">
        <f t="shared" ca="1" si="61"/>
        <v>2025</v>
      </c>
      <c r="L323" s="24" t="str">
        <f t="shared" ca="1" si="62"/>
        <v>Bronze</v>
      </c>
      <c r="M323" s="24">
        <v>323</v>
      </c>
      <c r="N323" s="24" t="s">
        <v>837</v>
      </c>
      <c r="O323" s="24" t="s">
        <v>1181</v>
      </c>
      <c r="P323" s="26">
        <v>285</v>
      </c>
      <c r="Q323" s="26">
        <v>381.90000000000003</v>
      </c>
      <c r="R323" s="24">
        <v>323</v>
      </c>
      <c r="S323" s="24" t="str">
        <f t="shared" si="63"/>
        <v>Jul</v>
      </c>
      <c r="T323" s="46">
        <v>45114</v>
      </c>
      <c r="U323" s="24">
        <v>4</v>
      </c>
      <c r="V323" s="37">
        <v>84</v>
      </c>
      <c r="W323" s="24">
        <v>16</v>
      </c>
      <c r="X323" s="24">
        <v>1</v>
      </c>
      <c r="Y323" s="26">
        <f>combined_tbl!$Q323*(1-combined_tbl!$Z323)</f>
        <v>362.80500000000001</v>
      </c>
      <c r="Z323" s="27">
        <f>IF(combined_tbl!$Q323&gt;=500,0.2, IF(combined_tbl!$Q323&gt;=200,0.05, IF(combined_tbl!$X323&gt;=2,0.05,0)))</f>
        <v>0.05</v>
      </c>
      <c r="AA323" s="26">
        <f>combined_tbl!$Y323*combined_tbl!$X323</f>
        <v>362.80500000000001</v>
      </c>
      <c r="AB323" s="28">
        <f>(combined_tbl!$Q323*(1+combined_tbl!$Z323)-combined_tbl!$P323)*combined_tbl!$X323</f>
        <v>115.99500000000006</v>
      </c>
    </row>
    <row r="324" spans="1:28" x14ac:dyDescent="0.3">
      <c r="A324" s="29">
        <v>323</v>
      </c>
      <c r="B324" s="25" cm="1">
        <f t="array" aca="1" ref="B324" ca="1">MIN(IF($E:$E=E324,$H:$H))</f>
        <v>45027</v>
      </c>
      <c r="C324" s="25">
        <f t="shared" ca="1" si="58"/>
        <v>31</v>
      </c>
      <c r="D324" s="43">
        <f ca="1">COUNTIF(E:E,combined_tbl!$E324)</f>
        <v>4</v>
      </c>
      <c r="E324" s="29" t="str">
        <f t="shared" ca="1" si="64"/>
        <v>Customer027</v>
      </c>
      <c r="F324" s="29" t="str" cm="1">
        <f t="array" aca="1" ref="F324" ca="1">INDEX({"Male","Female"}, RANDBETWEEN(1,2))</f>
        <v>Female</v>
      </c>
      <c r="G324" s="29" t="str">
        <f t="shared" ca="1" si="57"/>
        <v>East</v>
      </c>
      <c r="H324" s="48">
        <f t="shared" ca="1" si="59"/>
        <v>45027</v>
      </c>
      <c r="I324" s="24">
        <f t="shared" ca="1" si="60"/>
        <v>11</v>
      </c>
      <c r="J324" s="46" t="str">
        <f t="shared" ca="1" si="65"/>
        <v>April</v>
      </c>
      <c r="K324" s="24">
        <f t="shared" ca="1" si="61"/>
        <v>2023</v>
      </c>
      <c r="L324" s="24" t="str">
        <f t="shared" ca="1" si="62"/>
        <v>Silver</v>
      </c>
      <c r="M324" s="29">
        <v>324</v>
      </c>
      <c r="N324" s="29" t="s">
        <v>851</v>
      </c>
      <c r="O324" s="29" t="s">
        <v>1182</v>
      </c>
      <c r="P324" s="30">
        <v>172</v>
      </c>
      <c r="Q324" s="30">
        <v>242.51999999999998</v>
      </c>
      <c r="R324" s="29">
        <v>324</v>
      </c>
      <c r="S324" s="24" t="str">
        <f t="shared" si="63"/>
        <v>Jul</v>
      </c>
      <c r="T324" s="47">
        <v>45850</v>
      </c>
      <c r="U324" s="29">
        <v>6</v>
      </c>
      <c r="V324" s="38">
        <v>59</v>
      </c>
      <c r="W324" s="29">
        <v>66</v>
      </c>
      <c r="X324" s="29">
        <v>1</v>
      </c>
      <c r="Y324" s="30">
        <f>combined_tbl!$Q324*(1-combined_tbl!$Z324)</f>
        <v>230.39399999999998</v>
      </c>
      <c r="Z324" s="31">
        <f>IF(combined_tbl!$Q324&gt;=500,0.2, IF(combined_tbl!$Q324&gt;=200,0.05, IF(combined_tbl!$X324&gt;=2,0.05,0)))</f>
        <v>0.05</v>
      </c>
      <c r="AA324" s="30">
        <f>combined_tbl!$Y324*combined_tbl!$X324</f>
        <v>230.39399999999998</v>
      </c>
      <c r="AB324" s="32">
        <f>(combined_tbl!$Q324*(1+combined_tbl!$Z324)-combined_tbl!$P324)*combined_tbl!$X324</f>
        <v>82.645999999999987</v>
      </c>
    </row>
    <row r="325" spans="1:28" x14ac:dyDescent="0.3">
      <c r="A325" s="29">
        <v>324</v>
      </c>
      <c r="B325" s="25" cm="1">
        <f t="array" aca="1" ref="B325" ca="1">MIN(IF($E:$E=E325,$H:$H))</f>
        <v>45615</v>
      </c>
      <c r="C325" s="25">
        <f t="shared" ca="1" si="58"/>
        <v>12</v>
      </c>
      <c r="D325" s="42">
        <f ca="1">COUNTIF(E:E,combined_tbl!$E325)</f>
        <v>2</v>
      </c>
      <c r="E325" s="24" t="str">
        <f t="shared" ca="1" si="64"/>
        <v>Customer046</v>
      </c>
      <c r="F325" s="24" t="str" cm="1">
        <f t="array" aca="1" ref="F325" ca="1">INDEX({"Male","Female"}, RANDBETWEEN(1,2))</f>
        <v>Female</v>
      </c>
      <c r="G325" s="29" t="str">
        <f t="shared" ca="1" si="57"/>
        <v>North</v>
      </c>
      <c r="H325" s="48">
        <f t="shared" ca="1" si="59"/>
        <v>45615</v>
      </c>
      <c r="I325" s="24">
        <f t="shared" ca="1" si="60"/>
        <v>19</v>
      </c>
      <c r="J325" s="46" t="str">
        <f t="shared" ca="1" si="65"/>
        <v>November</v>
      </c>
      <c r="K325" s="24">
        <f t="shared" ca="1" si="61"/>
        <v>2024</v>
      </c>
      <c r="L325" s="24" t="str">
        <f t="shared" ca="1" si="62"/>
        <v>Bronze</v>
      </c>
      <c r="M325" s="24">
        <v>325</v>
      </c>
      <c r="N325" s="24" t="s">
        <v>954</v>
      </c>
      <c r="O325" s="24" t="s">
        <v>1183</v>
      </c>
      <c r="P325" s="26">
        <v>469</v>
      </c>
      <c r="Q325" s="26">
        <v>694.12</v>
      </c>
      <c r="R325" s="24">
        <v>325</v>
      </c>
      <c r="S325" s="24" t="str">
        <f t="shared" si="63"/>
        <v>Feb</v>
      </c>
      <c r="T325" s="46">
        <v>44981</v>
      </c>
      <c r="U325" s="24">
        <v>7</v>
      </c>
      <c r="V325" s="37">
        <v>28</v>
      </c>
      <c r="W325" s="24">
        <v>44</v>
      </c>
      <c r="X325" s="24">
        <v>1</v>
      </c>
      <c r="Y325" s="26">
        <f>combined_tbl!$Q325*(1-combined_tbl!$Z325)</f>
        <v>555.29600000000005</v>
      </c>
      <c r="Z325" s="27">
        <f>IF(combined_tbl!$Q325&gt;=500,0.2, IF(combined_tbl!$Q325&gt;=200,0.05, IF(combined_tbl!$X325&gt;=2,0.05,0)))</f>
        <v>0.2</v>
      </c>
      <c r="AA325" s="26">
        <f>combined_tbl!$Y325*combined_tbl!$X325</f>
        <v>555.29600000000005</v>
      </c>
      <c r="AB325" s="28">
        <f>(combined_tbl!$Q325*(1+combined_tbl!$Z325)-combined_tbl!$P325)*combined_tbl!$X325</f>
        <v>363.94399999999996</v>
      </c>
    </row>
    <row r="326" spans="1:28" x14ac:dyDescent="0.3">
      <c r="A326" s="29">
        <v>325</v>
      </c>
      <c r="B326" s="25" cm="1">
        <f t="array" aca="1" ref="B326" ca="1">MIN(IF($E:$E=E326,$H:$H))</f>
        <v>45853</v>
      </c>
      <c r="C326" s="25">
        <f t="shared" ca="1" si="58"/>
        <v>4</v>
      </c>
      <c r="D326" s="43">
        <f ca="1">COUNTIF(E:E,combined_tbl!$E326)</f>
        <v>7</v>
      </c>
      <c r="E326" s="29" t="str">
        <f t="shared" ca="1" si="64"/>
        <v>Customer025</v>
      </c>
      <c r="F326" s="29" t="str" cm="1">
        <f t="array" aca="1" ref="F326" ca="1">INDEX({"Male","Female"}, RANDBETWEEN(1,2))</f>
        <v>Male</v>
      </c>
      <c r="G326" s="29" t="str">
        <f t="shared" ca="1" si="57"/>
        <v>West</v>
      </c>
      <c r="H326" s="48">
        <f t="shared" ca="1" si="59"/>
        <v>45853</v>
      </c>
      <c r="I326" s="24">
        <f t="shared" ca="1" si="60"/>
        <v>15</v>
      </c>
      <c r="J326" s="46" t="str">
        <f t="shared" ca="1" si="65"/>
        <v>July</v>
      </c>
      <c r="K326" s="24">
        <f t="shared" ca="1" si="61"/>
        <v>2025</v>
      </c>
      <c r="L326" s="24" t="str">
        <f t="shared" ca="1" si="62"/>
        <v>Bronze</v>
      </c>
      <c r="M326" s="29">
        <v>326</v>
      </c>
      <c r="N326" s="29" t="s">
        <v>847</v>
      </c>
      <c r="O326" s="29" t="s">
        <v>1184</v>
      </c>
      <c r="P326" s="30">
        <v>142</v>
      </c>
      <c r="Q326" s="30">
        <v>194.54000000000002</v>
      </c>
      <c r="R326" s="29">
        <v>326</v>
      </c>
      <c r="S326" s="24" t="str">
        <f t="shared" si="63"/>
        <v>Apr</v>
      </c>
      <c r="T326" s="47">
        <v>45036</v>
      </c>
      <c r="U326" s="29">
        <v>7</v>
      </c>
      <c r="V326" s="38">
        <v>155</v>
      </c>
      <c r="W326" s="29">
        <v>91</v>
      </c>
      <c r="X326" s="29">
        <v>2</v>
      </c>
      <c r="Y326" s="30">
        <f>combined_tbl!$Q326*(1-combined_tbl!$Z326)</f>
        <v>184.81300000000002</v>
      </c>
      <c r="Z326" s="31">
        <f>IF(combined_tbl!$Q326&gt;=500,0.2, IF(combined_tbl!$Q326&gt;=200,0.05, IF(combined_tbl!$X326&gt;=2,0.05,0)))</f>
        <v>0.05</v>
      </c>
      <c r="AA326" s="30">
        <f>combined_tbl!$Y326*combined_tbl!$X326</f>
        <v>369.62600000000003</v>
      </c>
      <c r="AB326" s="32">
        <f>(combined_tbl!$Q326*(1+combined_tbl!$Z326)-combined_tbl!$P326)*combined_tbl!$X326</f>
        <v>124.53400000000005</v>
      </c>
    </row>
    <row r="327" spans="1:28" x14ac:dyDescent="0.3">
      <c r="A327" s="29">
        <v>326</v>
      </c>
      <c r="B327" s="25" cm="1">
        <f t="array" aca="1" ref="B327" ca="1">MIN(IF($E:$E=E327,$H:$H))</f>
        <v>45382</v>
      </c>
      <c r="C327" s="25">
        <f t="shared" ca="1" si="58"/>
        <v>20</v>
      </c>
      <c r="D327" s="42">
        <f ca="1">COUNTIF(E:E,combined_tbl!$E327)</f>
        <v>4</v>
      </c>
      <c r="E327" s="24" t="str">
        <f t="shared" ca="1" si="64"/>
        <v>Customer028</v>
      </c>
      <c r="F327" s="24" t="str" cm="1">
        <f t="array" aca="1" ref="F327" ca="1">INDEX({"Male","Female"}, RANDBETWEEN(1,2))</f>
        <v>Female</v>
      </c>
      <c r="G327" s="29" t="str">
        <f t="shared" ca="1" si="57"/>
        <v>East</v>
      </c>
      <c r="H327" s="48">
        <f t="shared" ca="1" si="59"/>
        <v>45382</v>
      </c>
      <c r="I327" s="24">
        <f t="shared" ca="1" si="60"/>
        <v>31</v>
      </c>
      <c r="J327" s="46" t="str">
        <f t="shared" ca="1" si="65"/>
        <v>March</v>
      </c>
      <c r="K327" s="24">
        <f t="shared" ca="1" si="61"/>
        <v>2024</v>
      </c>
      <c r="L327" s="24" t="str">
        <f t="shared" ca="1" si="62"/>
        <v>Silver</v>
      </c>
      <c r="M327" s="24">
        <v>327</v>
      </c>
      <c r="N327" s="24" t="s">
        <v>872</v>
      </c>
      <c r="O327" s="24" t="s">
        <v>1185</v>
      </c>
      <c r="P327" s="26">
        <v>37</v>
      </c>
      <c r="Q327" s="26">
        <v>45.88</v>
      </c>
      <c r="R327" s="24">
        <v>327</v>
      </c>
      <c r="S327" s="24" t="str">
        <f t="shared" si="63"/>
        <v>Oct</v>
      </c>
      <c r="T327" s="46">
        <v>45955</v>
      </c>
      <c r="U327" s="24">
        <v>6</v>
      </c>
      <c r="V327" s="37">
        <v>2</v>
      </c>
      <c r="W327" s="24">
        <v>42</v>
      </c>
      <c r="X327" s="24">
        <v>2</v>
      </c>
      <c r="Y327" s="26">
        <f>combined_tbl!$Q327*(1-combined_tbl!$Z327)</f>
        <v>43.585999999999999</v>
      </c>
      <c r="Z327" s="27">
        <f>IF(combined_tbl!$Q327&gt;=500,0.2, IF(combined_tbl!$Q327&gt;=200,0.05, IF(combined_tbl!$X327&gt;=2,0.05,0)))</f>
        <v>0.05</v>
      </c>
      <c r="AA327" s="26">
        <f>combined_tbl!$Y327*combined_tbl!$X327</f>
        <v>87.171999999999997</v>
      </c>
      <c r="AB327" s="28">
        <f>(combined_tbl!$Q327*(1+combined_tbl!$Z327)-combined_tbl!$P327)*combined_tbl!$X327</f>
        <v>22.348000000000013</v>
      </c>
    </row>
    <row r="328" spans="1:28" x14ac:dyDescent="0.3">
      <c r="A328" s="29">
        <v>327</v>
      </c>
      <c r="B328" s="25" cm="1">
        <f t="array" aca="1" ref="B328" ca="1">MIN(IF($E:$E=E328,$H:$H))</f>
        <v>44990</v>
      </c>
      <c r="C328" s="25">
        <f t="shared" ca="1" si="58"/>
        <v>32</v>
      </c>
      <c r="D328" s="43">
        <f ca="1">COUNTIF(E:E,combined_tbl!$E328)</f>
        <v>5</v>
      </c>
      <c r="E328" s="29" t="str">
        <f t="shared" ca="1" si="64"/>
        <v>Customer076</v>
      </c>
      <c r="F328" s="29" t="str" cm="1">
        <f t="array" aca="1" ref="F328" ca="1">INDEX({"Male","Female"}, RANDBETWEEN(1,2))</f>
        <v>Female</v>
      </c>
      <c r="G328" s="29" t="str">
        <f t="shared" ca="1" si="57"/>
        <v>West</v>
      </c>
      <c r="H328" s="48">
        <f t="shared" ca="1" si="59"/>
        <v>44990</v>
      </c>
      <c r="I328" s="24">
        <f t="shared" ca="1" si="60"/>
        <v>5</v>
      </c>
      <c r="J328" s="46" t="str">
        <f t="shared" ca="1" si="65"/>
        <v>March</v>
      </c>
      <c r="K328" s="24">
        <f t="shared" ca="1" si="61"/>
        <v>2023</v>
      </c>
      <c r="L328" s="24" t="str">
        <f t="shared" ca="1" si="62"/>
        <v>Silver</v>
      </c>
      <c r="M328" s="29">
        <v>328</v>
      </c>
      <c r="N328" s="29" t="s">
        <v>831</v>
      </c>
      <c r="O328" s="29" t="s">
        <v>1186</v>
      </c>
      <c r="P328" s="30">
        <v>288</v>
      </c>
      <c r="Q328" s="30">
        <v>339.84</v>
      </c>
      <c r="R328" s="29">
        <v>328</v>
      </c>
      <c r="S328" s="24" t="str">
        <f t="shared" si="63"/>
        <v>Apr</v>
      </c>
      <c r="T328" s="47">
        <v>45409</v>
      </c>
      <c r="U328" s="29">
        <v>7</v>
      </c>
      <c r="V328" s="38">
        <v>131</v>
      </c>
      <c r="W328" s="29">
        <v>35</v>
      </c>
      <c r="X328" s="29">
        <v>1</v>
      </c>
      <c r="Y328" s="30">
        <f>combined_tbl!$Q328*(1-combined_tbl!$Z328)</f>
        <v>322.84799999999996</v>
      </c>
      <c r="Z328" s="31">
        <f>IF(combined_tbl!$Q328&gt;=500,0.2, IF(combined_tbl!$Q328&gt;=200,0.05, IF(combined_tbl!$X328&gt;=2,0.05,0)))</f>
        <v>0.05</v>
      </c>
      <c r="AA328" s="30">
        <f>combined_tbl!$Y328*combined_tbl!$X328</f>
        <v>322.84799999999996</v>
      </c>
      <c r="AB328" s="32">
        <f>(combined_tbl!$Q328*(1+combined_tbl!$Z328)-combined_tbl!$P328)*combined_tbl!$X328</f>
        <v>68.831999999999994</v>
      </c>
    </row>
    <row r="329" spans="1:28" x14ac:dyDescent="0.3">
      <c r="A329" s="29">
        <v>328</v>
      </c>
      <c r="B329" s="25" cm="1">
        <f t="array" aca="1" ref="B329" ca="1">MIN(IF($E:$E=E329,$H:$H))</f>
        <v>45268</v>
      </c>
      <c r="C329" s="25">
        <f t="shared" ca="1" si="58"/>
        <v>23</v>
      </c>
      <c r="D329" s="42">
        <f ca="1">COUNTIF(E:E,combined_tbl!$E329)</f>
        <v>9</v>
      </c>
      <c r="E329" s="24" t="str">
        <f t="shared" ca="1" si="64"/>
        <v>Customer012</v>
      </c>
      <c r="F329" s="24" t="str" cm="1">
        <f t="array" aca="1" ref="F329" ca="1">INDEX({"Male","Female"}, RANDBETWEEN(1,2))</f>
        <v>Male</v>
      </c>
      <c r="G329" s="29" t="str">
        <f t="shared" ca="1" si="57"/>
        <v>East</v>
      </c>
      <c r="H329" s="48">
        <f t="shared" ca="1" si="59"/>
        <v>45268</v>
      </c>
      <c r="I329" s="24">
        <f t="shared" ca="1" si="60"/>
        <v>8</v>
      </c>
      <c r="J329" s="46" t="str">
        <f t="shared" ca="1" si="65"/>
        <v>December</v>
      </c>
      <c r="K329" s="24">
        <f t="shared" ca="1" si="61"/>
        <v>2023</v>
      </c>
      <c r="L329" s="24" t="str">
        <f t="shared" ca="1" si="62"/>
        <v>Gold</v>
      </c>
      <c r="M329" s="24">
        <v>329</v>
      </c>
      <c r="N329" s="24" t="s">
        <v>955</v>
      </c>
      <c r="O329" s="24" t="s">
        <v>1187</v>
      </c>
      <c r="P329" s="26">
        <v>485</v>
      </c>
      <c r="Q329" s="26">
        <v>640.20000000000005</v>
      </c>
      <c r="R329" s="24">
        <v>329</v>
      </c>
      <c r="S329" s="24" t="str">
        <f t="shared" si="63"/>
        <v>Jun</v>
      </c>
      <c r="T329" s="46">
        <v>45094</v>
      </c>
      <c r="U329" s="24">
        <v>6</v>
      </c>
      <c r="V329" s="37">
        <v>16</v>
      </c>
      <c r="W329" s="24">
        <v>92</v>
      </c>
      <c r="X329" s="24">
        <v>2</v>
      </c>
      <c r="Y329" s="26">
        <f>combined_tbl!$Q329*(1-combined_tbl!$Z329)</f>
        <v>512.16000000000008</v>
      </c>
      <c r="Z329" s="27">
        <f>IF(combined_tbl!$Q329&gt;=500,0.2, IF(combined_tbl!$Q329&gt;=200,0.05, IF(combined_tbl!$X329&gt;=2,0.05,0)))</f>
        <v>0.2</v>
      </c>
      <c r="AA329" s="26">
        <f>combined_tbl!$Y329*combined_tbl!$X329</f>
        <v>1024.3200000000002</v>
      </c>
      <c r="AB329" s="28">
        <f>(combined_tbl!$Q329*(1+combined_tbl!$Z329)-combined_tbl!$P329)*combined_tbl!$X329</f>
        <v>566.48</v>
      </c>
    </row>
    <row r="330" spans="1:28" x14ac:dyDescent="0.3">
      <c r="A330" s="19">
        <v>329</v>
      </c>
      <c r="B330" s="25" cm="1">
        <f t="array" aca="1" ref="B330" ca="1">MIN(IF($E:$E=E330,$H:$H))</f>
        <v>45638</v>
      </c>
      <c r="C330" s="25">
        <f t="shared" ca="1" si="58"/>
        <v>11</v>
      </c>
      <c r="D330" s="43">
        <f ca="1">COUNTIF(E:E,combined_tbl!$E330)</f>
        <v>4</v>
      </c>
      <c r="E330" s="29" t="str">
        <f t="shared" ca="1" si="64"/>
        <v>Customer044</v>
      </c>
      <c r="F330" s="29" t="str" cm="1">
        <f t="array" aca="1" ref="F330" ca="1">INDEX({"Male","Female"}, RANDBETWEEN(1,2))</f>
        <v>Male</v>
      </c>
      <c r="G330" s="29" t="str">
        <f t="shared" ca="1" si="57"/>
        <v>West</v>
      </c>
      <c r="H330" s="48">
        <f t="shared" ca="1" si="59"/>
        <v>45638</v>
      </c>
      <c r="I330" s="24">
        <f t="shared" ca="1" si="60"/>
        <v>12</v>
      </c>
      <c r="J330" s="46" t="str">
        <f t="shared" ca="1" si="65"/>
        <v>December</v>
      </c>
      <c r="K330" s="24">
        <f t="shared" ca="1" si="61"/>
        <v>2024</v>
      </c>
      <c r="L330" s="24" t="str">
        <f t="shared" ca="1" si="62"/>
        <v>Bronze</v>
      </c>
      <c r="M330" s="29">
        <v>330</v>
      </c>
      <c r="N330" s="29" t="s">
        <v>954</v>
      </c>
      <c r="O330" s="29" t="s">
        <v>1188</v>
      </c>
      <c r="P330" s="30">
        <v>317</v>
      </c>
      <c r="Q330" s="30">
        <v>355.04</v>
      </c>
      <c r="R330" s="29">
        <v>330</v>
      </c>
      <c r="S330" s="24" t="str">
        <f t="shared" si="63"/>
        <v>Apr</v>
      </c>
      <c r="T330" s="47">
        <v>45386</v>
      </c>
      <c r="U330" s="29">
        <v>1</v>
      </c>
      <c r="V330" s="38">
        <v>197</v>
      </c>
      <c r="W330" s="29">
        <v>65</v>
      </c>
      <c r="X330" s="29">
        <v>1</v>
      </c>
      <c r="Y330" s="30">
        <f>combined_tbl!$Q330*(1-combined_tbl!$Z330)</f>
        <v>337.28800000000001</v>
      </c>
      <c r="Z330" s="31">
        <f>IF(combined_tbl!$Q330&gt;=500,0.2, IF(combined_tbl!$Q330&gt;=200,0.05, IF(combined_tbl!$X330&gt;=2,0.05,0)))</f>
        <v>0.05</v>
      </c>
      <c r="AA330" s="30">
        <f>combined_tbl!$Y330*combined_tbl!$X330</f>
        <v>337.28800000000001</v>
      </c>
      <c r="AB330" s="32">
        <f>(combined_tbl!$Q330*(1+combined_tbl!$Z330)-combined_tbl!$P330)*combined_tbl!$X330</f>
        <v>55.79200000000003</v>
      </c>
    </row>
    <row r="331" spans="1:28" x14ac:dyDescent="0.3">
      <c r="A331" s="24">
        <v>330</v>
      </c>
      <c r="B331" s="25" cm="1">
        <f t="array" aca="1" ref="B331" ca="1">MIN(IF($E:$E=E331,$H:$H))</f>
        <v>45812</v>
      </c>
      <c r="C331" s="25">
        <f t="shared" ca="1" si="58"/>
        <v>6</v>
      </c>
      <c r="D331" s="42">
        <f ca="1">COUNTIF(E:E,combined_tbl!$E331)</f>
        <v>10</v>
      </c>
      <c r="E331" s="24" t="str">
        <f t="shared" ca="1" si="64"/>
        <v>Customer026</v>
      </c>
      <c r="F331" s="24" t="str" cm="1">
        <f t="array" aca="1" ref="F331" ca="1">INDEX({"Male","Female"}, RANDBETWEEN(1,2))</f>
        <v>Female</v>
      </c>
      <c r="G331" s="29" t="str">
        <f t="shared" ca="1" si="57"/>
        <v>North</v>
      </c>
      <c r="H331" s="48">
        <f t="shared" ca="1" si="59"/>
        <v>45812</v>
      </c>
      <c r="I331" s="24">
        <f t="shared" ca="1" si="60"/>
        <v>4</v>
      </c>
      <c r="J331" s="46" t="str">
        <f t="shared" ca="1" si="65"/>
        <v>June</v>
      </c>
      <c r="K331" s="24">
        <f t="shared" ca="1" si="61"/>
        <v>2025</v>
      </c>
      <c r="L331" s="24" t="str">
        <f t="shared" ca="1" si="62"/>
        <v>Bronze</v>
      </c>
      <c r="M331" s="24">
        <v>331</v>
      </c>
      <c r="N331" s="24" t="s">
        <v>1359</v>
      </c>
      <c r="O331" s="24" t="s">
        <v>1189</v>
      </c>
      <c r="P331" s="26">
        <v>179</v>
      </c>
      <c r="Q331" s="26">
        <v>259.55</v>
      </c>
      <c r="R331" s="24">
        <v>331</v>
      </c>
      <c r="S331" s="24" t="str">
        <f t="shared" si="63"/>
        <v>Oct</v>
      </c>
      <c r="T331" s="46">
        <v>45579</v>
      </c>
      <c r="U331" s="24">
        <v>2</v>
      </c>
      <c r="V331" s="37">
        <v>184</v>
      </c>
      <c r="W331" s="24">
        <v>86</v>
      </c>
      <c r="X331" s="24">
        <v>1</v>
      </c>
      <c r="Y331" s="26">
        <f>combined_tbl!$Q331*(1-combined_tbl!$Z331)</f>
        <v>246.57249999999999</v>
      </c>
      <c r="Z331" s="27">
        <f>IF(combined_tbl!$Q331&gt;=500,0.2, IF(combined_tbl!$Q331&gt;=200,0.05, IF(combined_tbl!$X331&gt;=2,0.05,0)))</f>
        <v>0.05</v>
      </c>
      <c r="AA331" s="26">
        <f>combined_tbl!$Y331*combined_tbl!$X331</f>
        <v>246.57249999999999</v>
      </c>
      <c r="AB331" s="28">
        <f>(combined_tbl!$Q331*(1+combined_tbl!$Z331)-combined_tbl!$P331)*combined_tbl!$X331</f>
        <v>93.527500000000032</v>
      </c>
    </row>
    <row r="332" spans="1:28" x14ac:dyDescent="0.3">
      <c r="A332" s="29">
        <v>331</v>
      </c>
      <c r="B332" s="25" cm="1">
        <f t="array" aca="1" ref="B332" ca="1">MIN(IF($E:$E=E332,$H:$H))</f>
        <v>45580</v>
      </c>
      <c r="C332" s="25">
        <f t="shared" ca="1" si="58"/>
        <v>13</v>
      </c>
      <c r="D332" s="43">
        <f ca="1">COUNTIF(E:E,combined_tbl!$E332)</f>
        <v>4</v>
      </c>
      <c r="E332" s="29" t="str">
        <f t="shared" ca="1" si="64"/>
        <v>Customer064</v>
      </c>
      <c r="F332" s="29" t="str" cm="1">
        <f t="array" aca="1" ref="F332" ca="1">INDEX({"Male","Female"}, RANDBETWEEN(1,2))</f>
        <v>Male</v>
      </c>
      <c r="G332" s="29" t="str">
        <f t="shared" ca="1" si="57"/>
        <v>East</v>
      </c>
      <c r="H332" s="48">
        <f t="shared" ca="1" si="59"/>
        <v>45580</v>
      </c>
      <c r="I332" s="24">
        <f t="shared" ca="1" si="60"/>
        <v>15</v>
      </c>
      <c r="J332" s="46" t="str">
        <f t="shared" ca="1" si="65"/>
        <v>October</v>
      </c>
      <c r="K332" s="24">
        <f t="shared" ca="1" si="61"/>
        <v>2024</v>
      </c>
      <c r="L332" s="24" t="str">
        <f t="shared" ca="1" si="62"/>
        <v>Silver</v>
      </c>
      <c r="M332" s="29">
        <v>332</v>
      </c>
      <c r="N332" s="29" t="s">
        <v>1359</v>
      </c>
      <c r="O332" s="29" t="s">
        <v>1190</v>
      </c>
      <c r="P332" s="30">
        <v>175</v>
      </c>
      <c r="Q332" s="30">
        <v>194.25000000000003</v>
      </c>
      <c r="R332" s="29">
        <v>332</v>
      </c>
      <c r="S332" s="24" t="str">
        <f t="shared" si="63"/>
        <v>Nov</v>
      </c>
      <c r="T332" s="47">
        <v>45613</v>
      </c>
      <c r="U332" s="29">
        <v>3</v>
      </c>
      <c r="V332" s="38">
        <v>146</v>
      </c>
      <c r="W332" s="29">
        <v>21</v>
      </c>
      <c r="X332" s="29">
        <v>1</v>
      </c>
      <c r="Y332" s="30">
        <f>combined_tbl!$Q332*(1-combined_tbl!$Z332)</f>
        <v>194.25000000000003</v>
      </c>
      <c r="Z332" s="31">
        <f>IF(combined_tbl!$Q332&gt;=500,0.2, IF(combined_tbl!$Q332&gt;=200,0.05, IF(combined_tbl!$X332&gt;=2,0.05,0)))</f>
        <v>0</v>
      </c>
      <c r="AA332" s="30">
        <f>combined_tbl!$Y332*combined_tbl!$X332</f>
        <v>194.25000000000003</v>
      </c>
      <c r="AB332" s="32">
        <f>(combined_tbl!$Q332*(1+combined_tbl!$Z332)-combined_tbl!$P332)*combined_tbl!$X332</f>
        <v>19.250000000000028</v>
      </c>
    </row>
    <row r="333" spans="1:28" x14ac:dyDescent="0.3">
      <c r="A333" s="29">
        <v>332</v>
      </c>
      <c r="B333" s="25" cm="1">
        <f t="array" aca="1" ref="B333" ca="1">MIN(IF($E:$E=E333,$H:$H))</f>
        <v>45346</v>
      </c>
      <c r="C333" s="25">
        <f t="shared" ca="1" si="58"/>
        <v>21</v>
      </c>
      <c r="D333" s="42">
        <f ca="1">COUNTIF(E:E,combined_tbl!$E333)</f>
        <v>12</v>
      </c>
      <c r="E333" s="24" t="str">
        <f t="shared" ca="1" si="64"/>
        <v>Customer011</v>
      </c>
      <c r="F333" s="24" t="str" cm="1">
        <f t="array" aca="1" ref="F333" ca="1">INDEX({"Male","Female"}, RANDBETWEEN(1,2))</f>
        <v>Female</v>
      </c>
      <c r="G333" s="29" t="str">
        <f t="shared" ca="1" si="57"/>
        <v>East</v>
      </c>
      <c r="H333" s="48">
        <f t="shared" ca="1" si="59"/>
        <v>45346</v>
      </c>
      <c r="I333" s="24">
        <f t="shared" ca="1" si="60"/>
        <v>24</v>
      </c>
      <c r="J333" s="46" t="str">
        <f t="shared" ca="1" si="65"/>
        <v>February</v>
      </c>
      <c r="K333" s="24">
        <f t="shared" ca="1" si="61"/>
        <v>2024</v>
      </c>
      <c r="L333" s="24" t="str">
        <f t="shared" ca="1" si="62"/>
        <v>Gold</v>
      </c>
      <c r="M333" s="24">
        <v>333</v>
      </c>
      <c r="N333" s="24" t="s">
        <v>847</v>
      </c>
      <c r="O333" s="24" t="s">
        <v>1191</v>
      </c>
      <c r="P333" s="26">
        <v>44</v>
      </c>
      <c r="Q333" s="26">
        <v>53.239999999999995</v>
      </c>
      <c r="R333" s="24">
        <v>333</v>
      </c>
      <c r="S333" s="24" t="str">
        <f t="shared" si="63"/>
        <v>Oct</v>
      </c>
      <c r="T333" s="46">
        <v>45208</v>
      </c>
      <c r="U333" s="24">
        <v>1</v>
      </c>
      <c r="V333" s="37">
        <v>140</v>
      </c>
      <c r="W333" s="24">
        <v>21</v>
      </c>
      <c r="X333" s="24">
        <v>1</v>
      </c>
      <c r="Y333" s="26">
        <f>combined_tbl!$Q333*(1-combined_tbl!$Z333)</f>
        <v>53.239999999999995</v>
      </c>
      <c r="Z333" s="27">
        <f>IF(combined_tbl!$Q333&gt;=500,0.2, IF(combined_tbl!$Q333&gt;=200,0.05, IF(combined_tbl!$X333&gt;=2,0.05,0)))</f>
        <v>0</v>
      </c>
      <c r="AA333" s="26">
        <f>combined_tbl!$Y333*combined_tbl!$X333</f>
        <v>53.239999999999995</v>
      </c>
      <c r="AB333" s="28">
        <f>(combined_tbl!$Q333*(1+combined_tbl!$Z333)-combined_tbl!$P333)*combined_tbl!$X333</f>
        <v>9.2399999999999949</v>
      </c>
    </row>
    <row r="334" spans="1:28" x14ac:dyDescent="0.3">
      <c r="A334" s="29">
        <v>333</v>
      </c>
      <c r="B334" s="25" cm="1">
        <f t="array" aca="1" ref="B334" ca="1">MIN(IF($E:$E=E334,$H:$H))</f>
        <v>45743</v>
      </c>
      <c r="C334" s="25">
        <f t="shared" ca="1" si="58"/>
        <v>8</v>
      </c>
      <c r="D334" s="43">
        <f ca="1">COUNTIF(E:E,combined_tbl!$E334)</f>
        <v>5</v>
      </c>
      <c r="E334" s="29" t="str">
        <f t="shared" ca="1" si="64"/>
        <v>Customer031</v>
      </c>
      <c r="F334" s="29" t="str" cm="1">
        <f t="array" aca="1" ref="F334" ca="1">INDEX({"Male","Female"}, RANDBETWEEN(1,2))</f>
        <v>Female</v>
      </c>
      <c r="G334" s="29" t="str">
        <f t="shared" ca="1" si="57"/>
        <v>South</v>
      </c>
      <c r="H334" s="48">
        <f t="shared" ca="1" si="59"/>
        <v>45743</v>
      </c>
      <c r="I334" s="24">
        <f t="shared" ca="1" si="60"/>
        <v>27</v>
      </c>
      <c r="J334" s="46" t="str">
        <f t="shared" ca="1" si="65"/>
        <v>March</v>
      </c>
      <c r="K334" s="24">
        <f t="shared" ca="1" si="61"/>
        <v>2025</v>
      </c>
      <c r="L334" s="24" t="str">
        <f t="shared" ca="1" si="62"/>
        <v>Bronze</v>
      </c>
      <c r="M334" s="29">
        <v>334</v>
      </c>
      <c r="N334" s="29" t="s">
        <v>831</v>
      </c>
      <c r="O334" s="29" t="s">
        <v>1192</v>
      </c>
      <c r="P334" s="30">
        <v>201</v>
      </c>
      <c r="Q334" s="30">
        <v>287.43</v>
      </c>
      <c r="R334" s="29">
        <v>334</v>
      </c>
      <c r="S334" s="24" t="str">
        <f t="shared" si="63"/>
        <v>Aug</v>
      </c>
      <c r="T334" s="47">
        <v>45514</v>
      </c>
      <c r="U334" s="29">
        <v>8</v>
      </c>
      <c r="V334" s="38">
        <v>105</v>
      </c>
      <c r="W334" s="29">
        <v>83</v>
      </c>
      <c r="X334" s="29">
        <v>1</v>
      </c>
      <c r="Y334" s="30">
        <f>combined_tbl!$Q334*(1-combined_tbl!$Z334)</f>
        <v>273.05849999999998</v>
      </c>
      <c r="Z334" s="31">
        <f>IF(combined_tbl!$Q334&gt;=500,0.2, IF(combined_tbl!$Q334&gt;=200,0.05, IF(combined_tbl!$X334&gt;=2,0.05,0)))</f>
        <v>0.05</v>
      </c>
      <c r="AA334" s="30">
        <f>combined_tbl!$Y334*combined_tbl!$X334</f>
        <v>273.05849999999998</v>
      </c>
      <c r="AB334" s="32">
        <f>(combined_tbl!$Q334*(1+combined_tbl!$Z334)-combined_tbl!$P334)*combined_tbl!$X334</f>
        <v>100.80150000000003</v>
      </c>
    </row>
    <row r="335" spans="1:28" x14ac:dyDescent="0.3">
      <c r="A335" s="29">
        <v>334</v>
      </c>
      <c r="B335" s="25" cm="1">
        <f t="array" aca="1" ref="B335" ca="1">MIN(IF($E:$E=E335,$H:$H))</f>
        <v>45346</v>
      </c>
      <c r="C335" s="25">
        <f t="shared" ca="1" si="58"/>
        <v>21</v>
      </c>
      <c r="D335" s="42">
        <f ca="1">COUNTIF(E:E,combined_tbl!$E335)</f>
        <v>12</v>
      </c>
      <c r="E335" s="24" t="str">
        <f t="shared" ca="1" si="64"/>
        <v>Customer011</v>
      </c>
      <c r="F335" s="24" t="str" cm="1">
        <f t="array" aca="1" ref="F335" ca="1">INDEX({"Male","Female"}, RANDBETWEEN(1,2))</f>
        <v>Female</v>
      </c>
      <c r="G335" s="29" t="str">
        <f t="shared" ca="1" si="57"/>
        <v>East</v>
      </c>
      <c r="H335" s="48">
        <f t="shared" ca="1" si="59"/>
        <v>45346</v>
      </c>
      <c r="I335" s="24">
        <f t="shared" ca="1" si="60"/>
        <v>24</v>
      </c>
      <c r="J335" s="46" t="str">
        <f t="shared" ca="1" si="65"/>
        <v>February</v>
      </c>
      <c r="K335" s="24">
        <f t="shared" ca="1" si="61"/>
        <v>2024</v>
      </c>
      <c r="L335" s="24" t="str">
        <f t="shared" ca="1" si="62"/>
        <v>Gold</v>
      </c>
      <c r="M335" s="24">
        <v>335</v>
      </c>
      <c r="N335" s="24" t="s">
        <v>831</v>
      </c>
      <c r="O335" s="24" t="s">
        <v>1193</v>
      </c>
      <c r="P335" s="26">
        <v>44</v>
      </c>
      <c r="Q335" s="26">
        <v>56.32</v>
      </c>
      <c r="R335" s="24">
        <v>335</v>
      </c>
      <c r="S335" s="24" t="str">
        <f t="shared" si="63"/>
        <v>Oct</v>
      </c>
      <c r="T335" s="46">
        <v>45211</v>
      </c>
      <c r="U335" s="24">
        <v>8</v>
      </c>
      <c r="V335" s="37">
        <v>119</v>
      </c>
      <c r="W335" s="24">
        <v>62</v>
      </c>
      <c r="X335" s="24">
        <v>5</v>
      </c>
      <c r="Y335" s="26">
        <f>combined_tbl!$Q335*(1-combined_tbl!$Z335)</f>
        <v>53.503999999999998</v>
      </c>
      <c r="Z335" s="27">
        <f>IF(combined_tbl!$Q335&gt;=500,0.2, IF(combined_tbl!$Q335&gt;=200,0.05, IF(combined_tbl!$X335&gt;=2,0.05,0)))</f>
        <v>0.05</v>
      </c>
      <c r="AA335" s="26">
        <f>combined_tbl!$Y335*combined_tbl!$X335</f>
        <v>267.52</v>
      </c>
      <c r="AB335" s="28">
        <f>(combined_tbl!$Q335*(1+combined_tbl!$Z335)-combined_tbl!$P335)*combined_tbl!$X335</f>
        <v>75.680000000000007</v>
      </c>
    </row>
    <row r="336" spans="1:28" x14ac:dyDescent="0.3">
      <c r="A336" s="29">
        <v>335</v>
      </c>
      <c r="B336" s="25" cm="1">
        <f t="array" aca="1" ref="B336" ca="1">MIN(IF($E:$E=E336,$H:$H))</f>
        <v>45744</v>
      </c>
      <c r="C336" s="25">
        <f t="shared" ca="1" si="58"/>
        <v>8</v>
      </c>
      <c r="D336" s="43">
        <f ca="1">COUNTIF(E:E,combined_tbl!$E336)</f>
        <v>5</v>
      </c>
      <c r="E336" s="29" t="str">
        <f t="shared" ca="1" si="64"/>
        <v>Customer016</v>
      </c>
      <c r="F336" s="29" t="str" cm="1">
        <f t="array" aca="1" ref="F336" ca="1">INDEX({"Male","Female"}, RANDBETWEEN(1,2))</f>
        <v>Male</v>
      </c>
      <c r="G336" s="29" t="str">
        <f t="shared" ca="1" si="57"/>
        <v>North</v>
      </c>
      <c r="H336" s="48">
        <f t="shared" ca="1" si="59"/>
        <v>45744</v>
      </c>
      <c r="I336" s="24">
        <f t="shared" ca="1" si="60"/>
        <v>28</v>
      </c>
      <c r="J336" s="46" t="str">
        <f t="shared" ca="1" si="65"/>
        <v>March</v>
      </c>
      <c r="K336" s="24">
        <f t="shared" ca="1" si="61"/>
        <v>2025</v>
      </c>
      <c r="L336" s="24" t="str">
        <f t="shared" ca="1" si="62"/>
        <v>Bronze</v>
      </c>
      <c r="M336" s="29">
        <v>336</v>
      </c>
      <c r="N336" s="29" t="s">
        <v>851</v>
      </c>
      <c r="O336" s="29" t="s">
        <v>1194</v>
      </c>
      <c r="P336" s="30">
        <v>97</v>
      </c>
      <c r="Q336" s="30">
        <v>136.76999999999998</v>
      </c>
      <c r="R336" s="29">
        <v>336</v>
      </c>
      <c r="S336" s="24" t="str">
        <f t="shared" si="63"/>
        <v>Jul</v>
      </c>
      <c r="T336" s="47">
        <v>45845</v>
      </c>
      <c r="U336" s="29">
        <v>1</v>
      </c>
      <c r="V336" s="38">
        <v>148</v>
      </c>
      <c r="W336" s="29">
        <v>29</v>
      </c>
      <c r="X336" s="29">
        <v>1</v>
      </c>
      <c r="Y336" s="30">
        <f>combined_tbl!$Q336*(1-combined_tbl!$Z336)</f>
        <v>136.76999999999998</v>
      </c>
      <c r="Z336" s="31">
        <f>IF(combined_tbl!$Q336&gt;=500,0.2, IF(combined_tbl!$Q336&gt;=200,0.05, IF(combined_tbl!$X336&gt;=2,0.05,0)))</f>
        <v>0</v>
      </c>
      <c r="AA336" s="30">
        <f>combined_tbl!$Y336*combined_tbl!$X336</f>
        <v>136.76999999999998</v>
      </c>
      <c r="AB336" s="32">
        <f>(combined_tbl!$Q336*(1+combined_tbl!$Z336)-combined_tbl!$P336)*combined_tbl!$X336</f>
        <v>39.769999999999982</v>
      </c>
    </row>
    <row r="337" spans="1:28" x14ac:dyDescent="0.3">
      <c r="A337" s="29">
        <v>336</v>
      </c>
      <c r="B337" s="25" cm="1">
        <f t="array" aca="1" ref="B337" ca="1">MIN(IF($E:$E=E337,$H:$H))</f>
        <v>44992</v>
      </c>
      <c r="C337" s="25">
        <f t="shared" ca="1" si="58"/>
        <v>32</v>
      </c>
      <c r="D337" s="42">
        <f ca="1">COUNTIF(E:E,combined_tbl!$E337)</f>
        <v>8</v>
      </c>
      <c r="E337" s="24" t="str">
        <f t="shared" ca="1" si="64"/>
        <v>Customer020</v>
      </c>
      <c r="F337" s="24" t="str" cm="1">
        <f t="array" aca="1" ref="F337" ca="1">INDEX({"Male","Female"}, RANDBETWEEN(1,2))</f>
        <v>Male</v>
      </c>
      <c r="G337" s="29" t="str">
        <f t="shared" ca="1" si="57"/>
        <v>South</v>
      </c>
      <c r="H337" s="48">
        <f t="shared" ca="1" si="59"/>
        <v>44992</v>
      </c>
      <c r="I337" s="24">
        <f t="shared" ca="1" si="60"/>
        <v>7</v>
      </c>
      <c r="J337" s="46" t="str">
        <f t="shared" ca="1" si="65"/>
        <v>March</v>
      </c>
      <c r="K337" s="24">
        <f t="shared" ca="1" si="61"/>
        <v>2023</v>
      </c>
      <c r="L337" s="24" t="str">
        <f t="shared" ca="1" si="62"/>
        <v>Gold</v>
      </c>
      <c r="M337" s="24">
        <v>337</v>
      </c>
      <c r="N337" s="24" t="s">
        <v>955</v>
      </c>
      <c r="O337" s="24" t="s">
        <v>1195</v>
      </c>
      <c r="P337" s="26">
        <v>529</v>
      </c>
      <c r="Q337" s="26">
        <v>682.41</v>
      </c>
      <c r="R337" s="24">
        <v>337</v>
      </c>
      <c r="S337" s="24" t="str">
        <f t="shared" si="63"/>
        <v>Jun</v>
      </c>
      <c r="T337" s="46">
        <v>45089</v>
      </c>
      <c r="U337" s="24">
        <v>1</v>
      </c>
      <c r="V337" s="37">
        <v>178</v>
      </c>
      <c r="W337" s="24">
        <v>74</v>
      </c>
      <c r="X337" s="24">
        <v>1</v>
      </c>
      <c r="Y337" s="26">
        <f>combined_tbl!$Q337*(1-combined_tbl!$Z337)</f>
        <v>545.928</v>
      </c>
      <c r="Z337" s="27">
        <f>IF(combined_tbl!$Q337&gt;=500,0.2, IF(combined_tbl!$Q337&gt;=200,0.05, IF(combined_tbl!$X337&gt;=2,0.05,0)))</f>
        <v>0.2</v>
      </c>
      <c r="AA337" s="26">
        <f>combined_tbl!$Y337*combined_tbl!$X337</f>
        <v>545.928</v>
      </c>
      <c r="AB337" s="28">
        <f>(combined_tbl!$Q337*(1+combined_tbl!$Z337)-combined_tbl!$P337)*combined_tbl!$X337</f>
        <v>289.89199999999994</v>
      </c>
    </row>
    <row r="338" spans="1:28" x14ac:dyDescent="0.3">
      <c r="A338" s="19">
        <v>337</v>
      </c>
      <c r="B338" s="25" cm="1">
        <f t="array" aca="1" ref="B338" ca="1">MIN(IF($E:$E=E338,$H:$H))</f>
        <v>45400</v>
      </c>
      <c r="C338" s="25">
        <f t="shared" ca="1" si="58"/>
        <v>19</v>
      </c>
      <c r="D338" s="43">
        <f ca="1">COUNTIF(E:E,combined_tbl!$E338)</f>
        <v>8</v>
      </c>
      <c r="E338" s="29" t="str">
        <f t="shared" ca="1" si="64"/>
        <v>Customer030</v>
      </c>
      <c r="F338" s="29" t="str" cm="1">
        <f t="array" aca="1" ref="F338" ca="1">INDEX({"Male","Female"}, RANDBETWEEN(1,2))</f>
        <v>Female</v>
      </c>
      <c r="G338" s="29" t="str">
        <f t="shared" ca="1" si="57"/>
        <v>South</v>
      </c>
      <c r="H338" s="48">
        <f t="shared" ca="1" si="59"/>
        <v>45400</v>
      </c>
      <c r="I338" s="24">
        <f t="shared" ca="1" si="60"/>
        <v>18</v>
      </c>
      <c r="J338" s="46" t="str">
        <f t="shared" ca="1" si="65"/>
        <v>April</v>
      </c>
      <c r="K338" s="24">
        <f t="shared" ca="1" si="61"/>
        <v>2024</v>
      </c>
      <c r="L338" s="24" t="str">
        <f t="shared" ca="1" si="62"/>
        <v>Gold</v>
      </c>
      <c r="M338" s="29">
        <v>338</v>
      </c>
      <c r="N338" s="29" t="s">
        <v>955</v>
      </c>
      <c r="O338" s="29" t="s">
        <v>1196</v>
      </c>
      <c r="P338" s="30">
        <v>103</v>
      </c>
      <c r="Q338" s="30">
        <v>133.9</v>
      </c>
      <c r="R338" s="29">
        <v>338</v>
      </c>
      <c r="S338" s="24" t="str">
        <f t="shared" si="63"/>
        <v>Jun</v>
      </c>
      <c r="T338" s="47">
        <v>45451</v>
      </c>
      <c r="U338" s="29">
        <v>4</v>
      </c>
      <c r="V338" s="38">
        <v>56</v>
      </c>
      <c r="W338" s="29">
        <v>89</v>
      </c>
      <c r="X338" s="29">
        <v>2</v>
      </c>
      <c r="Y338" s="30">
        <f>combined_tbl!$Q338*(1-combined_tbl!$Z338)</f>
        <v>127.205</v>
      </c>
      <c r="Z338" s="31">
        <f>IF(combined_tbl!$Q338&gt;=500,0.2, IF(combined_tbl!$Q338&gt;=200,0.05, IF(combined_tbl!$X338&gt;=2,0.05,0)))</f>
        <v>0.05</v>
      </c>
      <c r="AA338" s="30">
        <f>combined_tbl!$Y338*combined_tbl!$X338</f>
        <v>254.41</v>
      </c>
      <c r="AB338" s="32">
        <f>(combined_tbl!$Q338*(1+combined_tbl!$Z338)-combined_tbl!$P338)*combined_tbl!$X338</f>
        <v>75.19</v>
      </c>
    </row>
    <row r="339" spans="1:28" x14ac:dyDescent="0.3">
      <c r="A339" s="24">
        <v>338</v>
      </c>
      <c r="B339" s="25" cm="1">
        <f t="array" aca="1" ref="B339" ca="1">MIN(IF($E:$E=E339,$H:$H))</f>
        <v>44992</v>
      </c>
      <c r="C339" s="25">
        <f t="shared" ca="1" si="58"/>
        <v>32</v>
      </c>
      <c r="D339" s="42">
        <f ca="1">COUNTIF(E:E,combined_tbl!$E339)</f>
        <v>8</v>
      </c>
      <c r="E339" s="24" t="str">
        <f t="shared" ca="1" si="64"/>
        <v>Customer020</v>
      </c>
      <c r="F339" s="24" t="str" cm="1">
        <f t="array" aca="1" ref="F339" ca="1">INDEX({"Male","Female"}, RANDBETWEEN(1,2))</f>
        <v>Male</v>
      </c>
      <c r="G339" s="29" t="str">
        <f t="shared" ca="1" si="57"/>
        <v>South</v>
      </c>
      <c r="H339" s="48">
        <f t="shared" ca="1" si="59"/>
        <v>44992</v>
      </c>
      <c r="I339" s="24">
        <f t="shared" ca="1" si="60"/>
        <v>7</v>
      </c>
      <c r="J339" s="46" t="str">
        <f t="shared" ca="1" si="65"/>
        <v>March</v>
      </c>
      <c r="K339" s="24">
        <f t="shared" ca="1" si="61"/>
        <v>2023</v>
      </c>
      <c r="L339" s="24" t="str">
        <f t="shared" ca="1" si="62"/>
        <v>Gold</v>
      </c>
      <c r="M339" s="24">
        <v>339</v>
      </c>
      <c r="N339" s="24" t="s">
        <v>955</v>
      </c>
      <c r="O339" s="24" t="s">
        <v>1197</v>
      </c>
      <c r="P339" s="26">
        <v>257</v>
      </c>
      <c r="Q339" s="26">
        <v>313.54000000000002</v>
      </c>
      <c r="R339" s="24">
        <v>339</v>
      </c>
      <c r="S339" s="24" t="str">
        <f t="shared" si="63"/>
        <v>Nov</v>
      </c>
      <c r="T339" s="46">
        <v>45233</v>
      </c>
      <c r="U339" s="24">
        <v>7</v>
      </c>
      <c r="V339" s="37">
        <v>79</v>
      </c>
      <c r="W339" s="24">
        <v>52</v>
      </c>
      <c r="X339" s="24">
        <v>1</v>
      </c>
      <c r="Y339" s="26">
        <f>combined_tbl!$Q339*(1-combined_tbl!$Z339)</f>
        <v>297.863</v>
      </c>
      <c r="Z339" s="27">
        <f>IF(combined_tbl!$Q339&gt;=500,0.2, IF(combined_tbl!$Q339&gt;=200,0.05, IF(combined_tbl!$X339&gt;=2,0.05,0)))</f>
        <v>0.05</v>
      </c>
      <c r="AA339" s="26">
        <f>combined_tbl!$Y339*combined_tbl!$X339</f>
        <v>297.863</v>
      </c>
      <c r="AB339" s="28">
        <f>(combined_tbl!$Q339*(1+combined_tbl!$Z339)-combined_tbl!$P339)*combined_tbl!$X339</f>
        <v>72.217000000000041</v>
      </c>
    </row>
    <row r="340" spans="1:28" x14ac:dyDescent="0.3">
      <c r="A340" s="29">
        <v>339</v>
      </c>
      <c r="B340" s="25" cm="1">
        <f t="array" aca="1" ref="B340" ca="1">MIN(IF($E:$E=E340,$H:$H))</f>
        <v>45582</v>
      </c>
      <c r="C340" s="25">
        <f t="shared" ca="1" si="58"/>
        <v>13</v>
      </c>
      <c r="D340" s="43">
        <f ca="1">COUNTIF(E:E,combined_tbl!$E340)</f>
        <v>11</v>
      </c>
      <c r="E340" s="29" t="str">
        <f t="shared" ca="1" si="64"/>
        <v>Customer002</v>
      </c>
      <c r="F340" s="29" t="str" cm="1">
        <f t="array" aca="1" ref="F340" ca="1">INDEX({"Male","Female"}, RANDBETWEEN(1,2))</f>
        <v>Female</v>
      </c>
      <c r="G340" s="29" t="str">
        <f t="shared" ca="1" si="57"/>
        <v>East</v>
      </c>
      <c r="H340" s="48">
        <f t="shared" ca="1" si="59"/>
        <v>45582</v>
      </c>
      <c r="I340" s="24">
        <f t="shared" ca="1" si="60"/>
        <v>17</v>
      </c>
      <c r="J340" s="46" t="str">
        <f t="shared" ca="1" si="65"/>
        <v>October</v>
      </c>
      <c r="K340" s="24">
        <f t="shared" ca="1" si="61"/>
        <v>2024</v>
      </c>
      <c r="L340" s="24" t="str">
        <f t="shared" ca="1" si="62"/>
        <v>Silver</v>
      </c>
      <c r="M340" s="29">
        <v>340</v>
      </c>
      <c r="N340" s="29" t="s">
        <v>837</v>
      </c>
      <c r="O340" s="29" t="s">
        <v>1198</v>
      </c>
      <c r="P340" s="30">
        <v>64</v>
      </c>
      <c r="Q340" s="30">
        <v>77.44</v>
      </c>
      <c r="R340" s="29">
        <v>340</v>
      </c>
      <c r="S340" s="24" t="str">
        <f t="shared" si="63"/>
        <v>Aug</v>
      </c>
      <c r="T340" s="47">
        <v>45154</v>
      </c>
      <c r="U340" s="29">
        <v>5</v>
      </c>
      <c r="V340" s="38">
        <v>146</v>
      </c>
      <c r="W340" s="29">
        <v>46</v>
      </c>
      <c r="X340" s="29">
        <v>1</v>
      </c>
      <c r="Y340" s="30">
        <f>combined_tbl!$Q340*(1-combined_tbl!$Z340)</f>
        <v>77.44</v>
      </c>
      <c r="Z340" s="31">
        <f>IF(combined_tbl!$Q340&gt;=500,0.2, IF(combined_tbl!$Q340&gt;=200,0.05, IF(combined_tbl!$X340&gt;=2,0.05,0)))</f>
        <v>0</v>
      </c>
      <c r="AA340" s="30">
        <f>combined_tbl!$Y340*combined_tbl!$X340</f>
        <v>77.44</v>
      </c>
      <c r="AB340" s="32">
        <f>(combined_tbl!$Q340*(1+combined_tbl!$Z340)-combined_tbl!$P340)*combined_tbl!$X340</f>
        <v>13.439999999999998</v>
      </c>
    </row>
    <row r="341" spans="1:28" x14ac:dyDescent="0.3">
      <c r="A341" s="29">
        <v>340</v>
      </c>
      <c r="B341" s="25" cm="1">
        <f t="array" aca="1" ref="B341" ca="1">MIN(IF($E:$E=E341,$H:$H))</f>
        <v>45750</v>
      </c>
      <c r="C341" s="25">
        <f t="shared" ca="1" si="58"/>
        <v>8</v>
      </c>
      <c r="D341" s="42">
        <f ca="1">COUNTIF(E:E,combined_tbl!$E341)</f>
        <v>6</v>
      </c>
      <c r="E341" s="24" t="str">
        <f t="shared" ca="1" si="64"/>
        <v>Customer005</v>
      </c>
      <c r="F341" s="24" t="str" cm="1">
        <f t="array" aca="1" ref="F341" ca="1">INDEX({"Male","Female"}, RANDBETWEEN(1,2))</f>
        <v>Female</v>
      </c>
      <c r="G341" s="29" t="str">
        <f t="shared" ca="1" si="57"/>
        <v>East</v>
      </c>
      <c r="H341" s="48">
        <f t="shared" ca="1" si="59"/>
        <v>45750</v>
      </c>
      <c r="I341" s="24">
        <f t="shared" ca="1" si="60"/>
        <v>3</v>
      </c>
      <c r="J341" s="46" t="str">
        <f t="shared" ca="1" si="65"/>
        <v>April</v>
      </c>
      <c r="K341" s="24">
        <f t="shared" ca="1" si="61"/>
        <v>2025</v>
      </c>
      <c r="L341" s="24" t="str">
        <f t="shared" ca="1" si="62"/>
        <v>Bronze</v>
      </c>
      <c r="M341" s="24">
        <v>341</v>
      </c>
      <c r="N341" s="24" t="s">
        <v>954</v>
      </c>
      <c r="O341" s="24" t="s">
        <v>1199</v>
      </c>
      <c r="P341" s="26">
        <v>531</v>
      </c>
      <c r="Q341" s="26">
        <v>637.19999999999993</v>
      </c>
      <c r="R341" s="24">
        <v>341</v>
      </c>
      <c r="S341" s="24" t="str">
        <f t="shared" si="63"/>
        <v>May</v>
      </c>
      <c r="T341" s="46">
        <v>45413</v>
      </c>
      <c r="U341" s="24">
        <v>5</v>
      </c>
      <c r="V341" s="37">
        <v>62</v>
      </c>
      <c r="W341" s="24">
        <v>31</v>
      </c>
      <c r="X341" s="24">
        <v>1</v>
      </c>
      <c r="Y341" s="26">
        <f>combined_tbl!$Q341*(1-combined_tbl!$Z341)</f>
        <v>509.76</v>
      </c>
      <c r="Z341" s="27">
        <f>IF(combined_tbl!$Q341&gt;=500,0.2, IF(combined_tbl!$Q341&gt;=200,0.05, IF(combined_tbl!$X341&gt;=2,0.05,0)))</f>
        <v>0.2</v>
      </c>
      <c r="AA341" s="26">
        <f>combined_tbl!$Y341*combined_tbl!$X341</f>
        <v>509.76</v>
      </c>
      <c r="AB341" s="28">
        <f>(combined_tbl!$Q341*(1+combined_tbl!$Z341)-combined_tbl!$P341)*combined_tbl!$X341</f>
        <v>233.63999999999987</v>
      </c>
    </row>
    <row r="342" spans="1:28" x14ac:dyDescent="0.3">
      <c r="A342" s="29">
        <v>341</v>
      </c>
      <c r="B342" s="25" cm="1">
        <f t="array" aca="1" ref="B342" ca="1">MIN(IF($E:$E=E342,$H:$H))</f>
        <v>44980</v>
      </c>
      <c r="C342" s="25">
        <f t="shared" ca="1" si="58"/>
        <v>33</v>
      </c>
      <c r="D342" s="43">
        <f ca="1">COUNTIF(E:E,combined_tbl!$E342)</f>
        <v>4</v>
      </c>
      <c r="E342" s="29" t="str">
        <f t="shared" ca="1" si="64"/>
        <v>Customer040</v>
      </c>
      <c r="F342" s="29" t="str" cm="1">
        <f t="array" aca="1" ref="F342" ca="1">INDEX({"Male","Female"}, RANDBETWEEN(1,2))</f>
        <v>Female</v>
      </c>
      <c r="G342" s="29" t="str">
        <f t="shared" ca="1" si="57"/>
        <v>West</v>
      </c>
      <c r="H342" s="48">
        <f t="shared" ca="1" si="59"/>
        <v>44980</v>
      </c>
      <c r="I342" s="24">
        <f t="shared" ca="1" si="60"/>
        <v>23</v>
      </c>
      <c r="J342" s="46" t="str">
        <f t="shared" ca="1" si="65"/>
        <v>February</v>
      </c>
      <c r="K342" s="24">
        <f t="shared" ca="1" si="61"/>
        <v>2023</v>
      </c>
      <c r="L342" s="24" t="str">
        <f t="shared" ca="1" si="62"/>
        <v>Silver</v>
      </c>
      <c r="M342" s="29">
        <v>342</v>
      </c>
      <c r="N342" s="29" t="s">
        <v>1359</v>
      </c>
      <c r="O342" s="29" t="s">
        <v>1200</v>
      </c>
      <c r="P342" s="30">
        <v>499</v>
      </c>
      <c r="Q342" s="30">
        <v>708.57999999999993</v>
      </c>
      <c r="R342" s="29">
        <v>342</v>
      </c>
      <c r="S342" s="24" t="str">
        <f t="shared" si="63"/>
        <v>Sep</v>
      </c>
      <c r="T342" s="47">
        <v>45176</v>
      </c>
      <c r="U342" s="29">
        <v>1</v>
      </c>
      <c r="V342" s="38">
        <v>153</v>
      </c>
      <c r="W342" s="29">
        <v>30</v>
      </c>
      <c r="X342" s="29">
        <v>1</v>
      </c>
      <c r="Y342" s="30">
        <f>combined_tbl!$Q342*(1-combined_tbl!$Z342)</f>
        <v>566.86399999999992</v>
      </c>
      <c r="Z342" s="31">
        <f>IF(combined_tbl!$Q342&gt;=500,0.2, IF(combined_tbl!$Q342&gt;=200,0.05, IF(combined_tbl!$X342&gt;=2,0.05,0)))</f>
        <v>0.2</v>
      </c>
      <c r="AA342" s="30">
        <f>combined_tbl!$Y342*combined_tbl!$X342</f>
        <v>566.86399999999992</v>
      </c>
      <c r="AB342" s="32">
        <f>(combined_tbl!$Q342*(1+combined_tbl!$Z342)-combined_tbl!$P342)*combined_tbl!$X342</f>
        <v>351.29599999999994</v>
      </c>
    </row>
    <row r="343" spans="1:28" x14ac:dyDescent="0.3">
      <c r="A343" s="29">
        <v>342</v>
      </c>
      <c r="B343" s="25" cm="1">
        <f t="array" aca="1" ref="B343" ca="1">MIN(IF($E:$E=E343,$H:$H))</f>
        <v>44990</v>
      </c>
      <c r="C343" s="25">
        <f t="shared" ca="1" si="58"/>
        <v>32</v>
      </c>
      <c r="D343" s="42">
        <f ca="1">COUNTIF(E:E,combined_tbl!$E343)</f>
        <v>5</v>
      </c>
      <c r="E343" s="24" t="str">
        <f t="shared" ca="1" si="64"/>
        <v>Customer076</v>
      </c>
      <c r="F343" s="24" t="str" cm="1">
        <f t="array" aca="1" ref="F343" ca="1">INDEX({"Male","Female"}, RANDBETWEEN(1,2))</f>
        <v>Female</v>
      </c>
      <c r="G343" s="29" t="str">
        <f t="shared" ca="1" si="57"/>
        <v>West</v>
      </c>
      <c r="H343" s="48">
        <f t="shared" ca="1" si="59"/>
        <v>44990</v>
      </c>
      <c r="I343" s="24">
        <f t="shared" ca="1" si="60"/>
        <v>5</v>
      </c>
      <c r="J343" s="46" t="str">
        <f t="shared" ca="1" si="65"/>
        <v>March</v>
      </c>
      <c r="K343" s="24">
        <f t="shared" ca="1" si="61"/>
        <v>2023</v>
      </c>
      <c r="L343" s="24" t="str">
        <f t="shared" ca="1" si="62"/>
        <v>Silver</v>
      </c>
      <c r="M343" s="24">
        <v>343</v>
      </c>
      <c r="N343" s="24" t="s">
        <v>847</v>
      </c>
      <c r="O343" s="24" t="s">
        <v>1201</v>
      </c>
      <c r="P343" s="26">
        <v>95</v>
      </c>
      <c r="Q343" s="26">
        <v>142.5</v>
      </c>
      <c r="R343" s="24">
        <v>343</v>
      </c>
      <c r="S343" s="24" t="str">
        <f t="shared" si="63"/>
        <v>May</v>
      </c>
      <c r="T343" s="46">
        <v>45415</v>
      </c>
      <c r="U343" s="24">
        <v>7</v>
      </c>
      <c r="V343" s="37">
        <v>89</v>
      </c>
      <c r="W343" s="24">
        <v>77</v>
      </c>
      <c r="X343" s="24">
        <v>1</v>
      </c>
      <c r="Y343" s="26">
        <f>combined_tbl!$Q343*(1-combined_tbl!$Z343)</f>
        <v>142.5</v>
      </c>
      <c r="Z343" s="27">
        <f>IF(combined_tbl!$Q343&gt;=500,0.2, IF(combined_tbl!$Q343&gt;=200,0.05, IF(combined_tbl!$X343&gt;=2,0.05,0)))</f>
        <v>0</v>
      </c>
      <c r="AA343" s="26">
        <f>combined_tbl!$Y343*combined_tbl!$X343</f>
        <v>142.5</v>
      </c>
      <c r="AB343" s="28">
        <f>(combined_tbl!$Q343*(1+combined_tbl!$Z343)-combined_tbl!$P343)*combined_tbl!$X343</f>
        <v>47.5</v>
      </c>
    </row>
    <row r="344" spans="1:28" x14ac:dyDescent="0.3">
      <c r="A344" s="29">
        <v>343</v>
      </c>
      <c r="B344" s="25" cm="1">
        <f t="array" aca="1" ref="B344" ca="1">MIN(IF($E:$E=E344,$H:$H))</f>
        <v>45085</v>
      </c>
      <c r="C344" s="25">
        <f t="shared" ca="1" si="58"/>
        <v>29</v>
      </c>
      <c r="D344" s="43">
        <f ca="1">COUNTIF(E:E,combined_tbl!$E344)</f>
        <v>10</v>
      </c>
      <c r="E344" s="29" t="str">
        <f t="shared" ca="1" si="64"/>
        <v>Customer007</v>
      </c>
      <c r="F344" s="29" t="str" cm="1">
        <f t="array" aca="1" ref="F344" ca="1">INDEX({"Male","Female"}, RANDBETWEEN(1,2))</f>
        <v>Male</v>
      </c>
      <c r="G344" s="29" t="str">
        <f t="shared" ca="1" si="57"/>
        <v>East</v>
      </c>
      <c r="H344" s="48">
        <f t="shared" ca="1" si="59"/>
        <v>45085</v>
      </c>
      <c r="I344" s="24">
        <f t="shared" ca="1" si="60"/>
        <v>8</v>
      </c>
      <c r="J344" s="46" t="str">
        <f t="shared" ca="1" si="65"/>
        <v>June</v>
      </c>
      <c r="K344" s="24">
        <f t="shared" ca="1" si="61"/>
        <v>2023</v>
      </c>
      <c r="L344" s="24" t="str">
        <f t="shared" ca="1" si="62"/>
        <v>Platinum</v>
      </c>
      <c r="M344" s="29">
        <v>344</v>
      </c>
      <c r="N344" s="29" t="s">
        <v>955</v>
      </c>
      <c r="O344" s="29" t="s">
        <v>1202</v>
      </c>
      <c r="P344" s="30">
        <v>98</v>
      </c>
      <c r="Q344" s="30">
        <v>117.6</v>
      </c>
      <c r="R344" s="29">
        <v>344</v>
      </c>
      <c r="S344" s="24" t="str">
        <f t="shared" si="63"/>
        <v>Jul</v>
      </c>
      <c r="T344" s="47">
        <v>45863</v>
      </c>
      <c r="U344" s="29">
        <v>2</v>
      </c>
      <c r="V344" s="38">
        <v>111</v>
      </c>
      <c r="W344" s="29">
        <v>79</v>
      </c>
      <c r="X344" s="29">
        <v>1</v>
      </c>
      <c r="Y344" s="30">
        <f>combined_tbl!$Q344*(1-combined_tbl!$Z344)</f>
        <v>117.6</v>
      </c>
      <c r="Z344" s="31">
        <f>IF(combined_tbl!$Q344&gt;=500,0.2, IF(combined_tbl!$Q344&gt;=200,0.05, IF(combined_tbl!$X344&gt;=2,0.05,0)))</f>
        <v>0</v>
      </c>
      <c r="AA344" s="30">
        <f>combined_tbl!$Y344*combined_tbl!$X344</f>
        <v>117.6</v>
      </c>
      <c r="AB344" s="32">
        <f>(combined_tbl!$Q344*(1+combined_tbl!$Z344)-combined_tbl!$P344)*combined_tbl!$X344</f>
        <v>19.599999999999994</v>
      </c>
    </row>
    <row r="345" spans="1:28" x14ac:dyDescent="0.3">
      <c r="A345" s="29">
        <v>344</v>
      </c>
      <c r="B345" s="25" cm="1">
        <f t="array" aca="1" ref="B345" ca="1">MIN(IF($E:$E=E345,$H:$H))</f>
        <v>45115</v>
      </c>
      <c r="C345" s="25">
        <f t="shared" ca="1" si="58"/>
        <v>28</v>
      </c>
      <c r="D345" s="42">
        <f ca="1">COUNTIF(E:E,combined_tbl!$E345)</f>
        <v>8</v>
      </c>
      <c r="E345" s="24" t="str">
        <f t="shared" ca="1" si="64"/>
        <v>Customer008</v>
      </c>
      <c r="F345" s="24" t="str" cm="1">
        <f t="array" aca="1" ref="F345" ca="1">INDEX({"Male","Female"}, RANDBETWEEN(1,2))</f>
        <v>Female</v>
      </c>
      <c r="G345" s="29" t="str">
        <f t="shared" ca="1" si="57"/>
        <v>West</v>
      </c>
      <c r="H345" s="48">
        <f t="shared" ca="1" si="59"/>
        <v>45115</v>
      </c>
      <c r="I345" s="24">
        <f t="shared" ca="1" si="60"/>
        <v>8</v>
      </c>
      <c r="J345" s="46" t="str">
        <f t="shared" ca="1" si="65"/>
        <v>July</v>
      </c>
      <c r="K345" s="24">
        <f t="shared" ca="1" si="61"/>
        <v>2023</v>
      </c>
      <c r="L345" s="24" t="str">
        <f t="shared" ca="1" si="62"/>
        <v>Gold</v>
      </c>
      <c r="M345" s="24">
        <v>345</v>
      </c>
      <c r="N345" s="24" t="s">
        <v>957</v>
      </c>
      <c r="O345" s="24" t="s">
        <v>1203</v>
      </c>
      <c r="P345" s="26">
        <v>87</v>
      </c>
      <c r="Q345" s="26">
        <v>129.63</v>
      </c>
      <c r="R345" s="24">
        <v>345</v>
      </c>
      <c r="S345" s="24" t="str">
        <f t="shared" si="63"/>
        <v>Aug</v>
      </c>
      <c r="T345" s="46">
        <v>45154</v>
      </c>
      <c r="U345" s="24">
        <v>8</v>
      </c>
      <c r="V345" s="37">
        <v>191</v>
      </c>
      <c r="W345" s="24">
        <v>75</v>
      </c>
      <c r="X345" s="24">
        <v>1</v>
      </c>
      <c r="Y345" s="26">
        <f>combined_tbl!$Q345*(1-combined_tbl!$Z345)</f>
        <v>129.63</v>
      </c>
      <c r="Z345" s="27">
        <f>IF(combined_tbl!$Q345&gt;=500,0.2, IF(combined_tbl!$Q345&gt;=200,0.05, IF(combined_tbl!$X345&gt;=2,0.05,0)))</f>
        <v>0</v>
      </c>
      <c r="AA345" s="26">
        <f>combined_tbl!$Y345*combined_tbl!$X345</f>
        <v>129.63</v>
      </c>
      <c r="AB345" s="28">
        <f>(combined_tbl!$Q345*(1+combined_tbl!$Z345)-combined_tbl!$P345)*combined_tbl!$X345</f>
        <v>42.629999999999995</v>
      </c>
    </row>
    <row r="346" spans="1:28" x14ac:dyDescent="0.3">
      <c r="A346" s="19">
        <v>345</v>
      </c>
      <c r="B346" s="25" cm="1">
        <f t="array" aca="1" ref="B346" ca="1">MIN(IF($E:$E=E346,$H:$H))</f>
        <v>45103</v>
      </c>
      <c r="C346" s="25">
        <f t="shared" ca="1" si="58"/>
        <v>29</v>
      </c>
      <c r="D346" s="43">
        <f ca="1">COUNTIF(E:E,combined_tbl!$E346)</f>
        <v>8</v>
      </c>
      <c r="E346" s="29" t="str">
        <f t="shared" ca="1" si="64"/>
        <v>Customer014</v>
      </c>
      <c r="F346" s="29" t="str" cm="1">
        <f t="array" aca="1" ref="F346" ca="1">INDEX({"Male","Female"}, RANDBETWEEN(1,2))</f>
        <v>Female</v>
      </c>
      <c r="G346" s="29" t="str">
        <f t="shared" ca="1" si="57"/>
        <v>West</v>
      </c>
      <c r="H346" s="48">
        <f t="shared" ca="1" si="59"/>
        <v>45103</v>
      </c>
      <c r="I346" s="24">
        <f t="shared" ca="1" si="60"/>
        <v>26</v>
      </c>
      <c r="J346" s="46" t="str">
        <f t="shared" ca="1" si="65"/>
        <v>June</v>
      </c>
      <c r="K346" s="24">
        <f t="shared" ca="1" si="61"/>
        <v>2023</v>
      </c>
      <c r="L346" s="24" t="str">
        <f t="shared" ca="1" si="62"/>
        <v>Gold</v>
      </c>
      <c r="M346" s="29">
        <v>346</v>
      </c>
      <c r="N346" s="29" t="s">
        <v>872</v>
      </c>
      <c r="O346" s="29" t="s">
        <v>1204</v>
      </c>
      <c r="P346" s="30">
        <v>126</v>
      </c>
      <c r="Q346" s="30">
        <v>138.60000000000002</v>
      </c>
      <c r="R346" s="29">
        <v>346</v>
      </c>
      <c r="S346" s="24" t="str">
        <f t="shared" si="63"/>
        <v>Feb</v>
      </c>
      <c r="T346" s="47">
        <v>44960</v>
      </c>
      <c r="U346" s="29">
        <v>4</v>
      </c>
      <c r="V346" s="38">
        <v>82</v>
      </c>
      <c r="W346" s="29">
        <v>48</v>
      </c>
      <c r="X346" s="29">
        <v>2</v>
      </c>
      <c r="Y346" s="30">
        <f>combined_tbl!$Q346*(1-combined_tbl!$Z346)</f>
        <v>131.67000000000002</v>
      </c>
      <c r="Z346" s="31">
        <f>IF(combined_tbl!$Q346&gt;=500,0.2, IF(combined_tbl!$Q346&gt;=200,0.05, IF(combined_tbl!$X346&gt;=2,0.05,0)))</f>
        <v>0.05</v>
      </c>
      <c r="AA346" s="30">
        <f>combined_tbl!$Y346*combined_tbl!$X346</f>
        <v>263.34000000000003</v>
      </c>
      <c r="AB346" s="32">
        <f>(combined_tbl!$Q346*(1+combined_tbl!$Z346)-combined_tbl!$P346)*combined_tbl!$X346</f>
        <v>39.060000000000059</v>
      </c>
    </row>
    <row r="347" spans="1:28" x14ac:dyDescent="0.3">
      <c r="A347" s="24">
        <v>346</v>
      </c>
      <c r="B347" s="25" cm="1">
        <f t="array" aca="1" ref="B347" ca="1">MIN(IF($E:$E=E347,$H:$H))</f>
        <v>45667</v>
      </c>
      <c r="C347" s="25">
        <f t="shared" ca="1" si="58"/>
        <v>10</v>
      </c>
      <c r="D347" s="42">
        <f ca="1">COUNTIF(E:E,combined_tbl!$E347)</f>
        <v>5</v>
      </c>
      <c r="E347" s="24" t="str">
        <f t="shared" ca="1" si="64"/>
        <v>Customer067</v>
      </c>
      <c r="F347" s="24" t="str" cm="1">
        <f t="array" aca="1" ref="F347" ca="1">INDEX({"Male","Female"}, RANDBETWEEN(1,2))</f>
        <v>Female</v>
      </c>
      <c r="G347" s="29" t="str">
        <f t="shared" ca="1" si="57"/>
        <v>East</v>
      </c>
      <c r="H347" s="48">
        <f t="shared" ca="1" si="59"/>
        <v>45667</v>
      </c>
      <c r="I347" s="24">
        <f t="shared" ca="1" si="60"/>
        <v>10</v>
      </c>
      <c r="J347" s="46" t="str">
        <f t="shared" ca="1" si="65"/>
        <v>January</v>
      </c>
      <c r="K347" s="24">
        <f t="shared" ca="1" si="61"/>
        <v>2025</v>
      </c>
      <c r="L347" s="24" t="str">
        <f t="shared" ca="1" si="62"/>
        <v>Bronze</v>
      </c>
      <c r="M347" s="24">
        <v>347</v>
      </c>
      <c r="N347" s="24" t="s">
        <v>954</v>
      </c>
      <c r="O347" s="24" t="s">
        <v>1205</v>
      </c>
      <c r="P347" s="26">
        <v>126</v>
      </c>
      <c r="Q347" s="26">
        <v>186.48</v>
      </c>
      <c r="R347" s="24">
        <v>347</v>
      </c>
      <c r="S347" s="24" t="str">
        <f t="shared" si="63"/>
        <v>Oct</v>
      </c>
      <c r="T347" s="46">
        <v>45221</v>
      </c>
      <c r="U347" s="24">
        <v>5</v>
      </c>
      <c r="V347" s="37">
        <v>169</v>
      </c>
      <c r="W347" s="24">
        <v>87</v>
      </c>
      <c r="X347" s="24">
        <v>1</v>
      </c>
      <c r="Y347" s="26">
        <f>combined_tbl!$Q347*(1-combined_tbl!$Z347)</f>
        <v>186.48</v>
      </c>
      <c r="Z347" s="27">
        <f>IF(combined_tbl!$Q347&gt;=500,0.2, IF(combined_tbl!$Q347&gt;=200,0.05, IF(combined_tbl!$X347&gt;=2,0.05,0)))</f>
        <v>0</v>
      </c>
      <c r="AA347" s="26">
        <f>combined_tbl!$Y347*combined_tbl!$X347</f>
        <v>186.48</v>
      </c>
      <c r="AB347" s="28">
        <f>(combined_tbl!$Q347*(1+combined_tbl!$Z347)-combined_tbl!$P347)*combined_tbl!$X347</f>
        <v>60.47999999999999</v>
      </c>
    </row>
    <row r="348" spans="1:28" x14ac:dyDescent="0.3">
      <c r="A348" s="29">
        <v>347</v>
      </c>
      <c r="B348" s="25" cm="1">
        <f t="array" aca="1" ref="B348" ca="1">MIN(IF($E:$E=E348,$H:$H))</f>
        <v>45622</v>
      </c>
      <c r="C348" s="25">
        <f t="shared" ca="1" si="58"/>
        <v>12</v>
      </c>
      <c r="D348" s="43">
        <f ca="1">COUNTIF(E:E,combined_tbl!$E348)</f>
        <v>8</v>
      </c>
      <c r="E348" s="29" t="str">
        <f t="shared" ca="1" si="64"/>
        <v>Customer023</v>
      </c>
      <c r="F348" s="29" t="str" cm="1">
        <f t="array" aca="1" ref="F348" ca="1">INDEX({"Male","Female"}, RANDBETWEEN(1,2))</f>
        <v>Male</v>
      </c>
      <c r="G348" s="29" t="str">
        <f t="shared" ca="1" si="57"/>
        <v>North</v>
      </c>
      <c r="H348" s="48">
        <f t="shared" ca="1" si="59"/>
        <v>45622</v>
      </c>
      <c r="I348" s="24">
        <f t="shared" ca="1" si="60"/>
        <v>26</v>
      </c>
      <c r="J348" s="46" t="str">
        <f t="shared" ca="1" si="65"/>
        <v>November</v>
      </c>
      <c r="K348" s="24">
        <f t="shared" ca="1" si="61"/>
        <v>2024</v>
      </c>
      <c r="L348" s="24" t="str">
        <f t="shared" ca="1" si="62"/>
        <v>Silver</v>
      </c>
      <c r="M348" s="29">
        <v>348</v>
      </c>
      <c r="N348" s="29" t="s">
        <v>831</v>
      </c>
      <c r="O348" s="29" t="s">
        <v>1206</v>
      </c>
      <c r="P348" s="30">
        <v>193</v>
      </c>
      <c r="Q348" s="30">
        <v>237.39</v>
      </c>
      <c r="R348" s="29">
        <v>348</v>
      </c>
      <c r="S348" s="24" t="str">
        <f t="shared" si="63"/>
        <v>May</v>
      </c>
      <c r="T348" s="47">
        <v>45806</v>
      </c>
      <c r="U348" s="29">
        <v>1</v>
      </c>
      <c r="V348" s="38">
        <v>25</v>
      </c>
      <c r="W348" s="29">
        <v>3</v>
      </c>
      <c r="X348" s="29">
        <v>1</v>
      </c>
      <c r="Y348" s="30">
        <f>combined_tbl!$Q348*(1-combined_tbl!$Z348)</f>
        <v>225.52049999999997</v>
      </c>
      <c r="Z348" s="31">
        <f>IF(combined_tbl!$Q348&gt;=500,0.2, IF(combined_tbl!$Q348&gt;=200,0.05, IF(combined_tbl!$X348&gt;=2,0.05,0)))</f>
        <v>0.05</v>
      </c>
      <c r="AA348" s="30">
        <f>combined_tbl!$Y348*combined_tbl!$X348</f>
        <v>225.52049999999997</v>
      </c>
      <c r="AB348" s="32">
        <f>(combined_tbl!$Q348*(1+combined_tbl!$Z348)-combined_tbl!$P348)*combined_tbl!$X348</f>
        <v>56.259500000000003</v>
      </c>
    </row>
    <row r="349" spans="1:28" x14ac:dyDescent="0.3">
      <c r="A349" s="29">
        <v>348</v>
      </c>
      <c r="B349" s="25" cm="1">
        <f t="array" aca="1" ref="B349" ca="1">MIN(IF($E:$E=E349,$H:$H))</f>
        <v>45788</v>
      </c>
      <c r="C349" s="25">
        <f t="shared" ca="1" si="58"/>
        <v>6</v>
      </c>
      <c r="D349" s="42">
        <f ca="1">COUNTIF(E:E,combined_tbl!$E349)</f>
        <v>4</v>
      </c>
      <c r="E349" s="24" t="str">
        <f t="shared" ca="1" si="64"/>
        <v>Customer060</v>
      </c>
      <c r="F349" s="24" t="str" cm="1">
        <f t="array" aca="1" ref="F349" ca="1">INDEX({"Male","Female"}, RANDBETWEEN(1,2))</f>
        <v>Male</v>
      </c>
      <c r="G349" s="29" t="str">
        <f t="shared" ca="1" si="57"/>
        <v>North</v>
      </c>
      <c r="H349" s="48">
        <f t="shared" ca="1" si="59"/>
        <v>45788</v>
      </c>
      <c r="I349" s="24">
        <f t="shared" ca="1" si="60"/>
        <v>11</v>
      </c>
      <c r="J349" s="46" t="str">
        <f t="shared" ca="1" si="65"/>
        <v>May</v>
      </c>
      <c r="K349" s="24">
        <f t="shared" ca="1" si="61"/>
        <v>2025</v>
      </c>
      <c r="L349" s="24" t="str">
        <f t="shared" ca="1" si="62"/>
        <v>Bronze</v>
      </c>
      <c r="M349" s="24">
        <v>349</v>
      </c>
      <c r="N349" s="24" t="s">
        <v>837</v>
      </c>
      <c r="O349" s="24" t="s">
        <v>1207</v>
      </c>
      <c r="P349" s="26">
        <v>388</v>
      </c>
      <c r="Q349" s="26">
        <v>477.24</v>
      </c>
      <c r="R349" s="24">
        <v>349</v>
      </c>
      <c r="S349" s="24" t="str">
        <f t="shared" si="63"/>
        <v>Dec</v>
      </c>
      <c r="T349" s="46">
        <v>45649</v>
      </c>
      <c r="U349" s="24">
        <v>4</v>
      </c>
      <c r="V349" s="37">
        <v>178</v>
      </c>
      <c r="W349" s="24">
        <v>21</v>
      </c>
      <c r="X349" s="24">
        <v>1</v>
      </c>
      <c r="Y349" s="26">
        <f>combined_tbl!$Q349*(1-combined_tbl!$Z349)</f>
        <v>453.37799999999999</v>
      </c>
      <c r="Z349" s="27">
        <f>IF(combined_tbl!$Q349&gt;=500,0.2, IF(combined_tbl!$Q349&gt;=200,0.05, IF(combined_tbl!$X349&gt;=2,0.05,0)))</f>
        <v>0.05</v>
      </c>
      <c r="AA349" s="26">
        <f>combined_tbl!$Y349*combined_tbl!$X349</f>
        <v>453.37799999999999</v>
      </c>
      <c r="AB349" s="28">
        <f>(combined_tbl!$Q349*(1+combined_tbl!$Z349)-combined_tbl!$P349)*combined_tbl!$X349</f>
        <v>113.10200000000003</v>
      </c>
    </row>
    <row r="350" spans="1:28" x14ac:dyDescent="0.3">
      <c r="A350" s="29">
        <v>349</v>
      </c>
      <c r="B350" s="25" cm="1">
        <f t="array" aca="1" ref="B350" ca="1">MIN(IF($E:$E=E350,$H:$H))</f>
        <v>45085</v>
      </c>
      <c r="C350" s="25">
        <f t="shared" ca="1" si="58"/>
        <v>29</v>
      </c>
      <c r="D350" s="43">
        <f ca="1">COUNTIF(E:E,combined_tbl!$E350)</f>
        <v>10</v>
      </c>
      <c r="E350" s="29" t="str">
        <f t="shared" ca="1" si="64"/>
        <v>Customer007</v>
      </c>
      <c r="F350" s="29" t="str" cm="1">
        <f t="array" aca="1" ref="F350" ca="1">INDEX({"Male","Female"}, RANDBETWEEN(1,2))</f>
        <v>Male</v>
      </c>
      <c r="G350" s="29" t="str">
        <f t="shared" ca="1" si="57"/>
        <v>East</v>
      </c>
      <c r="H350" s="48">
        <f t="shared" ca="1" si="59"/>
        <v>45085</v>
      </c>
      <c r="I350" s="24">
        <f t="shared" ca="1" si="60"/>
        <v>8</v>
      </c>
      <c r="J350" s="46" t="str">
        <f t="shared" ca="1" si="65"/>
        <v>June</v>
      </c>
      <c r="K350" s="24">
        <f t="shared" ca="1" si="61"/>
        <v>2023</v>
      </c>
      <c r="L350" s="24" t="str">
        <f t="shared" ca="1" si="62"/>
        <v>Platinum</v>
      </c>
      <c r="M350" s="29">
        <v>350</v>
      </c>
      <c r="N350" s="29" t="s">
        <v>954</v>
      </c>
      <c r="O350" s="29" t="s">
        <v>1208</v>
      </c>
      <c r="P350" s="30">
        <v>911</v>
      </c>
      <c r="Q350" s="30">
        <v>1020.32</v>
      </c>
      <c r="R350" s="29">
        <v>350</v>
      </c>
      <c r="S350" s="24" t="str">
        <f t="shared" si="63"/>
        <v>May</v>
      </c>
      <c r="T350" s="47">
        <v>45780</v>
      </c>
      <c r="U350" s="29">
        <v>3</v>
      </c>
      <c r="V350" s="38">
        <v>191</v>
      </c>
      <c r="W350" s="29">
        <v>85</v>
      </c>
      <c r="X350" s="29">
        <v>1</v>
      </c>
      <c r="Y350" s="30">
        <f>combined_tbl!$Q350*(1-combined_tbl!$Z350)</f>
        <v>816.25600000000009</v>
      </c>
      <c r="Z350" s="31">
        <f>IF(combined_tbl!$Q350&gt;=500,0.2, IF(combined_tbl!$Q350&gt;=200,0.05, IF(combined_tbl!$X350&gt;=2,0.05,0)))</f>
        <v>0.2</v>
      </c>
      <c r="AA350" s="30">
        <f>combined_tbl!$Y350*combined_tbl!$X350</f>
        <v>816.25600000000009</v>
      </c>
      <c r="AB350" s="32">
        <f>(combined_tbl!$Q350*(1+combined_tbl!$Z350)-combined_tbl!$P350)*combined_tbl!$X350</f>
        <v>313.38400000000001</v>
      </c>
    </row>
    <row r="351" spans="1:28" x14ac:dyDescent="0.3">
      <c r="A351" s="29">
        <v>350</v>
      </c>
      <c r="B351" s="25" cm="1">
        <f t="array" aca="1" ref="B351" ca="1">MIN(IF($E:$E=E351,$H:$H))</f>
        <v>45608</v>
      </c>
      <c r="C351" s="25">
        <f t="shared" ca="1" si="58"/>
        <v>12</v>
      </c>
      <c r="D351" s="42">
        <f ca="1">COUNTIF(E:E,combined_tbl!$E351)</f>
        <v>5</v>
      </c>
      <c r="E351" s="24" t="str">
        <f t="shared" ca="1" si="64"/>
        <v>Customer041</v>
      </c>
      <c r="F351" s="24" t="str" cm="1">
        <f t="array" aca="1" ref="F351" ca="1">INDEX({"Male","Female"}, RANDBETWEEN(1,2))</f>
        <v>Female</v>
      </c>
      <c r="G351" s="29" t="str">
        <f t="shared" ca="1" si="57"/>
        <v>West</v>
      </c>
      <c r="H351" s="48">
        <f t="shared" ca="1" si="59"/>
        <v>45608</v>
      </c>
      <c r="I351" s="24">
        <f t="shared" ca="1" si="60"/>
        <v>12</v>
      </c>
      <c r="J351" s="46" t="str">
        <f t="shared" ca="1" si="65"/>
        <v>November</v>
      </c>
      <c r="K351" s="24">
        <f t="shared" ca="1" si="61"/>
        <v>2024</v>
      </c>
      <c r="L351" s="24" t="str">
        <f t="shared" ca="1" si="62"/>
        <v>Silver</v>
      </c>
      <c r="M351" s="24">
        <v>351</v>
      </c>
      <c r="N351" s="24" t="s">
        <v>957</v>
      </c>
      <c r="O351" s="24" t="s">
        <v>1209</v>
      </c>
      <c r="P351" s="26">
        <v>70</v>
      </c>
      <c r="Q351" s="26">
        <v>88.2</v>
      </c>
      <c r="R351" s="24">
        <v>351</v>
      </c>
      <c r="S351" s="24" t="str">
        <f t="shared" si="63"/>
        <v>Jun</v>
      </c>
      <c r="T351" s="46">
        <v>45102</v>
      </c>
      <c r="U351" s="24">
        <v>6</v>
      </c>
      <c r="V351" s="37">
        <v>59</v>
      </c>
      <c r="W351" s="24">
        <v>33</v>
      </c>
      <c r="X351" s="24">
        <v>1</v>
      </c>
      <c r="Y351" s="26">
        <f>combined_tbl!$Q351*(1-combined_tbl!$Z351)</f>
        <v>88.2</v>
      </c>
      <c r="Z351" s="27">
        <f>IF(combined_tbl!$Q351&gt;=500,0.2, IF(combined_tbl!$Q351&gt;=200,0.05, IF(combined_tbl!$X351&gt;=2,0.05,0)))</f>
        <v>0</v>
      </c>
      <c r="AA351" s="26">
        <f>combined_tbl!$Y351*combined_tbl!$X351</f>
        <v>88.2</v>
      </c>
      <c r="AB351" s="28">
        <f>(combined_tbl!$Q351*(1+combined_tbl!$Z351)-combined_tbl!$P351)*combined_tbl!$X351</f>
        <v>18.200000000000003</v>
      </c>
    </row>
    <row r="352" spans="1:28" x14ac:dyDescent="0.3">
      <c r="A352" s="29">
        <v>351</v>
      </c>
      <c r="B352" s="25" cm="1">
        <f t="array" aca="1" ref="B352" ca="1">MIN(IF($E:$E=E352,$H:$H))</f>
        <v>45205</v>
      </c>
      <c r="C352" s="25">
        <f t="shared" ca="1" si="58"/>
        <v>25</v>
      </c>
      <c r="D352" s="43">
        <f ca="1">COUNTIF(E:E,combined_tbl!$E352)</f>
        <v>5</v>
      </c>
      <c r="E352" s="29" t="str">
        <f t="shared" ca="1" si="64"/>
        <v>Customer051</v>
      </c>
      <c r="F352" s="29" t="str" cm="1">
        <f t="array" aca="1" ref="F352" ca="1">INDEX({"Male","Female"}, RANDBETWEEN(1,2))</f>
        <v>Male</v>
      </c>
      <c r="G352" s="29" t="str">
        <f t="shared" ca="1" si="57"/>
        <v>East</v>
      </c>
      <c r="H352" s="48">
        <f t="shared" ca="1" si="59"/>
        <v>45205</v>
      </c>
      <c r="I352" s="24">
        <f t="shared" ca="1" si="60"/>
        <v>6</v>
      </c>
      <c r="J352" s="46" t="str">
        <f t="shared" ca="1" si="65"/>
        <v>October</v>
      </c>
      <c r="K352" s="24">
        <f t="shared" ca="1" si="61"/>
        <v>2023</v>
      </c>
      <c r="L352" s="24" t="str">
        <f t="shared" ca="1" si="62"/>
        <v>Silver</v>
      </c>
      <c r="M352" s="29">
        <v>352</v>
      </c>
      <c r="N352" s="29" t="s">
        <v>837</v>
      </c>
      <c r="O352" s="29" t="s">
        <v>1210</v>
      </c>
      <c r="P352" s="30">
        <v>204</v>
      </c>
      <c r="Q352" s="30">
        <v>230.51999999999998</v>
      </c>
      <c r="R352" s="29">
        <v>352</v>
      </c>
      <c r="S352" s="24" t="str">
        <f t="shared" si="63"/>
        <v>May</v>
      </c>
      <c r="T352" s="47">
        <v>45065</v>
      </c>
      <c r="U352" s="29">
        <v>1</v>
      </c>
      <c r="V352" s="38">
        <v>165</v>
      </c>
      <c r="W352" s="29">
        <v>50</v>
      </c>
      <c r="X352" s="29">
        <v>1</v>
      </c>
      <c r="Y352" s="30">
        <f>combined_tbl!$Q352*(1-combined_tbl!$Z352)</f>
        <v>218.99399999999997</v>
      </c>
      <c r="Z352" s="31">
        <f>IF(combined_tbl!$Q352&gt;=500,0.2, IF(combined_tbl!$Q352&gt;=200,0.05, IF(combined_tbl!$X352&gt;=2,0.05,0)))</f>
        <v>0.05</v>
      </c>
      <c r="AA352" s="30">
        <f>combined_tbl!$Y352*combined_tbl!$X352</f>
        <v>218.99399999999997</v>
      </c>
      <c r="AB352" s="32">
        <f>(combined_tbl!$Q352*(1+combined_tbl!$Z352)-combined_tbl!$P352)*combined_tbl!$X352</f>
        <v>38.045999999999992</v>
      </c>
    </row>
    <row r="353" spans="1:28" x14ac:dyDescent="0.3">
      <c r="A353" s="29">
        <v>352</v>
      </c>
      <c r="B353" s="25" cm="1">
        <f t="array" aca="1" ref="B353" ca="1">MIN(IF($E:$E=E353,$H:$H))</f>
        <v>45318</v>
      </c>
      <c r="C353" s="25">
        <f t="shared" ca="1" si="58"/>
        <v>22</v>
      </c>
      <c r="D353" s="42">
        <f ca="1">COUNTIF(E:E,combined_tbl!$E353)</f>
        <v>3</v>
      </c>
      <c r="E353" s="24" t="str">
        <f t="shared" ca="1" si="64"/>
        <v>Customer035</v>
      </c>
      <c r="F353" s="24" t="str" cm="1">
        <f t="array" aca="1" ref="F353" ca="1">INDEX({"Male","Female"}, RANDBETWEEN(1,2))</f>
        <v>Female</v>
      </c>
      <c r="G353" s="29" t="str">
        <f t="shared" ca="1" si="57"/>
        <v>North</v>
      </c>
      <c r="H353" s="48">
        <f t="shared" ca="1" si="59"/>
        <v>45318</v>
      </c>
      <c r="I353" s="24">
        <f t="shared" ca="1" si="60"/>
        <v>27</v>
      </c>
      <c r="J353" s="46" t="str">
        <f t="shared" ca="1" si="65"/>
        <v>January</v>
      </c>
      <c r="K353" s="24">
        <f t="shared" ca="1" si="61"/>
        <v>2024</v>
      </c>
      <c r="L353" s="24" t="str">
        <f t="shared" ca="1" si="62"/>
        <v>Silver</v>
      </c>
      <c r="M353" s="24">
        <v>353</v>
      </c>
      <c r="N353" s="24" t="s">
        <v>955</v>
      </c>
      <c r="O353" s="24" t="s">
        <v>1211</v>
      </c>
      <c r="P353" s="26">
        <v>302</v>
      </c>
      <c r="Q353" s="26">
        <v>368.44</v>
      </c>
      <c r="R353" s="24">
        <v>353</v>
      </c>
      <c r="S353" s="24" t="str">
        <f t="shared" si="63"/>
        <v>Mar</v>
      </c>
      <c r="T353" s="46">
        <v>45726</v>
      </c>
      <c r="U353" s="24">
        <v>8</v>
      </c>
      <c r="V353" s="37">
        <v>137</v>
      </c>
      <c r="W353" s="24">
        <v>39</v>
      </c>
      <c r="X353" s="24">
        <v>1</v>
      </c>
      <c r="Y353" s="26">
        <f>combined_tbl!$Q353*(1-combined_tbl!$Z353)</f>
        <v>350.01799999999997</v>
      </c>
      <c r="Z353" s="27">
        <f>IF(combined_tbl!$Q353&gt;=500,0.2, IF(combined_tbl!$Q353&gt;=200,0.05, IF(combined_tbl!$X353&gt;=2,0.05,0)))</f>
        <v>0.05</v>
      </c>
      <c r="AA353" s="26">
        <f>combined_tbl!$Y353*combined_tbl!$X353</f>
        <v>350.01799999999997</v>
      </c>
      <c r="AB353" s="28">
        <f>(combined_tbl!$Q353*(1+combined_tbl!$Z353)-combined_tbl!$P353)*combined_tbl!$X353</f>
        <v>84.862000000000023</v>
      </c>
    </row>
    <row r="354" spans="1:28" x14ac:dyDescent="0.3">
      <c r="A354" s="19">
        <v>353</v>
      </c>
      <c r="B354" s="25" cm="1">
        <f t="array" aca="1" ref="B354" ca="1">MIN(IF($E:$E=E354,$H:$H))</f>
        <v>44960</v>
      </c>
      <c r="C354" s="25">
        <f t="shared" ca="1" si="58"/>
        <v>34</v>
      </c>
      <c r="D354" s="43">
        <f ca="1">COUNTIF(E:E,combined_tbl!$E354)</f>
        <v>6</v>
      </c>
      <c r="E354" s="29" t="str">
        <f t="shared" ca="1" si="64"/>
        <v>Customer042</v>
      </c>
      <c r="F354" s="29" t="str" cm="1">
        <f t="array" aca="1" ref="F354" ca="1">INDEX({"Male","Female"}, RANDBETWEEN(1,2))</f>
        <v>Female</v>
      </c>
      <c r="G354" s="29" t="str">
        <f t="shared" ca="1" si="57"/>
        <v>East</v>
      </c>
      <c r="H354" s="48">
        <f t="shared" ca="1" si="59"/>
        <v>44960</v>
      </c>
      <c r="I354" s="24">
        <f t="shared" ca="1" si="60"/>
        <v>3</v>
      </c>
      <c r="J354" s="46" t="str">
        <f t="shared" ca="1" si="65"/>
        <v>February</v>
      </c>
      <c r="K354" s="24">
        <f t="shared" ca="1" si="61"/>
        <v>2023</v>
      </c>
      <c r="L354" s="24" t="str">
        <f t="shared" ca="1" si="62"/>
        <v>Silver</v>
      </c>
      <c r="M354" s="29">
        <v>354</v>
      </c>
      <c r="N354" s="29" t="s">
        <v>847</v>
      </c>
      <c r="O354" s="29" t="s">
        <v>1212</v>
      </c>
      <c r="P354" s="30">
        <v>86</v>
      </c>
      <c r="Q354" s="30">
        <v>121.25999999999999</v>
      </c>
      <c r="R354" s="29">
        <v>354</v>
      </c>
      <c r="S354" s="24" t="str">
        <f t="shared" si="63"/>
        <v>Mar</v>
      </c>
      <c r="T354" s="47">
        <v>45016</v>
      </c>
      <c r="U354" s="29">
        <v>7</v>
      </c>
      <c r="V354" s="38">
        <v>117</v>
      </c>
      <c r="W354" s="29">
        <v>51</v>
      </c>
      <c r="X354" s="29">
        <v>1</v>
      </c>
      <c r="Y354" s="30">
        <f>combined_tbl!$Q354*(1-combined_tbl!$Z354)</f>
        <v>121.25999999999999</v>
      </c>
      <c r="Z354" s="31">
        <f>IF(combined_tbl!$Q354&gt;=500,0.2, IF(combined_tbl!$Q354&gt;=200,0.05, IF(combined_tbl!$X354&gt;=2,0.05,0)))</f>
        <v>0</v>
      </c>
      <c r="AA354" s="30">
        <f>combined_tbl!$Y354*combined_tbl!$X354</f>
        <v>121.25999999999999</v>
      </c>
      <c r="AB354" s="32">
        <f>(combined_tbl!$Q354*(1+combined_tbl!$Z354)-combined_tbl!$P354)*combined_tbl!$X354</f>
        <v>35.259999999999991</v>
      </c>
    </row>
    <row r="355" spans="1:28" x14ac:dyDescent="0.3">
      <c r="A355" s="24">
        <v>354</v>
      </c>
      <c r="B355" s="25" cm="1">
        <f t="array" aca="1" ref="B355" ca="1">MIN(IF($E:$E=E355,$H:$H))</f>
        <v>45853</v>
      </c>
      <c r="C355" s="25">
        <f t="shared" ca="1" si="58"/>
        <v>4</v>
      </c>
      <c r="D355" s="42">
        <f ca="1">COUNTIF(E:E,combined_tbl!$E355)</f>
        <v>7</v>
      </c>
      <c r="E355" s="24" t="str">
        <f t="shared" ca="1" si="64"/>
        <v>Customer025</v>
      </c>
      <c r="F355" s="24" t="str" cm="1">
        <f t="array" aca="1" ref="F355" ca="1">INDEX({"Male","Female"}, RANDBETWEEN(1,2))</f>
        <v>Male</v>
      </c>
      <c r="G355" s="29" t="str">
        <f t="shared" ca="1" si="57"/>
        <v>West</v>
      </c>
      <c r="H355" s="48">
        <f t="shared" ca="1" si="59"/>
        <v>45853</v>
      </c>
      <c r="I355" s="24">
        <f t="shared" ca="1" si="60"/>
        <v>15</v>
      </c>
      <c r="J355" s="46" t="str">
        <f t="shared" ca="1" si="65"/>
        <v>July</v>
      </c>
      <c r="K355" s="24">
        <f t="shared" ca="1" si="61"/>
        <v>2025</v>
      </c>
      <c r="L355" s="24" t="str">
        <f t="shared" ca="1" si="62"/>
        <v>Bronze</v>
      </c>
      <c r="M355" s="24">
        <v>355</v>
      </c>
      <c r="N355" s="24" t="s">
        <v>851</v>
      </c>
      <c r="O355" s="24" t="s">
        <v>1213</v>
      </c>
      <c r="P355" s="26">
        <v>124</v>
      </c>
      <c r="Q355" s="26">
        <v>141.36000000000001</v>
      </c>
      <c r="R355" s="24">
        <v>355</v>
      </c>
      <c r="S355" s="24" t="str">
        <f t="shared" si="63"/>
        <v>Feb</v>
      </c>
      <c r="T355" s="46">
        <v>45691</v>
      </c>
      <c r="U355" s="24">
        <v>5</v>
      </c>
      <c r="V355" s="37">
        <v>131</v>
      </c>
      <c r="W355" s="24">
        <v>25</v>
      </c>
      <c r="X355" s="24">
        <v>1</v>
      </c>
      <c r="Y355" s="26">
        <f>combined_tbl!$Q355*(1-combined_tbl!$Z355)</f>
        <v>141.36000000000001</v>
      </c>
      <c r="Z355" s="27">
        <f>IF(combined_tbl!$Q355&gt;=500,0.2, IF(combined_tbl!$Q355&gt;=200,0.05, IF(combined_tbl!$X355&gt;=2,0.05,0)))</f>
        <v>0</v>
      </c>
      <c r="AA355" s="26">
        <f>combined_tbl!$Y355*combined_tbl!$X355</f>
        <v>141.36000000000001</v>
      </c>
      <c r="AB355" s="28">
        <f>(combined_tbl!$Q355*(1+combined_tbl!$Z355)-combined_tbl!$P355)*combined_tbl!$X355</f>
        <v>17.360000000000014</v>
      </c>
    </row>
    <row r="356" spans="1:28" x14ac:dyDescent="0.3">
      <c r="A356" s="29">
        <v>355</v>
      </c>
      <c r="B356" s="25" cm="1">
        <f t="array" aca="1" ref="B356" ca="1">MIN(IF($E:$E=E356,$H:$H))</f>
        <v>45955</v>
      </c>
      <c r="C356" s="25">
        <f t="shared" ca="1" si="58"/>
        <v>1</v>
      </c>
      <c r="D356" s="43">
        <f ca="1">COUNTIF(E:E,combined_tbl!$E356)</f>
        <v>9</v>
      </c>
      <c r="E356" s="29" t="str">
        <f t="shared" ca="1" si="64"/>
        <v>Customer080</v>
      </c>
      <c r="F356" s="29" t="str" cm="1">
        <f t="array" aca="1" ref="F356" ca="1">INDEX({"Male","Female"}, RANDBETWEEN(1,2))</f>
        <v>Male</v>
      </c>
      <c r="G356" s="29" t="str">
        <f t="shared" ca="1" si="57"/>
        <v>West</v>
      </c>
      <c r="H356" s="48">
        <f t="shared" ca="1" si="59"/>
        <v>45955</v>
      </c>
      <c r="I356" s="24">
        <f t="shared" ca="1" si="60"/>
        <v>25</v>
      </c>
      <c r="J356" s="46" t="str">
        <f t="shared" ca="1" si="65"/>
        <v>October</v>
      </c>
      <c r="K356" s="24">
        <f t="shared" ca="1" si="61"/>
        <v>2025</v>
      </c>
      <c r="L356" s="24" t="str">
        <f t="shared" ca="1" si="62"/>
        <v>Bronze</v>
      </c>
      <c r="M356" s="29">
        <v>356</v>
      </c>
      <c r="N356" s="29" t="s">
        <v>872</v>
      </c>
      <c r="O356" s="29" t="s">
        <v>1214</v>
      </c>
      <c r="P356" s="30">
        <v>129</v>
      </c>
      <c r="Q356" s="30">
        <v>183.17999999999998</v>
      </c>
      <c r="R356" s="29">
        <v>356</v>
      </c>
      <c r="S356" s="24" t="str">
        <f t="shared" si="63"/>
        <v>Feb</v>
      </c>
      <c r="T356" s="47">
        <v>44960</v>
      </c>
      <c r="U356" s="29">
        <v>6</v>
      </c>
      <c r="V356" s="38">
        <v>57</v>
      </c>
      <c r="W356" s="29">
        <v>6</v>
      </c>
      <c r="X356" s="29">
        <v>1</v>
      </c>
      <c r="Y356" s="30">
        <f>combined_tbl!$Q356*(1-combined_tbl!$Z356)</f>
        <v>183.17999999999998</v>
      </c>
      <c r="Z356" s="31">
        <f>IF(combined_tbl!$Q356&gt;=500,0.2, IF(combined_tbl!$Q356&gt;=200,0.05, IF(combined_tbl!$X356&gt;=2,0.05,0)))</f>
        <v>0</v>
      </c>
      <c r="AA356" s="30">
        <f>combined_tbl!$Y356*combined_tbl!$X356</f>
        <v>183.17999999999998</v>
      </c>
      <c r="AB356" s="32">
        <f>(combined_tbl!$Q356*(1+combined_tbl!$Z356)-combined_tbl!$P356)*combined_tbl!$X356</f>
        <v>54.179999999999978</v>
      </c>
    </row>
    <row r="357" spans="1:28" x14ac:dyDescent="0.3">
      <c r="A357" s="29">
        <v>356</v>
      </c>
      <c r="B357" s="25" cm="1">
        <f t="array" aca="1" ref="B357" ca="1">MIN(IF($E:$E=E357,$H:$H))</f>
        <v>45881</v>
      </c>
      <c r="C357" s="25">
        <f t="shared" ca="1" si="58"/>
        <v>3</v>
      </c>
      <c r="D357" s="42">
        <f ca="1">COUNTIF(E:E,combined_tbl!$E357)</f>
        <v>4</v>
      </c>
      <c r="E357" s="24" t="str">
        <f t="shared" ca="1" si="64"/>
        <v>Customer037</v>
      </c>
      <c r="F357" s="24" t="str" cm="1">
        <f t="array" aca="1" ref="F357" ca="1">INDEX({"Male","Female"}, RANDBETWEEN(1,2))</f>
        <v>Female</v>
      </c>
      <c r="G357" s="29" t="str">
        <f t="shared" ca="1" si="57"/>
        <v>West</v>
      </c>
      <c r="H357" s="48">
        <f t="shared" ca="1" si="59"/>
        <v>45881</v>
      </c>
      <c r="I357" s="24">
        <f t="shared" ca="1" si="60"/>
        <v>12</v>
      </c>
      <c r="J357" s="46" t="str">
        <f t="shared" ca="1" si="65"/>
        <v>August</v>
      </c>
      <c r="K357" s="24">
        <f t="shared" ca="1" si="61"/>
        <v>2025</v>
      </c>
      <c r="L357" s="24" t="str">
        <f t="shared" ca="1" si="62"/>
        <v>Bronze</v>
      </c>
      <c r="M357" s="24">
        <v>357</v>
      </c>
      <c r="N357" s="24" t="s">
        <v>1359</v>
      </c>
      <c r="O357" s="24" t="s">
        <v>1215</v>
      </c>
      <c r="P357" s="26">
        <v>254</v>
      </c>
      <c r="Q357" s="26">
        <v>322.58</v>
      </c>
      <c r="R357" s="24">
        <v>357</v>
      </c>
      <c r="S357" s="24" t="str">
        <f t="shared" si="63"/>
        <v>May</v>
      </c>
      <c r="T357" s="46">
        <v>45065</v>
      </c>
      <c r="U357" s="24">
        <v>6</v>
      </c>
      <c r="V357" s="37">
        <v>161</v>
      </c>
      <c r="W357" s="24">
        <v>35</v>
      </c>
      <c r="X357" s="24">
        <v>2</v>
      </c>
      <c r="Y357" s="26">
        <f>combined_tbl!$Q357*(1-combined_tbl!$Z357)</f>
        <v>306.45099999999996</v>
      </c>
      <c r="Z357" s="27">
        <f>IF(combined_tbl!$Q357&gt;=500,0.2, IF(combined_tbl!$Q357&gt;=200,0.05, IF(combined_tbl!$X357&gt;=2,0.05,0)))</f>
        <v>0.05</v>
      </c>
      <c r="AA357" s="26">
        <f>combined_tbl!$Y357*combined_tbl!$X357</f>
        <v>612.90199999999993</v>
      </c>
      <c r="AB357" s="28">
        <f>(combined_tbl!$Q357*(1+combined_tbl!$Z357)-combined_tbl!$P357)*combined_tbl!$X357</f>
        <v>169.41800000000001</v>
      </c>
    </row>
    <row r="358" spans="1:28" x14ac:dyDescent="0.3">
      <c r="A358" s="29">
        <v>357</v>
      </c>
      <c r="B358" s="25" cm="1">
        <f t="array" aca="1" ref="B358" ca="1">MIN(IF($E:$E=E358,$H:$H))</f>
        <v>45582</v>
      </c>
      <c r="C358" s="25">
        <f t="shared" ca="1" si="58"/>
        <v>13</v>
      </c>
      <c r="D358" s="43">
        <f ca="1">COUNTIF(E:E,combined_tbl!$E358)</f>
        <v>11</v>
      </c>
      <c r="E358" s="29" t="str">
        <f t="shared" ca="1" si="64"/>
        <v>Customer002</v>
      </c>
      <c r="F358" s="29" t="str" cm="1">
        <f t="array" aca="1" ref="F358" ca="1">INDEX({"Male","Female"}, RANDBETWEEN(1,2))</f>
        <v>Male</v>
      </c>
      <c r="G358" s="29" t="str">
        <f t="shared" ca="1" si="57"/>
        <v>East</v>
      </c>
      <c r="H358" s="48">
        <f t="shared" ca="1" si="59"/>
        <v>45582</v>
      </c>
      <c r="I358" s="24">
        <f t="shared" ca="1" si="60"/>
        <v>17</v>
      </c>
      <c r="J358" s="46" t="str">
        <f t="shared" ca="1" si="65"/>
        <v>October</v>
      </c>
      <c r="K358" s="24">
        <f t="shared" ca="1" si="61"/>
        <v>2024</v>
      </c>
      <c r="L358" s="24" t="str">
        <f t="shared" ca="1" si="62"/>
        <v>Silver</v>
      </c>
      <c r="M358" s="29">
        <v>358</v>
      </c>
      <c r="N358" s="29" t="s">
        <v>851</v>
      </c>
      <c r="O358" s="29" t="s">
        <v>1216</v>
      </c>
      <c r="P358" s="30">
        <v>19</v>
      </c>
      <c r="Q358" s="30">
        <v>26.03</v>
      </c>
      <c r="R358" s="29">
        <v>358</v>
      </c>
      <c r="S358" s="24" t="str">
        <f t="shared" si="63"/>
        <v>May</v>
      </c>
      <c r="T358" s="47">
        <v>45420</v>
      </c>
      <c r="U358" s="29">
        <v>2</v>
      </c>
      <c r="V358" s="38">
        <v>192</v>
      </c>
      <c r="W358" s="29">
        <v>58</v>
      </c>
      <c r="X358" s="29">
        <v>2</v>
      </c>
      <c r="Y358" s="30">
        <f>combined_tbl!$Q358*(1-combined_tbl!$Z358)</f>
        <v>24.7285</v>
      </c>
      <c r="Z358" s="31">
        <f>IF(combined_tbl!$Q358&gt;=500,0.2, IF(combined_tbl!$Q358&gt;=200,0.05, IF(combined_tbl!$X358&gt;=2,0.05,0)))</f>
        <v>0.05</v>
      </c>
      <c r="AA358" s="30">
        <f>combined_tbl!$Y358*combined_tbl!$X358</f>
        <v>49.457000000000001</v>
      </c>
      <c r="AB358" s="32">
        <f>(combined_tbl!$Q358*(1+combined_tbl!$Z358)-combined_tbl!$P358)*combined_tbl!$X358</f>
        <v>16.663000000000004</v>
      </c>
    </row>
    <row r="359" spans="1:28" x14ac:dyDescent="0.3">
      <c r="A359" s="29">
        <v>358</v>
      </c>
      <c r="B359" s="25" cm="1">
        <f t="array" aca="1" ref="B359" ca="1">MIN(IF($E:$E=E359,$H:$H))</f>
        <v>45853</v>
      </c>
      <c r="C359" s="25">
        <f t="shared" ca="1" si="58"/>
        <v>4</v>
      </c>
      <c r="D359" s="42">
        <f ca="1">COUNTIF(E:E,combined_tbl!$E359)</f>
        <v>5</v>
      </c>
      <c r="E359" s="24" t="str">
        <f t="shared" ca="1" si="64"/>
        <v>Customer033</v>
      </c>
      <c r="F359" s="24" t="str" cm="1">
        <f t="array" aca="1" ref="F359" ca="1">INDEX({"Male","Female"}, RANDBETWEEN(1,2))</f>
        <v>Female</v>
      </c>
      <c r="G359" s="29" t="str">
        <f t="shared" ca="1" si="57"/>
        <v>West</v>
      </c>
      <c r="H359" s="48">
        <f t="shared" ca="1" si="59"/>
        <v>45853</v>
      </c>
      <c r="I359" s="24">
        <f t="shared" ca="1" si="60"/>
        <v>15</v>
      </c>
      <c r="J359" s="46" t="str">
        <f t="shared" ca="1" si="65"/>
        <v>July</v>
      </c>
      <c r="K359" s="24">
        <f t="shared" ca="1" si="61"/>
        <v>2025</v>
      </c>
      <c r="L359" s="24" t="str">
        <f t="shared" ca="1" si="62"/>
        <v>Bronze</v>
      </c>
      <c r="M359" s="24">
        <v>359</v>
      </c>
      <c r="N359" s="24" t="s">
        <v>954</v>
      </c>
      <c r="O359" s="24" t="s">
        <v>1217</v>
      </c>
      <c r="P359" s="26">
        <v>958</v>
      </c>
      <c r="Q359" s="26">
        <v>1149.5999999999999</v>
      </c>
      <c r="R359" s="24">
        <v>359</v>
      </c>
      <c r="S359" s="24" t="str">
        <f t="shared" si="63"/>
        <v>Nov</v>
      </c>
      <c r="T359" s="46">
        <v>45607</v>
      </c>
      <c r="U359" s="24">
        <v>3</v>
      </c>
      <c r="V359" s="37">
        <v>66</v>
      </c>
      <c r="W359" s="24">
        <v>17</v>
      </c>
      <c r="X359" s="24">
        <v>1</v>
      </c>
      <c r="Y359" s="26">
        <f>combined_tbl!$Q359*(1-combined_tbl!$Z359)</f>
        <v>919.68</v>
      </c>
      <c r="Z359" s="27">
        <f>IF(combined_tbl!$Q359&gt;=500,0.2, IF(combined_tbl!$Q359&gt;=200,0.05, IF(combined_tbl!$X359&gt;=2,0.05,0)))</f>
        <v>0.2</v>
      </c>
      <c r="AA359" s="26">
        <f>combined_tbl!$Y359*combined_tbl!$X359</f>
        <v>919.68</v>
      </c>
      <c r="AB359" s="28">
        <f>(combined_tbl!$Q359*(1+combined_tbl!$Z359)-combined_tbl!$P359)*combined_tbl!$X359</f>
        <v>421.51999999999975</v>
      </c>
    </row>
    <row r="360" spans="1:28" x14ac:dyDescent="0.3">
      <c r="A360" s="29">
        <v>359</v>
      </c>
      <c r="B360" s="25" cm="1">
        <f t="array" aca="1" ref="B360" ca="1">MIN(IF($E:$E=E360,$H:$H))</f>
        <v>45761</v>
      </c>
      <c r="C360" s="25">
        <f t="shared" ca="1" si="58"/>
        <v>7</v>
      </c>
      <c r="D360" s="43">
        <f ca="1">COUNTIF(E:E,combined_tbl!$E360)</f>
        <v>7</v>
      </c>
      <c r="E360" s="29" t="str">
        <f t="shared" ca="1" si="64"/>
        <v>Customer009</v>
      </c>
      <c r="F360" s="29" t="str" cm="1">
        <f t="array" aca="1" ref="F360" ca="1">INDEX({"Male","Female"}, RANDBETWEEN(1,2))</f>
        <v>Female</v>
      </c>
      <c r="G360" s="29" t="str">
        <f t="shared" ca="1" si="57"/>
        <v>East</v>
      </c>
      <c r="H360" s="48">
        <f t="shared" ca="1" si="59"/>
        <v>45761</v>
      </c>
      <c r="I360" s="24">
        <f t="shared" ca="1" si="60"/>
        <v>14</v>
      </c>
      <c r="J360" s="46" t="str">
        <f t="shared" ca="1" si="65"/>
        <v>April</v>
      </c>
      <c r="K360" s="24">
        <f t="shared" ca="1" si="61"/>
        <v>2025</v>
      </c>
      <c r="L360" s="24" t="str">
        <f t="shared" ca="1" si="62"/>
        <v>Bronze</v>
      </c>
      <c r="M360" s="29">
        <v>360</v>
      </c>
      <c r="N360" s="29" t="s">
        <v>957</v>
      </c>
      <c r="O360" s="29" t="s">
        <v>1218</v>
      </c>
      <c r="P360" s="30">
        <v>123</v>
      </c>
      <c r="Q360" s="30">
        <v>154.97999999999999</v>
      </c>
      <c r="R360" s="29">
        <v>360</v>
      </c>
      <c r="S360" s="24" t="str">
        <f t="shared" si="63"/>
        <v>Apr</v>
      </c>
      <c r="T360" s="47">
        <v>45017</v>
      </c>
      <c r="U360" s="29">
        <v>6</v>
      </c>
      <c r="V360" s="38">
        <v>67</v>
      </c>
      <c r="W360" s="29">
        <v>68</v>
      </c>
      <c r="X360" s="29">
        <v>3</v>
      </c>
      <c r="Y360" s="30">
        <f>combined_tbl!$Q360*(1-combined_tbl!$Z360)</f>
        <v>147.23099999999999</v>
      </c>
      <c r="Z360" s="31">
        <f>IF(combined_tbl!$Q360&gt;=500,0.2, IF(combined_tbl!$Q360&gt;=200,0.05, IF(combined_tbl!$X360&gt;=2,0.05,0)))</f>
        <v>0.05</v>
      </c>
      <c r="AA360" s="30">
        <f>combined_tbl!$Y360*combined_tbl!$X360</f>
        <v>441.69299999999998</v>
      </c>
      <c r="AB360" s="32">
        <f>(combined_tbl!$Q360*(1+combined_tbl!$Z360)-combined_tbl!$P360)*combined_tbl!$X360</f>
        <v>119.18699999999995</v>
      </c>
    </row>
    <row r="361" spans="1:28" x14ac:dyDescent="0.3">
      <c r="A361" s="29">
        <v>360</v>
      </c>
      <c r="B361" s="25" cm="1">
        <f t="array" aca="1" ref="B361" ca="1">MIN(IF($E:$E=E361,$H:$H))</f>
        <v>45260</v>
      </c>
      <c r="C361" s="25">
        <f t="shared" ca="1" si="58"/>
        <v>24</v>
      </c>
      <c r="D361" s="42">
        <f ca="1">COUNTIF(E:E,combined_tbl!$E361)</f>
        <v>13</v>
      </c>
      <c r="E361" s="24" t="str">
        <f t="shared" ca="1" si="64"/>
        <v>Customer001</v>
      </c>
      <c r="F361" s="24" t="str" cm="1">
        <f t="array" aca="1" ref="F361" ca="1">INDEX({"Male","Female"}, RANDBETWEEN(1,2))</f>
        <v>Male</v>
      </c>
      <c r="G361" s="29" t="str">
        <f t="shared" ca="1" si="57"/>
        <v>South</v>
      </c>
      <c r="H361" s="48">
        <f t="shared" ca="1" si="59"/>
        <v>45260</v>
      </c>
      <c r="I361" s="24">
        <f t="shared" ca="1" si="60"/>
        <v>30</v>
      </c>
      <c r="J361" s="46" t="str">
        <f t="shared" ca="1" si="65"/>
        <v>November</v>
      </c>
      <c r="K361" s="24">
        <f t="shared" ca="1" si="61"/>
        <v>2023</v>
      </c>
      <c r="L361" s="24" t="str">
        <f t="shared" ca="1" si="62"/>
        <v>Platinum</v>
      </c>
      <c r="M361" s="24">
        <v>361</v>
      </c>
      <c r="N361" s="24" t="s">
        <v>847</v>
      </c>
      <c r="O361" s="24" t="s">
        <v>1219</v>
      </c>
      <c r="P361" s="26">
        <v>74</v>
      </c>
      <c r="Q361" s="26">
        <v>93.24</v>
      </c>
      <c r="R361" s="24">
        <v>361</v>
      </c>
      <c r="S361" s="24" t="str">
        <f t="shared" si="63"/>
        <v>Nov</v>
      </c>
      <c r="T361" s="46">
        <v>45620</v>
      </c>
      <c r="U361" s="24">
        <v>3</v>
      </c>
      <c r="V361" s="37">
        <v>172</v>
      </c>
      <c r="W361" s="24">
        <v>39</v>
      </c>
      <c r="X361" s="24">
        <v>1</v>
      </c>
      <c r="Y361" s="26">
        <f>combined_tbl!$Q361*(1-combined_tbl!$Z361)</f>
        <v>93.24</v>
      </c>
      <c r="Z361" s="27">
        <f>IF(combined_tbl!$Q361&gt;=500,0.2, IF(combined_tbl!$Q361&gt;=200,0.05, IF(combined_tbl!$X361&gt;=2,0.05,0)))</f>
        <v>0</v>
      </c>
      <c r="AA361" s="26">
        <f>combined_tbl!$Y361*combined_tbl!$X361</f>
        <v>93.24</v>
      </c>
      <c r="AB361" s="28">
        <f>(combined_tbl!$Q361*(1+combined_tbl!$Z361)-combined_tbl!$P361)*combined_tbl!$X361</f>
        <v>19.239999999999995</v>
      </c>
    </row>
    <row r="362" spans="1:28" x14ac:dyDescent="0.3">
      <c r="A362" s="19">
        <v>361</v>
      </c>
      <c r="B362" s="25" cm="1">
        <f t="array" aca="1" ref="B362" ca="1">MIN(IF($E:$E=E362,$H:$H))</f>
        <v>45744</v>
      </c>
      <c r="C362" s="25">
        <f t="shared" ca="1" si="58"/>
        <v>8</v>
      </c>
      <c r="D362" s="43">
        <f ca="1">COUNTIF(E:E,combined_tbl!$E362)</f>
        <v>5</v>
      </c>
      <c r="E362" s="29" t="str">
        <f t="shared" ca="1" si="64"/>
        <v>Customer016</v>
      </c>
      <c r="F362" s="29" t="str" cm="1">
        <f t="array" aca="1" ref="F362" ca="1">INDEX({"Male","Female"}, RANDBETWEEN(1,2))</f>
        <v>Male</v>
      </c>
      <c r="G362" s="29" t="str">
        <f t="shared" ca="1" si="57"/>
        <v>North</v>
      </c>
      <c r="H362" s="48">
        <f t="shared" ca="1" si="59"/>
        <v>45744</v>
      </c>
      <c r="I362" s="24">
        <f t="shared" ca="1" si="60"/>
        <v>28</v>
      </c>
      <c r="J362" s="46" t="str">
        <f t="shared" ca="1" si="65"/>
        <v>March</v>
      </c>
      <c r="K362" s="24">
        <f t="shared" ca="1" si="61"/>
        <v>2025</v>
      </c>
      <c r="L362" s="24" t="str">
        <f t="shared" ca="1" si="62"/>
        <v>Bronze</v>
      </c>
      <c r="M362" s="29">
        <v>362</v>
      </c>
      <c r="N362" s="29" t="s">
        <v>831</v>
      </c>
      <c r="O362" s="29" t="s">
        <v>1220</v>
      </c>
      <c r="P362" s="30">
        <v>62</v>
      </c>
      <c r="Q362" s="30">
        <v>79.36</v>
      </c>
      <c r="R362" s="29">
        <v>362</v>
      </c>
      <c r="S362" s="24" t="str">
        <f t="shared" si="63"/>
        <v>Aug</v>
      </c>
      <c r="T362" s="47">
        <v>45878</v>
      </c>
      <c r="U362" s="29">
        <v>8</v>
      </c>
      <c r="V362" s="38">
        <v>163</v>
      </c>
      <c r="W362" s="29">
        <v>57</v>
      </c>
      <c r="X362" s="29">
        <v>1</v>
      </c>
      <c r="Y362" s="30">
        <f>combined_tbl!$Q362*(1-combined_tbl!$Z362)</f>
        <v>79.36</v>
      </c>
      <c r="Z362" s="31">
        <f>IF(combined_tbl!$Q362&gt;=500,0.2, IF(combined_tbl!$Q362&gt;=200,0.05, IF(combined_tbl!$X362&gt;=2,0.05,0)))</f>
        <v>0</v>
      </c>
      <c r="AA362" s="30">
        <f>combined_tbl!$Y362*combined_tbl!$X362</f>
        <v>79.36</v>
      </c>
      <c r="AB362" s="32">
        <f>(combined_tbl!$Q362*(1+combined_tbl!$Z362)-combined_tbl!$P362)*combined_tbl!$X362</f>
        <v>17.36</v>
      </c>
    </row>
    <row r="363" spans="1:28" x14ac:dyDescent="0.3">
      <c r="A363" s="24">
        <v>362</v>
      </c>
      <c r="B363" s="25" cm="1">
        <f t="array" aca="1" ref="B363" ca="1">MIN(IF($E:$E=E363,$H:$H))</f>
        <v>44976</v>
      </c>
      <c r="C363" s="25">
        <f t="shared" ca="1" si="58"/>
        <v>33</v>
      </c>
      <c r="D363" s="42">
        <f ca="1">COUNTIF(E:E,combined_tbl!$E363)</f>
        <v>7</v>
      </c>
      <c r="E363" s="24" t="str">
        <f t="shared" ca="1" si="64"/>
        <v>Customer015</v>
      </c>
      <c r="F363" s="24" t="str" cm="1">
        <f t="array" aca="1" ref="F363" ca="1">INDEX({"Male","Female"}, RANDBETWEEN(1,2))</f>
        <v>Female</v>
      </c>
      <c r="G363" s="29" t="str">
        <f t="shared" ca="1" si="57"/>
        <v>East</v>
      </c>
      <c r="H363" s="48">
        <f t="shared" ca="1" si="59"/>
        <v>44976</v>
      </c>
      <c r="I363" s="24">
        <f t="shared" ca="1" si="60"/>
        <v>19</v>
      </c>
      <c r="J363" s="46" t="str">
        <f t="shared" ca="1" si="65"/>
        <v>February</v>
      </c>
      <c r="K363" s="24">
        <f t="shared" ca="1" si="61"/>
        <v>2023</v>
      </c>
      <c r="L363" s="24" t="str">
        <f t="shared" ca="1" si="62"/>
        <v>Gold</v>
      </c>
      <c r="M363" s="24">
        <v>363</v>
      </c>
      <c r="N363" s="24" t="s">
        <v>954</v>
      </c>
      <c r="O363" s="24" t="s">
        <v>1221</v>
      </c>
      <c r="P363" s="26">
        <v>554</v>
      </c>
      <c r="Q363" s="26">
        <v>631.56000000000006</v>
      </c>
      <c r="R363" s="24">
        <v>363</v>
      </c>
      <c r="S363" s="24" t="str">
        <f t="shared" si="63"/>
        <v>Jan</v>
      </c>
      <c r="T363" s="46">
        <v>45300</v>
      </c>
      <c r="U363" s="24">
        <v>3</v>
      </c>
      <c r="V363" s="37">
        <v>112</v>
      </c>
      <c r="W363" s="24">
        <v>16</v>
      </c>
      <c r="X363" s="24">
        <v>1</v>
      </c>
      <c r="Y363" s="26">
        <f>combined_tbl!$Q363*(1-combined_tbl!$Z363)</f>
        <v>505.24800000000005</v>
      </c>
      <c r="Z363" s="27">
        <f>IF(combined_tbl!$Q363&gt;=500,0.2, IF(combined_tbl!$Q363&gt;=200,0.05, IF(combined_tbl!$X363&gt;=2,0.05,0)))</f>
        <v>0.2</v>
      </c>
      <c r="AA363" s="26">
        <f>combined_tbl!$Y363*combined_tbl!$X363</f>
        <v>505.24800000000005</v>
      </c>
      <c r="AB363" s="28">
        <f>(combined_tbl!$Q363*(1+combined_tbl!$Z363)-combined_tbl!$P363)*combined_tbl!$X363</f>
        <v>203.87200000000007</v>
      </c>
    </row>
    <row r="364" spans="1:28" x14ac:dyDescent="0.3">
      <c r="A364" s="29">
        <v>363</v>
      </c>
      <c r="B364" s="25" cm="1">
        <f t="array" aca="1" ref="B364" ca="1">MIN(IF($E:$E=E364,$H:$H))</f>
        <v>45995</v>
      </c>
      <c r="C364" s="25">
        <f t="shared" ca="1" si="58"/>
        <v>0</v>
      </c>
      <c r="D364" s="43">
        <f ca="1">COUNTIF(E:E,combined_tbl!$E364)</f>
        <v>8</v>
      </c>
      <c r="E364" s="29" t="str">
        <f t="shared" ca="1" si="64"/>
        <v>Customer013</v>
      </c>
      <c r="F364" s="29" t="str" cm="1">
        <f t="array" aca="1" ref="F364" ca="1">INDEX({"Male","Female"}, RANDBETWEEN(1,2))</f>
        <v>Female</v>
      </c>
      <c r="G364" s="29" t="str">
        <f t="shared" ca="1" si="57"/>
        <v>North</v>
      </c>
      <c r="H364" s="48">
        <f t="shared" ca="1" si="59"/>
        <v>45995</v>
      </c>
      <c r="I364" s="24">
        <f t="shared" ca="1" si="60"/>
        <v>4</v>
      </c>
      <c r="J364" s="46" t="str">
        <f t="shared" ca="1" si="65"/>
        <v>December</v>
      </c>
      <c r="K364" s="24">
        <f t="shared" ca="1" si="61"/>
        <v>2025</v>
      </c>
      <c r="L364" s="24" t="str">
        <f t="shared" ca="1" si="62"/>
        <v>Bronze</v>
      </c>
      <c r="M364" s="29">
        <v>364</v>
      </c>
      <c r="N364" s="29" t="s">
        <v>851</v>
      </c>
      <c r="O364" s="29" t="s">
        <v>1222</v>
      </c>
      <c r="P364" s="30">
        <v>245</v>
      </c>
      <c r="Q364" s="30">
        <v>340.55</v>
      </c>
      <c r="R364" s="29">
        <v>364</v>
      </c>
      <c r="S364" s="24" t="str">
        <f t="shared" si="63"/>
        <v>May</v>
      </c>
      <c r="T364" s="47">
        <v>45056</v>
      </c>
      <c r="U364" s="29">
        <v>8</v>
      </c>
      <c r="V364" s="38">
        <v>134</v>
      </c>
      <c r="W364" s="29">
        <v>19</v>
      </c>
      <c r="X364" s="29">
        <v>1</v>
      </c>
      <c r="Y364" s="30">
        <f>combined_tbl!$Q364*(1-combined_tbl!$Z364)</f>
        <v>323.52249999999998</v>
      </c>
      <c r="Z364" s="31">
        <f>IF(combined_tbl!$Q364&gt;=500,0.2, IF(combined_tbl!$Q364&gt;=200,0.05, IF(combined_tbl!$X364&gt;=2,0.05,0)))</f>
        <v>0.05</v>
      </c>
      <c r="AA364" s="30">
        <f>combined_tbl!$Y364*combined_tbl!$X364</f>
        <v>323.52249999999998</v>
      </c>
      <c r="AB364" s="32">
        <f>(combined_tbl!$Q364*(1+combined_tbl!$Z364)-combined_tbl!$P364)*combined_tbl!$X364</f>
        <v>112.57750000000004</v>
      </c>
    </row>
    <row r="365" spans="1:28" x14ac:dyDescent="0.3">
      <c r="A365" s="29">
        <v>364</v>
      </c>
      <c r="B365" s="25" cm="1">
        <f t="array" aca="1" ref="B365" ca="1">MIN(IF($E:$E=E365,$H:$H))</f>
        <v>45260</v>
      </c>
      <c r="C365" s="25">
        <f t="shared" ca="1" si="58"/>
        <v>24</v>
      </c>
      <c r="D365" s="42">
        <f ca="1">COUNTIF(E:E,combined_tbl!$E365)</f>
        <v>13</v>
      </c>
      <c r="E365" s="24" t="str">
        <f t="shared" ca="1" si="64"/>
        <v>Customer001</v>
      </c>
      <c r="F365" s="24" t="str" cm="1">
        <f t="array" aca="1" ref="F365" ca="1">INDEX({"Male","Female"}, RANDBETWEEN(1,2))</f>
        <v>Male</v>
      </c>
      <c r="G365" s="29" t="str">
        <f t="shared" ca="1" si="57"/>
        <v>South</v>
      </c>
      <c r="H365" s="48">
        <f t="shared" ca="1" si="59"/>
        <v>45260</v>
      </c>
      <c r="I365" s="24">
        <f t="shared" ca="1" si="60"/>
        <v>30</v>
      </c>
      <c r="J365" s="46" t="str">
        <f t="shared" ca="1" si="65"/>
        <v>November</v>
      </c>
      <c r="K365" s="24">
        <f t="shared" ca="1" si="61"/>
        <v>2023</v>
      </c>
      <c r="L365" s="24" t="str">
        <f t="shared" ca="1" si="62"/>
        <v>Platinum</v>
      </c>
      <c r="M365" s="24">
        <v>365</v>
      </c>
      <c r="N365" s="24" t="s">
        <v>847</v>
      </c>
      <c r="O365" s="24" t="s">
        <v>1223</v>
      </c>
      <c r="P365" s="26">
        <v>144</v>
      </c>
      <c r="Q365" s="26">
        <v>174.24</v>
      </c>
      <c r="R365" s="24">
        <v>365</v>
      </c>
      <c r="S365" s="24" t="str">
        <f t="shared" si="63"/>
        <v>Mar</v>
      </c>
      <c r="T365" s="46">
        <v>45002</v>
      </c>
      <c r="U365" s="24">
        <v>5</v>
      </c>
      <c r="V365" s="37">
        <v>6</v>
      </c>
      <c r="W365" s="24">
        <v>95</v>
      </c>
      <c r="X365" s="24">
        <v>2</v>
      </c>
      <c r="Y365" s="26">
        <f>combined_tbl!$Q365*(1-combined_tbl!$Z365)</f>
        <v>165.52799999999999</v>
      </c>
      <c r="Z365" s="27">
        <f>IF(combined_tbl!$Q365&gt;=500,0.2, IF(combined_tbl!$Q365&gt;=200,0.05, IF(combined_tbl!$X365&gt;=2,0.05,0)))</f>
        <v>0.05</v>
      </c>
      <c r="AA365" s="26">
        <f>combined_tbl!$Y365*combined_tbl!$X365</f>
        <v>331.05599999999998</v>
      </c>
      <c r="AB365" s="28">
        <f>(combined_tbl!$Q365*(1+combined_tbl!$Z365)-combined_tbl!$P365)*combined_tbl!$X365</f>
        <v>77.904000000000053</v>
      </c>
    </row>
    <row r="366" spans="1:28" x14ac:dyDescent="0.3">
      <c r="A366" s="29">
        <v>365</v>
      </c>
      <c r="B366" s="25" cm="1">
        <f t="array" aca="1" ref="B366" ca="1">MIN(IF($E:$E=E366,$H:$H))</f>
        <v>44935</v>
      </c>
      <c r="C366" s="25">
        <f t="shared" ca="1" si="58"/>
        <v>34</v>
      </c>
      <c r="D366" s="43">
        <f ca="1">COUNTIF(E:E,combined_tbl!$E366)</f>
        <v>2</v>
      </c>
      <c r="E366" s="29" t="str">
        <f t="shared" ca="1" si="64"/>
        <v>Customer109</v>
      </c>
      <c r="F366" s="29" t="str" cm="1">
        <f t="array" aca="1" ref="F366" ca="1">INDEX({"Male","Female"}, RANDBETWEEN(1,2))</f>
        <v>Female</v>
      </c>
      <c r="G366" s="29" t="str">
        <f t="shared" ca="1" si="57"/>
        <v>West</v>
      </c>
      <c r="H366" s="48">
        <f t="shared" ca="1" si="59"/>
        <v>44935</v>
      </c>
      <c r="I366" s="24">
        <f t="shared" ca="1" si="60"/>
        <v>9</v>
      </c>
      <c r="J366" s="46" t="str">
        <f t="shared" ca="1" si="65"/>
        <v>January</v>
      </c>
      <c r="K366" s="24">
        <f t="shared" ca="1" si="61"/>
        <v>2023</v>
      </c>
      <c r="L366" s="24" t="str">
        <f t="shared" ca="1" si="62"/>
        <v>Bronze</v>
      </c>
      <c r="M366" s="29">
        <v>366</v>
      </c>
      <c r="N366" s="29" t="s">
        <v>954</v>
      </c>
      <c r="O366" s="29" t="s">
        <v>1224</v>
      </c>
      <c r="P366" s="30">
        <v>356</v>
      </c>
      <c r="Q366" s="30">
        <v>487.72</v>
      </c>
      <c r="R366" s="29">
        <v>366</v>
      </c>
      <c r="S366" s="24" t="str">
        <f t="shared" si="63"/>
        <v>Feb</v>
      </c>
      <c r="T366" s="47">
        <v>45339</v>
      </c>
      <c r="U366" s="29">
        <v>1</v>
      </c>
      <c r="V366" s="38">
        <v>99</v>
      </c>
      <c r="W366" s="29">
        <v>67</v>
      </c>
      <c r="X366" s="29">
        <v>2</v>
      </c>
      <c r="Y366" s="30">
        <f>combined_tbl!$Q366*(1-combined_tbl!$Z366)</f>
        <v>463.334</v>
      </c>
      <c r="Z366" s="31">
        <f>IF(combined_tbl!$Q366&gt;=500,0.2, IF(combined_tbl!$Q366&gt;=200,0.05, IF(combined_tbl!$X366&gt;=2,0.05,0)))</f>
        <v>0.05</v>
      </c>
      <c r="AA366" s="30">
        <f>combined_tbl!$Y366*combined_tbl!$X366</f>
        <v>926.66800000000001</v>
      </c>
      <c r="AB366" s="32">
        <f>(combined_tbl!$Q366*(1+combined_tbl!$Z366)-combined_tbl!$P366)*combined_tbl!$X366</f>
        <v>312.21199999999999</v>
      </c>
    </row>
    <row r="367" spans="1:28" x14ac:dyDescent="0.3">
      <c r="A367" s="29">
        <v>366</v>
      </c>
      <c r="B367" s="25" cm="1">
        <f t="array" aca="1" ref="B367" ca="1">MIN(IF($E:$E=E367,$H:$H))</f>
        <v>45116</v>
      </c>
      <c r="C367" s="25">
        <f t="shared" ca="1" si="58"/>
        <v>28</v>
      </c>
      <c r="D367" s="42">
        <f ca="1">COUNTIF(E:E,combined_tbl!$E367)</f>
        <v>2</v>
      </c>
      <c r="E367" s="24" t="str">
        <f t="shared" ca="1" si="64"/>
        <v>Customer138</v>
      </c>
      <c r="F367" s="24" t="str" cm="1">
        <f t="array" aca="1" ref="F367" ca="1">INDEX({"Male","Female"}, RANDBETWEEN(1,2))</f>
        <v>Female</v>
      </c>
      <c r="G367" s="29" t="str">
        <f t="shared" ca="1" si="57"/>
        <v>West</v>
      </c>
      <c r="H367" s="48">
        <f t="shared" ca="1" si="59"/>
        <v>45116</v>
      </c>
      <c r="I367" s="24">
        <f t="shared" ca="1" si="60"/>
        <v>9</v>
      </c>
      <c r="J367" s="46" t="str">
        <f t="shared" ca="1" si="65"/>
        <v>July</v>
      </c>
      <c r="K367" s="24">
        <f t="shared" ca="1" si="61"/>
        <v>2023</v>
      </c>
      <c r="L367" s="24" t="str">
        <f t="shared" ca="1" si="62"/>
        <v>Bronze</v>
      </c>
      <c r="M367" s="24">
        <v>367</v>
      </c>
      <c r="N367" s="24" t="s">
        <v>872</v>
      </c>
      <c r="O367" s="24" t="s">
        <v>1225</v>
      </c>
      <c r="P367" s="26">
        <v>53</v>
      </c>
      <c r="Q367" s="26">
        <v>78.44</v>
      </c>
      <c r="R367" s="24">
        <v>367</v>
      </c>
      <c r="S367" s="24" t="str">
        <f t="shared" si="63"/>
        <v>Feb</v>
      </c>
      <c r="T367" s="46">
        <v>45335</v>
      </c>
      <c r="U367" s="24">
        <v>1</v>
      </c>
      <c r="V367" s="37">
        <v>68</v>
      </c>
      <c r="W367" s="24">
        <v>26</v>
      </c>
      <c r="X367" s="24">
        <v>1</v>
      </c>
      <c r="Y367" s="26">
        <f>combined_tbl!$Q367*(1-combined_tbl!$Z367)</f>
        <v>78.44</v>
      </c>
      <c r="Z367" s="27">
        <f>IF(combined_tbl!$Q367&gt;=500,0.2, IF(combined_tbl!$Q367&gt;=200,0.05, IF(combined_tbl!$X367&gt;=2,0.05,0)))</f>
        <v>0</v>
      </c>
      <c r="AA367" s="26">
        <f>combined_tbl!$Y367*combined_tbl!$X367</f>
        <v>78.44</v>
      </c>
      <c r="AB367" s="28">
        <f>(combined_tbl!$Q367*(1+combined_tbl!$Z367)-combined_tbl!$P367)*combined_tbl!$X367</f>
        <v>25.439999999999998</v>
      </c>
    </row>
    <row r="368" spans="1:28" x14ac:dyDescent="0.3">
      <c r="A368" s="29">
        <v>367</v>
      </c>
      <c r="B368" s="25" cm="1">
        <f t="array" aca="1" ref="B368" ca="1">MIN(IF($E:$E=E368,$H:$H))</f>
        <v>45182</v>
      </c>
      <c r="C368" s="25">
        <f t="shared" ca="1" si="58"/>
        <v>26</v>
      </c>
      <c r="D368" s="43">
        <f ca="1">COUNTIF(E:E,combined_tbl!$E368)</f>
        <v>13</v>
      </c>
      <c r="E368" s="29" t="str">
        <f t="shared" ca="1" si="64"/>
        <v>Customer024</v>
      </c>
      <c r="F368" s="29" t="str" cm="1">
        <f t="array" aca="1" ref="F368" ca="1">INDEX({"Male","Female"}, RANDBETWEEN(1,2))</f>
        <v>Male</v>
      </c>
      <c r="G368" s="29" t="str">
        <f t="shared" ca="1" si="57"/>
        <v>East</v>
      </c>
      <c r="H368" s="48">
        <f t="shared" ca="1" si="59"/>
        <v>45182</v>
      </c>
      <c r="I368" s="24">
        <f t="shared" ca="1" si="60"/>
        <v>13</v>
      </c>
      <c r="J368" s="46" t="str">
        <f t="shared" ca="1" si="65"/>
        <v>September</v>
      </c>
      <c r="K368" s="24">
        <f t="shared" ca="1" si="61"/>
        <v>2023</v>
      </c>
      <c r="L368" s="24" t="str">
        <f t="shared" ca="1" si="62"/>
        <v>Platinum</v>
      </c>
      <c r="M368" s="29">
        <v>368</v>
      </c>
      <c r="N368" s="29" t="s">
        <v>957</v>
      </c>
      <c r="O368" s="29" t="s">
        <v>1226</v>
      </c>
      <c r="P368" s="30">
        <v>146</v>
      </c>
      <c r="Q368" s="30">
        <v>208.78</v>
      </c>
      <c r="R368" s="29">
        <v>368</v>
      </c>
      <c r="S368" s="24" t="str">
        <f t="shared" si="63"/>
        <v>Oct</v>
      </c>
      <c r="T368" s="47">
        <v>45573</v>
      </c>
      <c r="U368" s="29">
        <v>5</v>
      </c>
      <c r="V368" s="38">
        <v>206</v>
      </c>
      <c r="W368" s="29">
        <v>59</v>
      </c>
      <c r="X368" s="29">
        <v>1</v>
      </c>
      <c r="Y368" s="30">
        <f>combined_tbl!$Q368*(1-combined_tbl!$Z368)</f>
        <v>198.34099999999998</v>
      </c>
      <c r="Z368" s="31">
        <f>IF(combined_tbl!$Q368&gt;=500,0.2, IF(combined_tbl!$Q368&gt;=200,0.05, IF(combined_tbl!$X368&gt;=2,0.05,0)))</f>
        <v>0.05</v>
      </c>
      <c r="AA368" s="30">
        <f>combined_tbl!$Y368*combined_tbl!$X368</f>
        <v>198.34099999999998</v>
      </c>
      <c r="AB368" s="32">
        <f>(combined_tbl!$Q368*(1+combined_tbl!$Z368)-combined_tbl!$P368)*combined_tbl!$X368</f>
        <v>73.219000000000023</v>
      </c>
    </row>
    <row r="369" spans="1:28" x14ac:dyDescent="0.3">
      <c r="A369" s="29">
        <v>368</v>
      </c>
      <c r="B369" s="25" cm="1">
        <f t="array" aca="1" ref="B369" ca="1">MIN(IF($E:$E=E369,$H:$H))</f>
        <v>44992</v>
      </c>
      <c r="C369" s="25">
        <f t="shared" ca="1" si="58"/>
        <v>32</v>
      </c>
      <c r="D369" s="42">
        <f ca="1">COUNTIF(E:E,combined_tbl!$E369)</f>
        <v>8</v>
      </c>
      <c r="E369" s="24" t="str">
        <f t="shared" ca="1" si="64"/>
        <v>Customer020</v>
      </c>
      <c r="F369" s="24" t="str" cm="1">
        <f t="array" aca="1" ref="F369" ca="1">INDEX({"Male","Female"}, RANDBETWEEN(1,2))</f>
        <v>Female</v>
      </c>
      <c r="G369" s="29" t="str">
        <f t="shared" ca="1" si="57"/>
        <v>South</v>
      </c>
      <c r="H369" s="48">
        <f t="shared" ca="1" si="59"/>
        <v>44992</v>
      </c>
      <c r="I369" s="24">
        <f t="shared" ca="1" si="60"/>
        <v>7</v>
      </c>
      <c r="J369" s="46" t="str">
        <f t="shared" ca="1" si="65"/>
        <v>March</v>
      </c>
      <c r="K369" s="24">
        <f t="shared" ca="1" si="61"/>
        <v>2023</v>
      </c>
      <c r="L369" s="24" t="str">
        <f t="shared" ca="1" si="62"/>
        <v>Gold</v>
      </c>
      <c r="M369" s="24">
        <v>369</v>
      </c>
      <c r="N369" s="24" t="s">
        <v>957</v>
      </c>
      <c r="O369" s="24" t="s">
        <v>1227</v>
      </c>
      <c r="P369" s="26">
        <v>73</v>
      </c>
      <c r="Q369" s="26">
        <v>106.58</v>
      </c>
      <c r="R369" s="24">
        <v>369</v>
      </c>
      <c r="S369" s="24" t="str">
        <f t="shared" si="63"/>
        <v>Mar</v>
      </c>
      <c r="T369" s="46">
        <v>45742</v>
      </c>
      <c r="U369" s="24">
        <v>8</v>
      </c>
      <c r="V369" s="37">
        <v>11</v>
      </c>
      <c r="W369" s="24">
        <v>40</v>
      </c>
      <c r="X369" s="24">
        <v>1</v>
      </c>
      <c r="Y369" s="26">
        <f>combined_tbl!$Q369*(1-combined_tbl!$Z369)</f>
        <v>106.58</v>
      </c>
      <c r="Z369" s="27">
        <f>IF(combined_tbl!$Q369&gt;=500,0.2, IF(combined_tbl!$Q369&gt;=200,0.05, IF(combined_tbl!$X369&gt;=2,0.05,0)))</f>
        <v>0</v>
      </c>
      <c r="AA369" s="26">
        <f>combined_tbl!$Y369*combined_tbl!$X369</f>
        <v>106.58</v>
      </c>
      <c r="AB369" s="28">
        <f>(combined_tbl!$Q369*(1+combined_tbl!$Z369)-combined_tbl!$P369)*combined_tbl!$X369</f>
        <v>33.58</v>
      </c>
    </row>
    <row r="370" spans="1:28" x14ac:dyDescent="0.3">
      <c r="A370" s="19">
        <v>369</v>
      </c>
      <c r="B370" s="25" cm="1">
        <f t="array" aca="1" ref="B370" ca="1">MIN(IF($E:$E=E370,$H:$H))</f>
        <v>45297</v>
      </c>
      <c r="C370" s="25">
        <f t="shared" ca="1" si="58"/>
        <v>22</v>
      </c>
      <c r="D370" s="43">
        <f ca="1">COUNTIF(E:E,combined_tbl!$E370)</f>
        <v>8</v>
      </c>
      <c r="E370" s="29" t="str">
        <f t="shared" ca="1" si="64"/>
        <v>Customer010</v>
      </c>
      <c r="F370" s="29" t="str" cm="1">
        <f t="array" aca="1" ref="F370" ca="1">INDEX({"Male","Female"}, RANDBETWEEN(1,2))</f>
        <v>Female</v>
      </c>
      <c r="G370" s="29" t="str">
        <f t="shared" ca="1" si="57"/>
        <v>East</v>
      </c>
      <c r="H370" s="48">
        <f t="shared" ca="1" si="59"/>
        <v>45297</v>
      </c>
      <c r="I370" s="24">
        <f t="shared" ca="1" si="60"/>
        <v>6</v>
      </c>
      <c r="J370" s="46" t="str">
        <f t="shared" ca="1" si="65"/>
        <v>January</v>
      </c>
      <c r="K370" s="24">
        <f t="shared" ca="1" si="61"/>
        <v>2024</v>
      </c>
      <c r="L370" s="24" t="str">
        <f t="shared" ca="1" si="62"/>
        <v>Gold</v>
      </c>
      <c r="M370" s="29">
        <v>370</v>
      </c>
      <c r="N370" s="29" t="s">
        <v>872</v>
      </c>
      <c r="O370" s="29" t="s">
        <v>1228</v>
      </c>
      <c r="P370" s="30">
        <v>82</v>
      </c>
      <c r="Q370" s="30">
        <v>120.53999999999999</v>
      </c>
      <c r="R370" s="29">
        <v>370</v>
      </c>
      <c r="S370" s="24" t="str">
        <f t="shared" si="63"/>
        <v>Jun</v>
      </c>
      <c r="T370" s="47">
        <v>45445</v>
      </c>
      <c r="U370" s="29">
        <v>1</v>
      </c>
      <c r="V370" s="38">
        <v>189</v>
      </c>
      <c r="W370" s="29">
        <v>66</v>
      </c>
      <c r="X370" s="29">
        <v>1</v>
      </c>
      <c r="Y370" s="30">
        <f>combined_tbl!$Q370*(1-combined_tbl!$Z370)</f>
        <v>120.53999999999999</v>
      </c>
      <c r="Z370" s="31">
        <f>IF(combined_tbl!$Q370&gt;=500,0.2, IF(combined_tbl!$Q370&gt;=200,0.05, IF(combined_tbl!$X370&gt;=2,0.05,0)))</f>
        <v>0</v>
      </c>
      <c r="AA370" s="30">
        <f>combined_tbl!$Y370*combined_tbl!$X370</f>
        <v>120.53999999999999</v>
      </c>
      <c r="AB370" s="32">
        <f>(combined_tbl!$Q370*(1+combined_tbl!$Z370)-combined_tbl!$P370)*combined_tbl!$X370</f>
        <v>38.539999999999992</v>
      </c>
    </row>
    <row r="371" spans="1:28" x14ac:dyDescent="0.3">
      <c r="A371" s="24">
        <v>370</v>
      </c>
      <c r="B371" s="25" cm="1">
        <f t="array" aca="1" ref="B371" ca="1">MIN(IF($E:$E=E371,$H:$H))</f>
        <v>45743</v>
      </c>
      <c r="C371" s="25">
        <f t="shared" ca="1" si="58"/>
        <v>8</v>
      </c>
      <c r="D371" s="42">
        <f ca="1">COUNTIF(E:E,combined_tbl!$E371)</f>
        <v>5</v>
      </c>
      <c r="E371" s="24" t="str">
        <f t="shared" ca="1" si="64"/>
        <v>Customer031</v>
      </c>
      <c r="F371" s="24" t="str" cm="1">
        <f t="array" aca="1" ref="F371" ca="1">INDEX({"Male","Female"}, RANDBETWEEN(1,2))</f>
        <v>Male</v>
      </c>
      <c r="G371" s="29" t="str">
        <f t="shared" ca="1" si="57"/>
        <v>South</v>
      </c>
      <c r="H371" s="48">
        <f t="shared" ca="1" si="59"/>
        <v>45743</v>
      </c>
      <c r="I371" s="24">
        <f t="shared" ca="1" si="60"/>
        <v>27</v>
      </c>
      <c r="J371" s="46" t="str">
        <f t="shared" ca="1" si="65"/>
        <v>March</v>
      </c>
      <c r="K371" s="24">
        <f t="shared" ca="1" si="61"/>
        <v>2025</v>
      </c>
      <c r="L371" s="24" t="str">
        <f t="shared" ca="1" si="62"/>
        <v>Bronze</v>
      </c>
      <c r="M371" s="24">
        <v>371</v>
      </c>
      <c r="N371" s="24" t="s">
        <v>831</v>
      </c>
      <c r="O371" s="24" t="s">
        <v>1229</v>
      </c>
      <c r="P371" s="26">
        <v>153</v>
      </c>
      <c r="Q371" s="26">
        <v>183.6</v>
      </c>
      <c r="R371" s="24">
        <v>371</v>
      </c>
      <c r="S371" s="24" t="str">
        <f t="shared" si="63"/>
        <v>Jan</v>
      </c>
      <c r="T371" s="46">
        <v>45318</v>
      </c>
      <c r="U371" s="24">
        <v>5</v>
      </c>
      <c r="V371" s="37">
        <v>112</v>
      </c>
      <c r="W371" s="24">
        <v>11</v>
      </c>
      <c r="X371" s="24">
        <v>1</v>
      </c>
      <c r="Y371" s="26">
        <f>combined_tbl!$Q371*(1-combined_tbl!$Z371)</f>
        <v>183.6</v>
      </c>
      <c r="Z371" s="27">
        <f>IF(combined_tbl!$Q371&gt;=500,0.2, IF(combined_tbl!$Q371&gt;=200,0.05, IF(combined_tbl!$X371&gt;=2,0.05,0)))</f>
        <v>0</v>
      </c>
      <c r="AA371" s="26">
        <f>combined_tbl!$Y371*combined_tbl!$X371</f>
        <v>183.6</v>
      </c>
      <c r="AB371" s="28">
        <f>(combined_tbl!$Q371*(1+combined_tbl!$Z371)-combined_tbl!$P371)*combined_tbl!$X371</f>
        <v>30.599999999999994</v>
      </c>
    </row>
    <row r="372" spans="1:28" x14ac:dyDescent="0.3">
      <c r="A372" s="29">
        <v>371</v>
      </c>
      <c r="B372" s="25" cm="1">
        <f t="array" aca="1" ref="B372" ca="1">MIN(IF($E:$E=E372,$H:$H))</f>
        <v>44966</v>
      </c>
      <c r="C372" s="25">
        <f t="shared" ca="1" si="58"/>
        <v>33</v>
      </c>
      <c r="D372" s="43">
        <f ca="1">COUNTIF(E:E,combined_tbl!$E372)</f>
        <v>5</v>
      </c>
      <c r="E372" s="29" t="str">
        <f t="shared" ca="1" si="64"/>
        <v>Customer091</v>
      </c>
      <c r="F372" s="29" t="str" cm="1">
        <f t="array" aca="1" ref="F372" ca="1">INDEX({"Male","Female"}, RANDBETWEEN(1,2))</f>
        <v>Male</v>
      </c>
      <c r="G372" s="29" t="str">
        <f t="shared" ca="1" si="57"/>
        <v>East</v>
      </c>
      <c r="H372" s="48">
        <f t="shared" ca="1" si="59"/>
        <v>44966</v>
      </c>
      <c r="I372" s="24">
        <f t="shared" ca="1" si="60"/>
        <v>9</v>
      </c>
      <c r="J372" s="46" t="str">
        <f t="shared" ca="1" si="65"/>
        <v>February</v>
      </c>
      <c r="K372" s="24">
        <f t="shared" ca="1" si="61"/>
        <v>2023</v>
      </c>
      <c r="L372" s="24" t="str">
        <f t="shared" ca="1" si="62"/>
        <v>Silver</v>
      </c>
      <c r="M372" s="29">
        <v>372</v>
      </c>
      <c r="N372" s="29" t="s">
        <v>831</v>
      </c>
      <c r="O372" s="29" t="s">
        <v>1230</v>
      </c>
      <c r="P372" s="30">
        <v>339</v>
      </c>
      <c r="Q372" s="30">
        <v>423.75</v>
      </c>
      <c r="R372" s="29">
        <v>372</v>
      </c>
      <c r="S372" s="24" t="str">
        <f t="shared" si="63"/>
        <v>Jan</v>
      </c>
      <c r="T372" s="47">
        <v>45658</v>
      </c>
      <c r="U372" s="29">
        <v>1</v>
      </c>
      <c r="V372" s="38">
        <v>135</v>
      </c>
      <c r="W372" s="29">
        <v>14</v>
      </c>
      <c r="X372" s="29">
        <v>2</v>
      </c>
      <c r="Y372" s="30">
        <f>combined_tbl!$Q372*(1-combined_tbl!$Z372)</f>
        <v>402.5625</v>
      </c>
      <c r="Z372" s="31">
        <f>IF(combined_tbl!$Q372&gt;=500,0.2, IF(combined_tbl!$Q372&gt;=200,0.05, IF(combined_tbl!$X372&gt;=2,0.05,0)))</f>
        <v>0.05</v>
      </c>
      <c r="AA372" s="30">
        <f>combined_tbl!$Y372*combined_tbl!$X372</f>
        <v>805.125</v>
      </c>
      <c r="AB372" s="32">
        <f>(combined_tbl!$Q372*(1+combined_tbl!$Z372)-combined_tbl!$P372)*combined_tbl!$X372</f>
        <v>211.875</v>
      </c>
    </row>
    <row r="373" spans="1:28" x14ac:dyDescent="0.3">
      <c r="A373" s="29">
        <v>372</v>
      </c>
      <c r="B373" s="25" cm="1">
        <f t="array" aca="1" ref="B373" ca="1">MIN(IF($E:$E=E373,$H:$H))</f>
        <v>45713</v>
      </c>
      <c r="C373" s="25">
        <f t="shared" ca="1" si="58"/>
        <v>9</v>
      </c>
      <c r="D373" s="42">
        <f ca="1">COUNTIF(E:E,combined_tbl!$E373)</f>
        <v>2</v>
      </c>
      <c r="E373" s="24" t="str">
        <f t="shared" ca="1" si="64"/>
        <v>Customer043</v>
      </c>
      <c r="F373" s="24" t="str" cm="1">
        <f t="array" aca="1" ref="F373" ca="1">INDEX({"Male","Female"}, RANDBETWEEN(1,2))</f>
        <v>Male</v>
      </c>
      <c r="G373" s="29" t="str">
        <f t="shared" ca="1" si="57"/>
        <v>West</v>
      </c>
      <c r="H373" s="48">
        <f t="shared" ca="1" si="59"/>
        <v>45713</v>
      </c>
      <c r="I373" s="24">
        <f t="shared" ca="1" si="60"/>
        <v>25</v>
      </c>
      <c r="J373" s="46" t="str">
        <f t="shared" ca="1" si="65"/>
        <v>February</v>
      </c>
      <c r="K373" s="24">
        <f t="shared" ca="1" si="61"/>
        <v>2025</v>
      </c>
      <c r="L373" s="24" t="str">
        <f t="shared" ca="1" si="62"/>
        <v>Bronze</v>
      </c>
      <c r="M373" s="24">
        <v>373</v>
      </c>
      <c r="N373" s="24" t="s">
        <v>851</v>
      </c>
      <c r="O373" s="24" t="s">
        <v>1231</v>
      </c>
      <c r="P373" s="26">
        <v>237</v>
      </c>
      <c r="Q373" s="26">
        <v>286.77</v>
      </c>
      <c r="R373" s="24">
        <v>373</v>
      </c>
      <c r="S373" s="24" t="str">
        <f t="shared" si="63"/>
        <v>Nov</v>
      </c>
      <c r="T373" s="46">
        <v>45606</v>
      </c>
      <c r="U373" s="24">
        <v>5</v>
      </c>
      <c r="V373" s="37">
        <v>188</v>
      </c>
      <c r="W373" s="24">
        <v>45</v>
      </c>
      <c r="X373" s="24">
        <v>1</v>
      </c>
      <c r="Y373" s="26">
        <f>combined_tbl!$Q373*(1-combined_tbl!$Z373)</f>
        <v>272.43149999999997</v>
      </c>
      <c r="Z373" s="27">
        <f>IF(combined_tbl!$Q373&gt;=500,0.2, IF(combined_tbl!$Q373&gt;=200,0.05, IF(combined_tbl!$X373&gt;=2,0.05,0)))</f>
        <v>0.05</v>
      </c>
      <c r="AA373" s="26">
        <f>combined_tbl!$Y373*combined_tbl!$X373</f>
        <v>272.43149999999997</v>
      </c>
      <c r="AB373" s="28">
        <f>(combined_tbl!$Q373*(1+combined_tbl!$Z373)-combined_tbl!$P373)*combined_tbl!$X373</f>
        <v>64.108499999999992</v>
      </c>
    </row>
    <row r="374" spans="1:28" x14ac:dyDescent="0.3">
      <c r="A374" s="29">
        <v>373</v>
      </c>
      <c r="B374" s="25" cm="1">
        <f t="array" aca="1" ref="B374" ca="1">MIN(IF($E:$E=E374,$H:$H))</f>
        <v>45270</v>
      </c>
      <c r="C374" s="25">
        <f t="shared" ca="1" si="58"/>
        <v>23</v>
      </c>
      <c r="D374" s="43">
        <f ca="1">COUNTIF(E:E,combined_tbl!$E374)</f>
        <v>3</v>
      </c>
      <c r="E374" s="29" t="str">
        <f t="shared" ca="1" si="64"/>
        <v>Customer094</v>
      </c>
      <c r="F374" s="29" t="str" cm="1">
        <f t="array" aca="1" ref="F374" ca="1">INDEX({"Male","Female"}, RANDBETWEEN(1,2))</f>
        <v>Male</v>
      </c>
      <c r="G374" s="29" t="str">
        <f t="shared" ca="1" si="57"/>
        <v>North</v>
      </c>
      <c r="H374" s="48">
        <f t="shared" ca="1" si="59"/>
        <v>45270</v>
      </c>
      <c r="I374" s="24">
        <f t="shared" ca="1" si="60"/>
        <v>10</v>
      </c>
      <c r="J374" s="46" t="str">
        <f t="shared" ca="1" si="65"/>
        <v>December</v>
      </c>
      <c r="K374" s="24">
        <f t="shared" ca="1" si="61"/>
        <v>2023</v>
      </c>
      <c r="L374" s="24" t="str">
        <f t="shared" ca="1" si="62"/>
        <v>Silver</v>
      </c>
      <c r="M374" s="29">
        <v>374</v>
      </c>
      <c r="N374" s="29" t="s">
        <v>955</v>
      </c>
      <c r="O374" s="29" t="s">
        <v>1232</v>
      </c>
      <c r="P374" s="30">
        <v>407</v>
      </c>
      <c r="Q374" s="30">
        <v>582.01</v>
      </c>
      <c r="R374" s="29">
        <v>374</v>
      </c>
      <c r="S374" s="24" t="str">
        <f t="shared" si="63"/>
        <v>Sep</v>
      </c>
      <c r="T374" s="47">
        <v>45181</v>
      </c>
      <c r="U374" s="29">
        <v>6</v>
      </c>
      <c r="V374" s="38">
        <v>13</v>
      </c>
      <c r="W374" s="29">
        <v>5</v>
      </c>
      <c r="X374" s="29">
        <v>2</v>
      </c>
      <c r="Y374" s="30">
        <f>combined_tbl!$Q374*(1-combined_tbl!$Z374)</f>
        <v>465.608</v>
      </c>
      <c r="Z374" s="31">
        <f>IF(combined_tbl!$Q374&gt;=500,0.2, IF(combined_tbl!$Q374&gt;=200,0.05, IF(combined_tbl!$X374&gt;=2,0.05,0)))</f>
        <v>0.2</v>
      </c>
      <c r="AA374" s="30">
        <f>combined_tbl!$Y374*combined_tbl!$X374</f>
        <v>931.21600000000001</v>
      </c>
      <c r="AB374" s="32">
        <f>(combined_tbl!$Q374*(1+combined_tbl!$Z374)-combined_tbl!$P374)*combined_tbl!$X374</f>
        <v>582.82399999999984</v>
      </c>
    </row>
    <row r="375" spans="1:28" x14ac:dyDescent="0.3">
      <c r="A375" s="29">
        <v>374</v>
      </c>
      <c r="B375" s="25" cm="1">
        <f t="array" aca="1" ref="B375" ca="1">MIN(IF($E:$E=E375,$H:$H))</f>
        <v>45002</v>
      </c>
      <c r="C375" s="25">
        <f t="shared" ca="1" si="58"/>
        <v>32</v>
      </c>
      <c r="D375" s="42">
        <f ca="1">COUNTIF(E:E,combined_tbl!$E375)</f>
        <v>1</v>
      </c>
      <c r="E375" s="24" t="str">
        <f t="shared" ca="1" si="64"/>
        <v>Customer128</v>
      </c>
      <c r="F375" s="24" t="str" cm="1">
        <f t="array" aca="1" ref="F375" ca="1">INDEX({"Male","Female"}, RANDBETWEEN(1,2))</f>
        <v>Male</v>
      </c>
      <c r="G375" s="29" t="str">
        <f t="shared" ref="G375:G438" ca="1" si="66">_xlfn.XLOOKUP(E375,AI$1:AI$139,AF$2:AF$140)</f>
        <v>East</v>
      </c>
      <c r="H375" s="48">
        <f t="shared" ca="1" si="59"/>
        <v>45002</v>
      </c>
      <c r="I375" s="24">
        <f t="shared" ca="1" si="60"/>
        <v>17</v>
      </c>
      <c r="J375" s="46" t="str">
        <f t="shared" ca="1" si="65"/>
        <v>March</v>
      </c>
      <c r="K375" s="24">
        <f t="shared" ca="1" si="61"/>
        <v>2023</v>
      </c>
      <c r="L375" s="24" t="str">
        <f t="shared" ca="1" si="62"/>
        <v>Bronze</v>
      </c>
      <c r="M375" s="24">
        <v>375</v>
      </c>
      <c r="N375" s="24" t="s">
        <v>957</v>
      </c>
      <c r="O375" s="24" t="s">
        <v>1233</v>
      </c>
      <c r="P375" s="26">
        <v>19</v>
      </c>
      <c r="Q375" s="26">
        <v>26.599999999999998</v>
      </c>
      <c r="R375" s="24">
        <v>375</v>
      </c>
      <c r="S375" s="24" t="str">
        <f t="shared" si="63"/>
        <v>Jun</v>
      </c>
      <c r="T375" s="46">
        <v>45821</v>
      </c>
      <c r="U375" s="24">
        <v>7</v>
      </c>
      <c r="V375" s="37">
        <v>3</v>
      </c>
      <c r="W375" s="24">
        <v>71</v>
      </c>
      <c r="X375" s="24">
        <v>1</v>
      </c>
      <c r="Y375" s="26">
        <f>combined_tbl!$Q375*(1-combined_tbl!$Z375)</f>
        <v>26.599999999999998</v>
      </c>
      <c r="Z375" s="27">
        <f>IF(combined_tbl!$Q375&gt;=500,0.2, IF(combined_tbl!$Q375&gt;=200,0.05, IF(combined_tbl!$X375&gt;=2,0.05,0)))</f>
        <v>0</v>
      </c>
      <c r="AA375" s="26">
        <f>combined_tbl!$Y375*combined_tbl!$X375</f>
        <v>26.599999999999998</v>
      </c>
      <c r="AB375" s="28">
        <f>(combined_tbl!$Q375*(1+combined_tbl!$Z375)-combined_tbl!$P375)*combined_tbl!$X375</f>
        <v>7.5999999999999979</v>
      </c>
    </row>
    <row r="376" spans="1:28" x14ac:dyDescent="0.3">
      <c r="A376" s="29">
        <v>375</v>
      </c>
      <c r="B376" s="25" cm="1">
        <f t="array" aca="1" ref="B376" ca="1">MIN(IF($E:$E=E376,$H:$H))</f>
        <v>45608</v>
      </c>
      <c r="C376" s="25">
        <f t="shared" ca="1" si="58"/>
        <v>12</v>
      </c>
      <c r="D376" s="43">
        <f ca="1">COUNTIF(E:E,combined_tbl!$E376)</f>
        <v>5</v>
      </c>
      <c r="E376" s="29" t="str">
        <f t="shared" ca="1" si="64"/>
        <v>Customer041</v>
      </c>
      <c r="F376" s="29" t="str" cm="1">
        <f t="array" aca="1" ref="F376" ca="1">INDEX({"Male","Female"}, RANDBETWEEN(1,2))</f>
        <v>Female</v>
      </c>
      <c r="G376" s="29" t="str">
        <f t="shared" ca="1" si="66"/>
        <v>West</v>
      </c>
      <c r="H376" s="48">
        <f t="shared" ca="1" si="59"/>
        <v>45608</v>
      </c>
      <c r="I376" s="24">
        <f t="shared" ca="1" si="60"/>
        <v>12</v>
      </c>
      <c r="J376" s="46" t="str">
        <f t="shared" ca="1" si="65"/>
        <v>November</v>
      </c>
      <c r="K376" s="24">
        <f t="shared" ca="1" si="61"/>
        <v>2024</v>
      </c>
      <c r="L376" s="24" t="str">
        <f t="shared" ca="1" si="62"/>
        <v>Silver</v>
      </c>
      <c r="M376" s="29">
        <v>376</v>
      </c>
      <c r="N376" s="29" t="s">
        <v>831</v>
      </c>
      <c r="O376" s="29" t="s">
        <v>1234</v>
      </c>
      <c r="P376" s="30">
        <v>31</v>
      </c>
      <c r="Q376" s="30">
        <v>38.130000000000003</v>
      </c>
      <c r="R376" s="29">
        <v>376</v>
      </c>
      <c r="S376" s="24" t="str">
        <f t="shared" si="63"/>
        <v>Jun</v>
      </c>
      <c r="T376" s="47">
        <v>45827</v>
      </c>
      <c r="U376" s="29">
        <v>7</v>
      </c>
      <c r="V376" s="38">
        <v>188</v>
      </c>
      <c r="W376" s="29">
        <v>68</v>
      </c>
      <c r="X376" s="29">
        <v>1</v>
      </c>
      <c r="Y376" s="30">
        <f>combined_tbl!$Q376*(1-combined_tbl!$Z376)</f>
        <v>38.130000000000003</v>
      </c>
      <c r="Z376" s="31">
        <f>IF(combined_tbl!$Q376&gt;=500,0.2, IF(combined_tbl!$Q376&gt;=200,0.05, IF(combined_tbl!$X376&gt;=2,0.05,0)))</f>
        <v>0</v>
      </c>
      <c r="AA376" s="30">
        <f>combined_tbl!$Y376*combined_tbl!$X376</f>
        <v>38.130000000000003</v>
      </c>
      <c r="AB376" s="32">
        <f>(combined_tbl!$Q376*(1+combined_tbl!$Z376)-combined_tbl!$P376)*combined_tbl!$X376</f>
        <v>7.1300000000000026</v>
      </c>
    </row>
    <row r="377" spans="1:28" x14ac:dyDescent="0.3">
      <c r="A377" s="29">
        <v>376</v>
      </c>
      <c r="B377" s="25" cm="1">
        <f t="array" aca="1" ref="B377" ca="1">MIN(IF($E:$E=E377,$H:$H))</f>
        <v>45111</v>
      </c>
      <c r="C377" s="25">
        <f t="shared" ca="1" si="58"/>
        <v>29</v>
      </c>
      <c r="D377" s="42">
        <f ca="1">COUNTIF(E:E,combined_tbl!$E377)</f>
        <v>5</v>
      </c>
      <c r="E377" s="24" t="str">
        <f t="shared" ca="1" si="64"/>
        <v>Customer062</v>
      </c>
      <c r="F377" s="24" t="str" cm="1">
        <f t="array" aca="1" ref="F377" ca="1">INDEX({"Male","Female"}, RANDBETWEEN(1,2))</f>
        <v>Male</v>
      </c>
      <c r="G377" s="29" t="str">
        <f t="shared" ca="1" si="66"/>
        <v>South</v>
      </c>
      <c r="H377" s="48">
        <f t="shared" ca="1" si="59"/>
        <v>45111</v>
      </c>
      <c r="I377" s="24">
        <f t="shared" ca="1" si="60"/>
        <v>4</v>
      </c>
      <c r="J377" s="46" t="str">
        <f t="shared" ca="1" si="65"/>
        <v>July</v>
      </c>
      <c r="K377" s="24">
        <f t="shared" ca="1" si="61"/>
        <v>2023</v>
      </c>
      <c r="L377" s="24" t="str">
        <f t="shared" ca="1" si="62"/>
        <v>Silver</v>
      </c>
      <c r="M377" s="24">
        <v>377</v>
      </c>
      <c r="N377" s="24" t="s">
        <v>1359</v>
      </c>
      <c r="O377" s="24" t="s">
        <v>1235</v>
      </c>
      <c r="P377" s="26">
        <v>326</v>
      </c>
      <c r="Q377" s="26">
        <v>404.24</v>
      </c>
      <c r="R377" s="24">
        <v>377</v>
      </c>
      <c r="S377" s="24" t="str">
        <f t="shared" si="63"/>
        <v>Nov</v>
      </c>
      <c r="T377" s="46">
        <v>45621</v>
      </c>
      <c r="U377" s="24">
        <v>3</v>
      </c>
      <c r="V377" s="37">
        <v>218</v>
      </c>
      <c r="W377" s="24">
        <v>21</v>
      </c>
      <c r="X377" s="24">
        <v>1</v>
      </c>
      <c r="Y377" s="26">
        <f>combined_tbl!$Q377*(1-combined_tbl!$Z377)</f>
        <v>384.02799999999996</v>
      </c>
      <c r="Z377" s="27">
        <f>IF(combined_tbl!$Q377&gt;=500,0.2, IF(combined_tbl!$Q377&gt;=200,0.05, IF(combined_tbl!$X377&gt;=2,0.05,0)))</f>
        <v>0.05</v>
      </c>
      <c r="AA377" s="26">
        <f>combined_tbl!$Y377*combined_tbl!$X377</f>
        <v>384.02799999999996</v>
      </c>
      <c r="AB377" s="28">
        <f>(combined_tbl!$Q377*(1+combined_tbl!$Z377)-combined_tbl!$P377)*combined_tbl!$X377</f>
        <v>98.452000000000055</v>
      </c>
    </row>
    <row r="378" spans="1:28" x14ac:dyDescent="0.3">
      <c r="A378" s="19">
        <v>377</v>
      </c>
      <c r="B378" s="25" cm="1">
        <f t="array" aca="1" ref="B378" ca="1">MIN(IF($E:$E=E378,$H:$H))</f>
        <v>45787</v>
      </c>
      <c r="C378" s="25">
        <f t="shared" ca="1" si="58"/>
        <v>6</v>
      </c>
      <c r="D378" s="43">
        <f ca="1">COUNTIF(E:E,combined_tbl!$E378)</f>
        <v>8</v>
      </c>
      <c r="E378" s="29" t="str">
        <f t="shared" ca="1" si="64"/>
        <v>Customer006</v>
      </c>
      <c r="F378" s="29" t="str" cm="1">
        <f t="array" aca="1" ref="F378" ca="1">INDEX({"Male","Female"}, RANDBETWEEN(1,2))</f>
        <v>Male</v>
      </c>
      <c r="G378" s="29" t="str">
        <f t="shared" ca="1" si="66"/>
        <v>North</v>
      </c>
      <c r="H378" s="48">
        <f t="shared" ca="1" si="59"/>
        <v>45787</v>
      </c>
      <c r="I378" s="24">
        <f t="shared" ca="1" si="60"/>
        <v>10</v>
      </c>
      <c r="J378" s="46" t="str">
        <f t="shared" ca="1" si="65"/>
        <v>May</v>
      </c>
      <c r="K378" s="24">
        <f t="shared" ca="1" si="61"/>
        <v>2025</v>
      </c>
      <c r="L378" s="24" t="str">
        <f t="shared" ca="1" si="62"/>
        <v>Bronze</v>
      </c>
      <c r="M378" s="29">
        <v>378</v>
      </c>
      <c r="N378" s="29" t="s">
        <v>872</v>
      </c>
      <c r="O378" s="29" t="s">
        <v>1236</v>
      </c>
      <c r="P378" s="30">
        <v>125</v>
      </c>
      <c r="Q378" s="30">
        <v>175</v>
      </c>
      <c r="R378" s="29">
        <v>378</v>
      </c>
      <c r="S378" s="24" t="str">
        <f t="shared" si="63"/>
        <v>Oct</v>
      </c>
      <c r="T378" s="47">
        <v>45943</v>
      </c>
      <c r="U378" s="29">
        <v>8</v>
      </c>
      <c r="V378" s="38">
        <v>63</v>
      </c>
      <c r="W378" s="29">
        <v>42</v>
      </c>
      <c r="X378" s="29">
        <v>2</v>
      </c>
      <c r="Y378" s="30">
        <f>combined_tbl!$Q378*(1-combined_tbl!$Z378)</f>
        <v>166.25</v>
      </c>
      <c r="Z378" s="31">
        <f>IF(combined_tbl!$Q378&gt;=500,0.2, IF(combined_tbl!$Q378&gt;=200,0.05, IF(combined_tbl!$X378&gt;=2,0.05,0)))</f>
        <v>0.05</v>
      </c>
      <c r="AA378" s="30">
        <f>combined_tbl!$Y378*combined_tbl!$X378</f>
        <v>332.5</v>
      </c>
      <c r="AB378" s="32">
        <f>(combined_tbl!$Q378*(1+combined_tbl!$Z378)-combined_tbl!$P378)*combined_tbl!$X378</f>
        <v>117.5</v>
      </c>
    </row>
    <row r="379" spans="1:28" x14ac:dyDescent="0.3">
      <c r="A379" s="24">
        <v>378</v>
      </c>
      <c r="B379" s="25" cm="1">
        <f t="array" aca="1" ref="B379" ca="1">MIN(IF($E:$E=E379,$H:$H))</f>
        <v>45260</v>
      </c>
      <c r="C379" s="25">
        <f t="shared" ca="1" si="58"/>
        <v>24</v>
      </c>
      <c r="D379" s="42">
        <f ca="1">COUNTIF(E:E,combined_tbl!$E379)</f>
        <v>13</v>
      </c>
      <c r="E379" s="24" t="str">
        <f t="shared" ca="1" si="64"/>
        <v>Customer001</v>
      </c>
      <c r="F379" s="24" t="str" cm="1">
        <f t="array" aca="1" ref="F379" ca="1">INDEX({"Male","Female"}, RANDBETWEEN(1,2))</f>
        <v>Male</v>
      </c>
      <c r="G379" s="29" t="str">
        <f t="shared" ca="1" si="66"/>
        <v>South</v>
      </c>
      <c r="H379" s="48">
        <f t="shared" ca="1" si="59"/>
        <v>45260</v>
      </c>
      <c r="I379" s="24">
        <f t="shared" ca="1" si="60"/>
        <v>30</v>
      </c>
      <c r="J379" s="46" t="str">
        <f t="shared" ca="1" si="65"/>
        <v>November</v>
      </c>
      <c r="K379" s="24">
        <f t="shared" ca="1" si="61"/>
        <v>2023</v>
      </c>
      <c r="L379" s="24" t="str">
        <f t="shared" ca="1" si="62"/>
        <v>Platinum</v>
      </c>
      <c r="M379" s="24">
        <v>379</v>
      </c>
      <c r="N379" s="24" t="s">
        <v>1359</v>
      </c>
      <c r="O379" s="24" t="s">
        <v>1237</v>
      </c>
      <c r="P379" s="26">
        <v>234</v>
      </c>
      <c r="Q379" s="26">
        <v>280.8</v>
      </c>
      <c r="R379" s="24">
        <v>379</v>
      </c>
      <c r="S379" s="24" t="str">
        <f t="shared" si="63"/>
        <v>Jan</v>
      </c>
      <c r="T379" s="46">
        <v>45679</v>
      </c>
      <c r="U379" s="24">
        <v>5</v>
      </c>
      <c r="V379" s="37">
        <v>133</v>
      </c>
      <c r="W379" s="24">
        <v>87</v>
      </c>
      <c r="X379" s="24">
        <v>1</v>
      </c>
      <c r="Y379" s="26">
        <f>combined_tbl!$Q379*(1-combined_tbl!$Z379)</f>
        <v>266.76</v>
      </c>
      <c r="Z379" s="27">
        <f>IF(combined_tbl!$Q379&gt;=500,0.2, IF(combined_tbl!$Q379&gt;=200,0.05, IF(combined_tbl!$X379&gt;=2,0.05,0)))</f>
        <v>0.05</v>
      </c>
      <c r="AA379" s="26">
        <f>combined_tbl!$Y379*combined_tbl!$X379</f>
        <v>266.76</v>
      </c>
      <c r="AB379" s="28">
        <f>(combined_tbl!$Q379*(1+combined_tbl!$Z379)-combined_tbl!$P379)*combined_tbl!$X379</f>
        <v>60.840000000000032</v>
      </c>
    </row>
    <row r="380" spans="1:28" x14ac:dyDescent="0.3">
      <c r="A380" s="29">
        <v>379</v>
      </c>
      <c r="B380" s="25" cm="1">
        <f t="array" aca="1" ref="B380" ca="1">MIN(IF($E:$E=E380,$H:$H))</f>
        <v>45622</v>
      </c>
      <c r="C380" s="25">
        <f t="shared" ca="1" si="58"/>
        <v>12</v>
      </c>
      <c r="D380" s="43">
        <f ca="1">COUNTIF(E:E,combined_tbl!$E380)</f>
        <v>8</v>
      </c>
      <c r="E380" s="29" t="str">
        <f t="shared" ca="1" si="64"/>
        <v>Customer023</v>
      </c>
      <c r="F380" s="29" t="str" cm="1">
        <f t="array" aca="1" ref="F380" ca="1">INDEX({"Male","Female"}, RANDBETWEEN(1,2))</f>
        <v>Male</v>
      </c>
      <c r="G380" s="29" t="str">
        <f t="shared" ca="1" si="66"/>
        <v>North</v>
      </c>
      <c r="H380" s="48">
        <f t="shared" ca="1" si="59"/>
        <v>45622</v>
      </c>
      <c r="I380" s="24">
        <f t="shared" ca="1" si="60"/>
        <v>26</v>
      </c>
      <c r="J380" s="46" t="str">
        <f t="shared" ca="1" si="65"/>
        <v>November</v>
      </c>
      <c r="K380" s="24">
        <f t="shared" ca="1" si="61"/>
        <v>2024</v>
      </c>
      <c r="L380" s="24" t="str">
        <f t="shared" ca="1" si="62"/>
        <v>Silver</v>
      </c>
      <c r="M380" s="29">
        <v>380</v>
      </c>
      <c r="N380" s="29" t="s">
        <v>847</v>
      </c>
      <c r="O380" s="29" t="s">
        <v>1238</v>
      </c>
      <c r="P380" s="30">
        <v>62</v>
      </c>
      <c r="Q380" s="30">
        <v>84.32</v>
      </c>
      <c r="R380" s="29">
        <v>380</v>
      </c>
      <c r="S380" s="24" t="str">
        <f t="shared" si="63"/>
        <v>Jun</v>
      </c>
      <c r="T380" s="47">
        <v>45096</v>
      </c>
      <c r="U380" s="29">
        <v>7</v>
      </c>
      <c r="V380" s="38">
        <v>94</v>
      </c>
      <c r="W380" s="29">
        <v>59</v>
      </c>
      <c r="X380" s="29">
        <v>1</v>
      </c>
      <c r="Y380" s="30">
        <f>combined_tbl!$Q380*(1-combined_tbl!$Z380)</f>
        <v>84.32</v>
      </c>
      <c r="Z380" s="31">
        <f>IF(combined_tbl!$Q380&gt;=500,0.2, IF(combined_tbl!$Q380&gt;=200,0.05, IF(combined_tbl!$X380&gt;=2,0.05,0)))</f>
        <v>0</v>
      </c>
      <c r="AA380" s="30">
        <f>combined_tbl!$Y380*combined_tbl!$X380</f>
        <v>84.32</v>
      </c>
      <c r="AB380" s="32">
        <f>(combined_tbl!$Q380*(1+combined_tbl!$Z380)-combined_tbl!$P380)*combined_tbl!$X380</f>
        <v>22.319999999999993</v>
      </c>
    </row>
    <row r="381" spans="1:28" x14ac:dyDescent="0.3">
      <c r="A381" s="29">
        <v>380</v>
      </c>
      <c r="B381" s="25" cm="1">
        <f t="array" aca="1" ref="B381" ca="1">MIN(IF($E:$E=E381,$H:$H))</f>
        <v>45346</v>
      </c>
      <c r="C381" s="25">
        <f t="shared" ca="1" si="58"/>
        <v>21</v>
      </c>
      <c r="D381" s="42">
        <f ca="1">COUNTIF(E:E,combined_tbl!$E381)</f>
        <v>12</v>
      </c>
      <c r="E381" s="24" t="str">
        <f t="shared" ca="1" si="64"/>
        <v>Customer011</v>
      </c>
      <c r="F381" s="24" t="str" cm="1">
        <f t="array" aca="1" ref="F381" ca="1">INDEX({"Male","Female"}, RANDBETWEEN(1,2))</f>
        <v>Female</v>
      </c>
      <c r="G381" s="29" t="str">
        <f t="shared" ca="1" si="66"/>
        <v>East</v>
      </c>
      <c r="H381" s="48">
        <f t="shared" ca="1" si="59"/>
        <v>45346</v>
      </c>
      <c r="I381" s="24">
        <f t="shared" ca="1" si="60"/>
        <v>24</v>
      </c>
      <c r="J381" s="46" t="str">
        <f t="shared" ca="1" si="65"/>
        <v>February</v>
      </c>
      <c r="K381" s="24">
        <f t="shared" ca="1" si="61"/>
        <v>2024</v>
      </c>
      <c r="L381" s="24" t="str">
        <f t="shared" ca="1" si="62"/>
        <v>Gold</v>
      </c>
      <c r="M381" s="24">
        <v>381</v>
      </c>
      <c r="N381" s="24" t="s">
        <v>872</v>
      </c>
      <c r="O381" s="24" t="s">
        <v>1239</v>
      </c>
      <c r="P381" s="26">
        <v>45</v>
      </c>
      <c r="Q381" s="26">
        <v>58.050000000000004</v>
      </c>
      <c r="R381" s="24">
        <v>381</v>
      </c>
      <c r="S381" s="24" t="str">
        <f t="shared" si="63"/>
        <v>Jun</v>
      </c>
      <c r="T381" s="46">
        <v>45088</v>
      </c>
      <c r="U381" s="24">
        <v>7</v>
      </c>
      <c r="V381" s="37">
        <v>4</v>
      </c>
      <c r="W381" s="24">
        <v>99</v>
      </c>
      <c r="X381" s="24">
        <v>2</v>
      </c>
      <c r="Y381" s="26">
        <f>combined_tbl!$Q381*(1-combined_tbl!$Z381)</f>
        <v>55.147500000000001</v>
      </c>
      <c r="Z381" s="27">
        <f>IF(combined_tbl!$Q381&gt;=500,0.2, IF(combined_tbl!$Q381&gt;=200,0.05, IF(combined_tbl!$X381&gt;=2,0.05,0)))</f>
        <v>0.05</v>
      </c>
      <c r="AA381" s="26">
        <f>combined_tbl!$Y381*combined_tbl!$X381</f>
        <v>110.295</v>
      </c>
      <c r="AB381" s="28">
        <f>(combined_tbl!$Q381*(1+combined_tbl!$Z381)-combined_tbl!$P381)*combined_tbl!$X381</f>
        <v>31.905000000000015</v>
      </c>
    </row>
    <row r="382" spans="1:28" x14ac:dyDescent="0.3">
      <c r="A382" s="29">
        <v>381</v>
      </c>
      <c r="B382" s="25" cm="1">
        <f t="array" aca="1" ref="B382" ca="1">MIN(IF($E:$E=E382,$H:$H))</f>
        <v>45439</v>
      </c>
      <c r="C382" s="25">
        <f t="shared" ca="1" si="58"/>
        <v>18</v>
      </c>
      <c r="D382" s="43">
        <f ca="1">COUNTIF(E:E,combined_tbl!$E382)</f>
        <v>10</v>
      </c>
      <c r="E382" s="29" t="str">
        <f t="shared" ca="1" si="64"/>
        <v>Customer018</v>
      </c>
      <c r="F382" s="29" t="str" cm="1">
        <f t="array" aca="1" ref="F382" ca="1">INDEX({"Male","Female"}, RANDBETWEEN(1,2))</f>
        <v>Female</v>
      </c>
      <c r="G382" s="29" t="str">
        <f t="shared" ca="1" si="66"/>
        <v>East</v>
      </c>
      <c r="H382" s="48">
        <f t="shared" ca="1" si="59"/>
        <v>45439</v>
      </c>
      <c r="I382" s="24">
        <f t="shared" ca="1" si="60"/>
        <v>27</v>
      </c>
      <c r="J382" s="46" t="str">
        <f t="shared" ca="1" si="65"/>
        <v>May</v>
      </c>
      <c r="K382" s="24">
        <f t="shared" ca="1" si="61"/>
        <v>2024</v>
      </c>
      <c r="L382" s="24" t="str">
        <f t="shared" ca="1" si="62"/>
        <v>Gold</v>
      </c>
      <c r="M382" s="29">
        <v>382</v>
      </c>
      <c r="N382" s="29" t="s">
        <v>955</v>
      </c>
      <c r="O382" s="29" t="s">
        <v>1240</v>
      </c>
      <c r="P382" s="30">
        <v>247</v>
      </c>
      <c r="Q382" s="30">
        <v>333.45000000000005</v>
      </c>
      <c r="R382" s="29">
        <v>382</v>
      </c>
      <c r="S382" s="24" t="str">
        <f t="shared" si="63"/>
        <v>Jan</v>
      </c>
      <c r="T382" s="47">
        <v>45296</v>
      </c>
      <c r="U382" s="29">
        <v>5</v>
      </c>
      <c r="V382" s="38">
        <v>89</v>
      </c>
      <c r="W382" s="29">
        <v>37</v>
      </c>
      <c r="X382" s="29">
        <v>2</v>
      </c>
      <c r="Y382" s="30">
        <f>combined_tbl!$Q382*(1-combined_tbl!$Z382)</f>
        <v>316.77750000000003</v>
      </c>
      <c r="Z382" s="31">
        <f>IF(combined_tbl!$Q382&gt;=500,0.2, IF(combined_tbl!$Q382&gt;=200,0.05, IF(combined_tbl!$X382&gt;=2,0.05,0)))</f>
        <v>0.05</v>
      </c>
      <c r="AA382" s="30">
        <f>combined_tbl!$Y382*combined_tbl!$X382</f>
        <v>633.55500000000006</v>
      </c>
      <c r="AB382" s="32">
        <f>(combined_tbl!$Q382*(1+combined_tbl!$Z382)-combined_tbl!$P382)*combined_tbl!$X382</f>
        <v>206.24500000000012</v>
      </c>
    </row>
    <row r="383" spans="1:28" x14ac:dyDescent="0.3">
      <c r="A383" s="29">
        <v>382</v>
      </c>
      <c r="B383" s="25" cm="1">
        <f t="array" aca="1" ref="B383" ca="1">MIN(IF($E:$E=E383,$H:$H))</f>
        <v>45881</v>
      </c>
      <c r="C383" s="25">
        <f t="shared" ca="1" si="58"/>
        <v>3</v>
      </c>
      <c r="D383" s="42">
        <f ca="1">COUNTIF(E:E,combined_tbl!$E383)</f>
        <v>4</v>
      </c>
      <c r="E383" s="24" t="str">
        <f t="shared" ca="1" si="64"/>
        <v>Customer037</v>
      </c>
      <c r="F383" s="24" t="str" cm="1">
        <f t="array" aca="1" ref="F383" ca="1">INDEX({"Male","Female"}, RANDBETWEEN(1,2))</f>
        <v>Male</v>
      </c>
      <c r="G383" s="29" t="str">
        <f t="shared" ca="1" si="66"/>
        <v>West</v>
      </c>
      <c r="H383" s="48">
        <f t="shared" ca="1" si="59"/>
        <v>45881</v>
      </c>
      <c r="I383" s="24">
        <f t="shared" ca="1" si="60"/>
        <v>12</v>
      </c>
      <c r="J383" s="46" t="str">
        <f t="shared" ca="1" si="65"/>
        <v>August</v>
      </c>
      <c r="K383" s="24">
        <f t="shared" ca="1" si="61"/>
        <v>2025</v>
      </c>
      <c r="L383" s="24" t="str">
        <f t="shared" ca="1" si="62"/>
        <v>Bronze</v>
      </c>
      <c r="M383" s="24">
        <v>383</v>
      </c>
      <c r="N383" s="24" t="s">
        <v>847</v>
      </c>
      <c r="O383" s="24" t="s">
        <v>1241</v>
      </c>
      <c r="P383" s="26">
        <v>118</v>
      </c>
      <c r="Q383" s="26">
        <v>172.28</v>
      </c>
      <c r="R383" s="24">
        <v>383</v>
      </c>
      <c r="S383" s="24" t="str">
        <f t="shared" si="63"/>
        <v>Oct</v>
      </c>
      <c r="T383" s="46">
        <v>45584</v>
      </c>
      <c r="U383" s="24">
        <v>2</v>
      </c>
      <c r="V383" s="37">
        <v>17</v>
      </c>
      <c r="W383" s="24">
        <v>5</v>
      </c>
      <c r="X383" s="24">
        <v>1</v>
      </c>
      <c r="Y383" s="26">
        <f>combined_tbl!$Q383*(1-combined_tbl!$Z383)</f>
        <v>172.28</v>
      </c>
      <c r="Z383" s="27">
        <f>IF(combined_tbl!$Q383&gt;=500,0.2, IF(combined_tbl!$Q383&gt;=200,0.05, IF(combined_tbl!$X383&gt;=2,0.05,0)))</f>
        <v>0</v>
      </c>
      <c r="AA383" s="26">
        <f>combined_tbl!$Y383*combined_tbl!$X383</f>
        <v>172.28</v>
      </c>
      <c r="AB383" s="28">
        <f>(combined_tbl!$Q383*(1+combined_tbl!$Z383)-combined_tbl!$P383)*combined_tbl!$X383</f>
        <v>54.28</v>
      </c>
    </row>
    <row r="384" spans="1:28" x14ac:dyDescent="0.3">
      <c r="A384" s="29">
        <v>383</v>
      </c>
      <c r="B384" s="25" cm="1">
        <f t="array" aca="1" ref="B384" ca="1">MIN(IF($E:$E=E384,$H:$H))</f>
        <v>45744</v>
      </c>
      <c r="C384" s="25">
        <f t="shared" ca="1" si="58"/>
        <v>8</v>
      </c>
      <c r="D384" s="43">
        <f ca="1">COUNTIF(E:E,combined_tbl!$E384)</f>
        <v>5</v>
      </c>
      <c r="E384" s="29" t="str">
        <f t="shared" ca="1" si="64"/>
        <v>Customer016</v>
      </c>
      <c r="F384" s="29" t="str" cm="1">
        <f t="array" aca="1" ref="F384" ca="1">INDEX({"Male","Female"}, RANDBETWEEN(1,2))</f>
        <v>Female</v>
      </c>
      <c r="G384" s="29" t="str">
        <f t="shared" ca="1" si="66"/>
        <v>North</v>
      </c>
      <c r="H384" s="48">
        <f t="shared" ca="1" si="59"/>
        <v>45744</v>
      </c>
      <c r="I384" s="24">
        <f t="shared" ca="1" si="60"/>
        <v>28</v>
      </c>
      <c r="J384" s="46" t="str">
        <f t="shared" ca="1" si="65"/>
        <v>March</v>
      </c>
      <c r="K384" s="24">
        <f t="shared" ca="1" si="61"/>
        <v>2025</v>
      </c>
      <c r="L384" s="24" t="str">
        <f t="shared" ca="1" si="62"/>
        <v>Bronze</v>
      </c>
      <c r="M384" s="29">
        <v>384</v>
      </c>
      <c r="N384" s="29" t="s">
        <v>1359</v>
      </c>
      <c r="O384" s="29" t="s">
        <v>1242</v>
      </c>
      <c r="P384" s="30">
        <v>66</v>
      </c>
      <c r="Q384" s="30">
        <v>91.08</v>
      </c>
      <c r="R384" s="29">
        <v>384</v>
      </c>
      <c r="S384" s="24" t="str">
        <f t="shared" si="63"/>
        <v>Jun</v>
      </c>
      <c r="T384" s="47">
        <v>45090</v>
      </c>
      <c r="U384" s="29">
        <v>6</v>
      </c>
      <c r="V384" s="38">
        <v>97</v>
      </c>
      <c r="W384" s="29">
        <v>34</v>
      </c>
      <c r="X384" s="29">
        <v>2</v>
      </c>
      <c r="Y384" s="30">
        <f>combined_tbl!$Q384*(1-combined_tbl!$Z384)</f>
        <v>86.525999999999996</v>
      </c>
      <c r="Z384" s="31">
        <f>IF(combined_tbl!$Q384&gt;=500,0.2, IF(combined_tbl!$Q384&gt;=200,0.05, IF(combined_tbl!$X384&gt;=2,0.05,0)))</f>
        <v>0.05</v>
      </c>
      <c r="AA384" s="30">
        <f>combined_tbl!$Y384*combined_tbl!$X384</f>
        <v>173.05199999999999</v>
      </c>
      <c r="AB384" s="32">
        <f>(combined_tbl!$Q384*(1+combined_tbl!$Z384)-combined_tbl!$P384)*combined_tbl!$X384</f>
        <v>59.268000000000001</v>
      </c>
    </row>
    <row r="385" spans="1:28" x14ac:dyDescent="0.3">
      <c r="A385" s="29">
        <v>384</v>
      </c>
      <c r="B385" s="25" cm="1">
        <f t="array" aca="1" ref="B385" ca="1">MIN(IF($E:$E=E385,$H:$H))</f>
        <v>45014</v>
      </c>
      <c r="C385" s="25">
        <f t="shared" ca="1" si="58"/>
        <v>32</v>
      </c>
      <c r="D385" s="42">
        <f ca="1">COUNTIF(E:E,combined_tbl!$E385)</f>
        <v>10</v>
      </c>
      <c r="E385" s="24" t="str">
        <f t="shared" ca="1" si="64"/>
        <v>Customer022</v>
      </c>
      <c r="F385" s="24" t="str" cm="1">
        <f t="array" aca="1" ref="F385" ca="1">INDEX({"Male","Female"}, RANDBETWEEN(1,2))</f>
        <v>Female</v>
      </c>
      <c r="G385" s="29" t="str">
        <f t="shared" ca="1" si="66"/>
        <v>South</v>
      </c>
      <c r="H385" s="48">
        <f t="shared" ca="1" si="59"/>
        <v>45014</v>
      </c>
      <c r="I385" s="24">
        <f t="shared" ca="1" si="60"/>
        <v>29</v>
      </c>
      <c r="J385" s="46" t="str">
        <f t="shared" ca="1" si="65"/>
        <v>March</v>
      </c>
      <c r="K385" s="24">
        <f t="shared" ca="1" si="61"/>
        <v>2023</v>
      </c>
      <c r="L385" s="24" t="str">
        <f t="shared" ca="1" si="62"/>
        <v>Platinum</v>
      </c>
      <c r="M385" s="24">
        <v>385</v>
      </c>
      <c r="N385" s="24" t="s">
        <v>955</v>
      </c>
      <c r="O385" s="24" t="s">
        <v>1243</v>
      </c>
      <c r="P385" s="26">
        <v>418</v>
      </c>
      <c r="Q385" s="26">
        <v>501.59999999999997</v>
      </c>
      <c r="R385" s="24">
        <v>385</v>
      </c>
      <c r="S385" s="24" t="str">
        <f t="shared" si="63"/>
        <v>Aug</v>
      </c>
      <c r="T385" s="46">
        <v>45532</v>
      </c>
      <c r="U385" s="24">
        <v>5</v>
      </c>
      <c r="V385" s="37">
        <v>68</v>
      </c>
      <c r="W385" s="24">
        <v>1</v>
      </c>
      <c r="X385" s="24">
        <v>2</v>
      </c>
      <c r="Y385" s="26">
        <f>combined_tbl!$Q385*(1-combined_tbl!$Z385)</f>
        <v>401.28</v>
      </c>
      <c r="Z385" s="27">
        <f>IF(combined_tbl!$Q385&gt;=500,0.2, IF(combined_tbl!$Q385&gt;=200,0.05, IF(combined_tbl!$X385&gt;=2,0.05,0)))</f>
        <v>0.2</v>
      </c>
      <c r="AA385" s="26">
        <f>combined_tbl!$Y385*combined_tbl!$X385</f>
        <v>802.56</v>
      </c>
      <c r="AB385" s="28">
        <f>(combined_tbl!$Q385*(1+combined_tbl!$Z385)-combined_tbl!$P385)*combined_tbl!$X385</f>
        <v>367.83999999999992</v>
      </c>
    </row>
    <row r="386" spans="1:28" x14ac:dyDescent="0.3">
      <c r="A386" s="19">
        <v>385</v>
      </c>
      <c r="B386" s="25" cm="1">
        <f t="array" aca="1" ref="B386" ca="1">MIN(IF($E:$E=E386,$H:$H))</f>
        <v>45638</v>
      </c>
      <c r="C386" s="25">
        <f t="shared" ref="C386:C449" ca="1" si="67">DATEDIF(B386,MAX($H:$H),"m")</f>
        <v>11</v>
      </c>
      <c r="D386" s="43">
        <f ca="1">COUNTIF(E:E,combined_tbl!$E386)</f>
        <v>4</v>
      </c>
      <c r="E386" s="29" t="str">
        <f t="shared" ca="1" si="64"/>
        <v>Customer044</v>
      </c>
      <c r="F386" s="29" t="str" cm="1">
        <f t="array" aca="1" ref="F386" ca="1">INDEX({"Male","Female"}, RANDBETWEEN(1,2))</f>
        <v>Male</v>
      </c>
      <c r="G386" s="29" t="str">
        <f t="shared" ca="1" si="66"/>
        <v>West</v>
      </c>
      <c r="H386" s="48">
        <f t="shared" ref="H386:H449" ca="1" si="68">_xlfn.XLOOKUP(E386,AI$1:AI$139,AJ$1:AJ$139)</f>
        <v>45638</v>
      </c>
      <c r="I386" s="24">
        <f t="shared" ref="I386:I449" ca="1" si="69">DAY(H386)</f>
        <v>12</v>
      </c>
      <c r="J386" s="46" t="str">
        <f t="shared" ca="1" si="65"/>
        <v>December</v>
      </c>
      <c r="K386" s="24">
        <f t="shared" ref="K386:K449" ca="1" si="70">YEAR(H386)</f>
        <v>2024</v>
      </c>
      <c r="L386" s="24" t="str">
        <f t="shared" ref="L386:L449" ca="1" si="71">IF(AND(D386&gt;=10,C386&gt;=24),"Platinum",IF(AND(D386&gt;=7,C386&gt;=18),"Gold",IF(AND(D386&gt;=3,C386&gt;=12),"Silver","Bronze")))</f>
        <v>Bronze</v>
      </c>
      <c r="M386" s="29">
        <v>386</v>
      </c>
      <c r="N386" s="29" t="s">
        <v>957</v>
      </c>
      <c r="O386" s="29" t="s">
        <v>1244</v>
      </c>
      <c r="P386" s="30">
        <v>181</v>
      </c>
      <c r="Q386" s="30">
        <v>211.76999999999998</v>
      </c>
      <c r="R386" s="29">
        <v>386</v>
      </c>
      <c r="S386" s="24" t="str">
        <f t="shared" ref="S386:S449" si="72">TEXT(T386,"MMM")</f>
        <v>Jul</v>
      </c>
      <c r="T386" s="47">
        <v>45840</v>
      </c>
      <c r="U386" s="29">
        <v>7</v>
      </c>
      <c r="V386" s="38">
        <v>148</v>
      </c>
      <c r="W386" s="29">
        <v>18</v>
      </c>
      <c r="X386" s="29">
        <v>1</v>
      </c>
      <c r="Y386" s="30">
        <f>combined_tbl!$Q386*(1-combined_tbl!$Z386)</f>
        <v>201.18149999999997</v>
      </c>
      <c r="Z386" s="31">
        <f>IF(combined_tbl!$Q386&gt;=500,0.2, IF(combined_tbl!$Q386&gt;=200,0.05, IF(combined_tbl!$X386&gt;=2,0.05,0)))</f>
        <v>0.05</v>
      </c>
      <c r="AA386" s="30">
        <f>combined_tbl!$Y386*combined_tbl!$X386</f>
        <v>201.18149999999997</v>
      </c>
      <c r="AB386" s="32">
        <f>(combined_tbl!$Q386*(1+combined_tbl!$Z386)-combined_tbl!$P386)*combined_tbl!$X386</f>
        <v>41.358499999999992</v>
      </c>
    </row>
    <row r="387" spans="1:28" x14ac:dyDescent="0.3">
      <c r="A387" s="24">
        <v>386</v>
      </c>
      <c r="B387" s="25" cm="1">
        <f t="array" aca="1" ref="B387" ca="1">MIN(IF($E:$E=E387,$H:$H))</f>
        <v>45268</v>
      </c>
      <c r="C387" s="25">
        <f t="shared" ca="1" si="67"/>
        <v>23</v>
      </c>
      <c r="D387" s="42">
        <f ca="1">COUNTIF(E:E,combined_tbl!$E387)</f>
        <v>9</v>
      </c>
      <c r="E387" s="24" t="str">
        <f t="shared" ref="E387:E450" ca="1" si="73">IF(RAND()&lt;=0.5,
   "Customer"&amp;TEXT(RANDBETWEEN(1,30),"000"),
IF(RAND()&lt;=0.8,
   "Customer"&amp;TEXT(RANDBETWEEN(31,80),"000"),
   "Customer"&amp;TEXT(RANDBETWEEN(81,139),"000")))</f>
        <v>Customer012</v>
      </c>
      <c r="F387" s="24" t="str" cm="1">
        <f t="array" aca="1" ref="F387" ca="1">INDEX({"Male","Female"}, RANDBETWEEN(1,2))</f>
        <v>Female</v>
      </c>
      <c r="G387" s="29" t="str">
        <f t="shared" ca="1" si="66"/>
        <v>East</v>
      </c>
      <c r="H387" s="48">
        <f t="shared" ca="1" si="68"/>
        <v>45268</v>
      </c>
      <c r="I387" s="24">
        <f t="shared" ca="1" si="69"/>
        <v>8</v>
      </c>
      <c r="J387" s="46" t="str">
        <f t="shared" ref="J387:J450" ca="1" si="74">TEXT(H387,"mmmm")</f>
        <v>December</v>
      </c>
      <c r="K387" s="24">
        <f t="shared" ca="1" si="70"/>
        <v>2023</v>
      </c>
      <c r="L387" s="24" t="str">
        <f t="shared" ca="1" si="71"/>
        <v>Gold</v>
      </c>
      <c r="M387" s="24">
        <v>387</v>
      </c>
      <c r="N387" s="24" t="s">
        <v>957</v>
      </c>
      <c r="O387" s="24" t="s">
        <v>1245</v>
      </c>
      <c r="P387" s="26">
        <v>42</v>
      </c>
      <c r="Q387" s="26">
        <v>52.08</v>
      </c>
      <c r="R387" s="24">
        <v>387</v>
      </c>
      <c r="S387" s="24" t="str">
        <f t="shared" si="72"/>
        <v>Dec</v>
      </c>
      <c r="T387" s="46">
        <v>45268</v>
      </c>
      <c r="U387" s="24">
        <v>8</v>
      </c>
      <c r="V387" s="37">
        <v>134</v>
      </c>
      <c r="W387" s="24">
        <v>1</v>
      </c>
      <c r="X387" s="24">
        <v>1</v>
      </c>
      <c r="Y387" s="26">
        <f>combined_tbl!$Q387*(1-combined_tbl!$Z387)</f>
        <v>52.08</v>
      </c>
      <c r="Z387" s="27">
        <f>IF(combined_tbl!$Q387&gt;=500,0.2, IF(combined_tbl!$Q387&gt;=200,0.05, IF(combined_tbl!$X387&gt;=2,0.05,0)))</f>
        <v>0</v>
      </c>
      <c r="AA387" s="26">
        <f>combined_tbl!$Y387*combined_tbl!$X387</f>
        <v>52.08</v>
      </c>
      <c r="AB387" s="28">
        <f>(combined_tbl!$Q387*(1+combined_tbl!$Z387)-combined_tbl!$P387)*combined_tbl!$X387</f>
        <v>10.079999999999998</v>
      </c>
    </row>
    <row r="388" spans="1:28" x14ac:dyDescent="0.3">
      <c r="A388" s="29">
        <v>387</v>
      </c>
      <c r="B388" s="25" cm="1">
        <f t="array" aca="1" ref="B388" ca="1">MIN(IF($E:$E=E388,$H:$H))</f>
        <v>45268</v>
      </c>
      <c r="C388" s="25">
        <f t="shared" ca="1" si="67"/>
        <v>23</v>
      </c>
      <c r="D388" s="43">
        <f ca="1">COUNTIF(E:E,combined_tbl!$E388)</f>
        <v>9</v>
      </c>
      <c r="E388" s="29" t="str">
        <f t="shared" ca="1" si="73"/>
        <v>Customer012</v>
      </c>
      <c r="F388" s="29" t="str" cm="1">
        <f t="array" aca="1" ref="F388" ca="1">INDEX({"Male","Female"}, RANDBETWEEN(1,2))</f>
        <v>Female</v>
      </c>
      <c r="G388" s="29" t="str">
        <f t="shared" ca="1" si="66"/>
        <v>East</v>
      </c>
      <c r="H388" s="48">
        <f t="shared" ca="1" si="68"/>
        <v>45268</v>
      </c>
      <c r="I388" s="24">
        <f t="shared" ca="1" si="69"/>
        <v>8</v>
      </c>
      <c r="J388" s="46" t="str">
        <f t="shared" ca="1" si="74"/>
        <v>December</v>
      </c>
      <c r="K388" s="24">
        <f t="shared" ca="1" si="70"/>
        <v>2023</v>
      </c>
      <c r="L388" s="24" t="str">
        <f t="shared" ca="1" si="71"/>
        <v>Gold</v>
      </c>
      <c r="M388" s="29">
        <v>388</v>
      </c>
      <c r="N388" s="29" t="s">
        <v>831</v>
      </c>
      <c r="O388" s="29" t="s">
        <v>1246</v>
      </c>
      <c r="P388" s="30">
        <v>343</v>
      </c>
      <c r="Q388" s="30">
        <v>487.06</v>
      </c>
      <c r="R388" s="29">
        <v>388</v>
      </c>
      <c r="S388" s="24" t="str">
        <f t="shared" si="72"/>
        <v>Dec</v>
      </c>
      <c r="T388" s="47">
        <v>45646</v>
      </c>
      <c r="U388" s="29">
        <v>8</v>
      </c>
      <c r="V388" s="38">
        <v>196</v>
      </c>
      <c r="W388" s="29">
        <v>22</v>
      </c>
      <c r="X388" s="29">
        <v>1</v>
      </c>
      <c r="Y388" s="30">
        <f>combined_tbl!$Q388*(1-combined_tbl!$Z388)</f>
        <v>462.70699999999999</v>
      </c>
      <c r="Z388" s="31">
        <f>IF(combined_tbl!$Q388&gt;=500,0.2, IF(combined_tbl!$Q388&gt;=200,0.05, IF(combined_tbl!$X388&gt;=2,0.05,0)))</f>
        <v>0.05</v>
      </c>
      <c r="AA388" s="30">
        <f>combined_tbl!$Y388*combined_tbl!$X388</f>
        <v>462.70699999999999</v>
      </c>
      <c r="AB388" s="32">
        <f>(combined_tbl!$Q388*(1+combined_tbl!$Z388)-combined_tbl!$P388)*combined_tbl!$X388</f>
        <v>168.41300000000001</v>
      </c>
    </row>
    <row r="389" spans="1:28" x14ac:dyDescent="0.3">
      <c r="A389" s="29">
        <v>388</v>
      </c>
      <c r="B389" s="25" cm="1">
        <f t="array" aca="1" ref="B389" ca="1">MIN(IF($E:$E=E389,$H:$H))</f>
        <v>45439</v>
      </c>
      <c r="C389" s="25">
        <f t="shared" ca="1" si="67"/>
        <v>18</v>
      </c>
      <c r="D389" s="42">
        <f ca="1">COUNTIF(E:E,combined_tbl!$E389)</f>
        <v>10</v>
      </c>
      <c r="E389" s="24" t="str">
        <f t="shared" ca="1" si="73"/>
        <v>Customer018</v>
      </c>
      <c r="F389" s="24" t="str" cm="1">
        <f t="array" aca="1" ref="F389" ca="1">INDEX({"Male","Female"}, RANDBETWEEN(1,2))</f>
        <v>Female</v>
      </c>
      <c r="G389" s="29" t="str">
        <f t="shared" ca="1" si="66"/>
        <v>East</v>
      </c>
      <c r="H389" s="48">
        <f t="shared" ca="1" si="68"/>
        <v>45439</v>
      </c>
      <c r="I389" s="24">
        <f t="shared" ca="1" si="69"/>
        <v>27</v>
      </c>
      <c r="J389" s="46" t="str">
        <f t="shared" ca="1" si="74"/>
        <v>May</v>
      </c>
      <c r="K389" s="24">
        <f t="shared" ca="1" si="70"/>
        <v>2024</v>
      </c>
      <c r="L389" s="24" t="str">
        <f t="shared" ca="1" si="71"/>
        <v>Gold</v>
      </c>
      <c r="M389" s="24">
        <v>389</v>
      </c>
      <c r="N389" s="24" t="s">
        <v>831</v>
      </c>
      <c r="O389" s="24" t="s">
        <v>1247</v>
      </c>
      <c r="P389" s="26">
        <v>350</v>
      </c>
      <c r="Q389" s="26">
        <v>479.50000000000006</v>
      </c>
      <c r="R389" s="24">
        <v>389</v>
      </c>
      <c r="S389" s="24" t="str">
        <f t="shared" si="72"/>
        <v>Mar</v>
      </c>
      <c r="T389" s="46">
        <v>45013</v>
      </c>
      <c r="U389" s="24">
        <v>6</v>
      </c>
      <c r="V389" s="37">
        <v>120</v>
      </c>
      <c r="W389" s="24">
        <v>46</v>
      </c>
      <c r="X389" s="24">
        <v>1</v>
      </c>
      <c r="Y389" s="26">
        <f>combined_tbl!$Q389*(1-combined_tbl!$Z389)</f>
        <v>455.52500000000003</v>
      </c>
      <c r="Z389" s="27">
        <f>IF(combined_tbl!$Q389&gt;=500,0.2, IF(combined_tbl!$Q389&gt;=200,0.05, IF(combined_tbl!$X389&gt;=2,0.05,0)))</f>
        <v>0.05</v>
      </c>
      <c r="AA389" s="26">
        <f>combined_tbl!$Y389*combined_tbl!$X389</f>
        <v>455.52500000000003</v>
      </c>
      <c r="AB389" s="28">
        <f>(combined_tbl!$Q389*(1+combined_tbl!$Z389)-combined_tbl!$P389)*combined_tbl!$X389</f>
        <v>153.47500000000008</v>
      </c>
    </row>
    <row r="390" spans="1:28" x14ac:dyDescent="0.3">
      <c r="A390" s="29">
        <v>389</v>
      </c>
      <c r="B390" s="25" cm="1">
        <f t="array" aca="1" ref="B390" ca="1">MIN(IF($E:$E=E390,$H:$H))</f>
        <v>45734</v>
      </c>
      <c r="C390" s="25">
        <f t="shared" ca="1" si="67"/>
        <v>8</v>
      </c>
      <c r="D390" s="43">
        <f ca="1">COUNTIF(E:E,combined_tbl!$E390)</f>
        <v>5</v>
      </c>
      <c r="E390" s="29" t="str">
        <f t="shared" ca="1" si="73"/>
        <v>Customer034</v>
      </c>
      <c r="F390" s="29" t="str" cm="1">
        <f t="array" aca="1" ref="F390" ca="1">INDEX({"Male","Female"}, RANDBETWEEN(1,2))</f>
        <v>Female</v>
      </c>
      <c r="G390" s="29" t="str">
        <f t="shared" ca="1" si="66"/>
        <v>East</v>
      </c>
      <c r="H390" s="48">
        <f t="shared" ca="1" si="68"/>
        <v>45734</v>
      </c>
      <c r="I390" s="24">
        <f t="shared" ca="1" si="69"/>
        <v>18</v>
      </c>
      <c r="J390" s="46" t="str">
        <f t="shared" ca="1" si="74"/>
        <v>March</v>
      </c>
      <c r="K390" s="24">
        <f t="shared" ca="1" si="70"/>
        <v>2025</v>
      </c>
      <c r="L390" s="24" t="str">
        <f t="shared" ca="1" si="71"/>
        <v>Bronze</v>
      </c>
      <c r="M390" s="29">
        <v>390</v>
      </c>
      <c r="N390" s="29" t="s">
        <v>837</v>
      </c>
      <c r="O390" s="29" t="s">
        <v>1248</v>
      </c>
      <c r="P390" s="30">
        <v>289</v>
      </c>
      <c r="Q390" s="30">
        <v>326.57</v>
      </c>
      <c r="R390" s="29">
        <v>390</v>
      </c>
      <c r="S390" s="24" t="str">
        <f t="shared" si="72"/>
        <v>Jun</v>
      </c>
      <c r="T390" s="47">
        <v>45817</v>
      </c>
      <c r="U390" s="29">
        <v>5</v>
      </c>
      <c r="V390" s="38">
        <v>184</v>
      </c>
      <c r="W390" s="29">
        <v>85</v>
      </c>
      <c r="X390" s="29">
        <v>1</v>
      </c>
      <c r="Y390" s="30">
        <f>combined_tbl!$Q390*(1-combined_tbl!$Z390)</f>
        <v>310.24149999999997</v>
      </c>
      <c r="Z390" s="31">
        <f>IF(combined_tbl!$Q390&gt;=500,0.2, IF(combined_tbl!$Q390&gt;=200,0.05, IF(combined_tbl!$X390&gt;=2,0.05,0)))</f>
        <v>0.05</v>
      </c>
      <c r="AA390" s="30">
        <f>combined_tbl!$Y390*combined_tbl!$X390</f>
        <v>310.24149999999997</v>
      </c>
      <c r="AB390" s="32">
        <f>(combined_tbl!$Q390*(1+combined_tbl!$Z390)-combined_tbl!$P390)*combined_tbl!$X390</f>
        <v>53.898500000000013</v>
      </c>
    </row>
    <row r="391" spans="1:28" x14ac:dyDescent="0.3">
      <c r="A391" s="29">
        <v>390</v>
      </c>
      <c r="B391" s="25" cm="1">
        <f t="array" aca="1" ref="B391" ca="1">MIN(IF($E:$E=E391,$H:$H))</f>
        <v>45297</v>
      </c>
      <c r="C391" s="25">
        <f t="shared" ca="1" si="67"/>
        <v>22</v>
      </c>
      <c r="D391" s="42">
        <f ca="1">COUNTIF(E:E,combined_tbl!$E391)</f>
        <v>8</v>
      </c>
      <c r="E391" s="24" t="str">
        <f t="shared" ca="1" si="73"/>
        <v>Customer010</v>
      </c>
      <c r="F391" s="24" t="str" cm="1">
        <f t="array" aca="1" ref="F391" ca="1">INDEX({"Male","Female"}, RANDBETWEEN(1,2))</f>
        <v>Male</v>
      </c>
      <c r="G391" s="29" t="str">
        <f t="shared" ca="1" si="66"/>
        <v>East</v>
      </c>
      <c r="H391" s="48">
        <f t="shared" ca="1" si="68"/>
        <v>45297</v>
      </c>
      <c r="I391" s="24">
        <f t="shared" ca="1" si="69"/>
        <v>6</v>
      </c>
      <c r="J391" s="46" t="str">
        <f t="shared" ca="1" si="74"/>
        <v>January</v>
      </c>
      <c r="K391" s="24">
        <f t="shared" ca="1" si="70"/>
        <v>2024</v>
      </c>
      <c r="L391" s="24" t="str">
        <f t="shared" ca="1" si="71"/>
        <v>Gold</v>
      </c>
      <c r="M391" s="24">
        <v>391</v>
      </c>
      <c r="N391" s="24" t="s">
        <v>837</v>
      </c>
      <c r="O391" s="24" t="s">
        <v>1249</v>
      </c>
      <c r="P391" s="26">
        <v>302</v>
      </c>
      <c r="Q391" s="26">
        <v>368.44</v>
      </c>
      <c r="R391" s="24">
        <v>391</v>
      </c>
      <c r="S391" s="24" t="str">
        <f t="shared" si="72"/>
        <v>Apr</v>
      </c>
      <c r="T391" s="46">
        <v>45044</v>
      </c>
      <c r="U391" s="24">
        <v>2</v>
      </c>
      <c r="V391" s="37">
        <v>12</v>
      </c>
      <c r="W391" s="24">
        <v>18</v>
      </c>
      <c r="X391" s="24">
        <v>1</v>
      </c>
      <c r="Y391" s="26">
        <f>combined_tbl!$Q391*(1-combined_tbl!$Z391)</f>
        <v>350.01799999999997</v>
      </c>
      <c r="Z391" s="27">
        <f>IF(combined_tbl!$Q391&gt;=500,0.2, IF(combined_tbl!$Q391&gt;=200,0.05, IF(combined_tbl!$X391&gt;=2,0.05,0)))</f>
        <v>0.05</v>
      </c>
      <c r="AA391" s="26">
        <f>combined_tbl!$Y391*combined_tbl!$X391</f>
        <v>350.01799999999997</v>
      </c>
      <c r="AB391" s="28">
        <f>(combined_tbl!$Q391*(1+combined_tbl!$Z391)-combined_tbl!$P391)*combined_tbl!$X391</f>
        <v>84.862000000000023</v>
      </c>
    </row>
    <row r="392" spans="1:28" x14ac:dyDescent="0.3">
      <c r="A392" s="29">
        <v>391</v>
      </c>
      <c r="B392" s="25" cm="1">
        <f t="array" aca="1" ref="B392" ca="1">MIN(IF($E:$E=E392,$H:$H))</f>
        <v>45787</v>
      </c>
      <c r="C392" s="25">
        <f t="shared" ca="1" si="67"/>
        <v>6</v>
      </c>
      <c r="D392" s="43">
        <f ca="1">COUNTIF(E:E,combined_tbl!$E392)</f>
        <v>8</v>
      </c>
      <c r="E392" s="29" t="str">
        <f t="shared" ca="1" si="73"/>
        <v>Customer006</v>
      </c>
      <c r="F392" s="29" t="str" cm="1">
        <f t="array" aca="1" ref="F392" ca="1">INDEX({"Male","Female"}, RANDBETWEEN(1,2))</f>
        <v>Male</v>
      </c>
      <c r="G392" s="29" t="str">
        <f t="shared" ca="1" si="66"/>
        <v>North</v>
      </c>
      <c r="H392" s="48">
        <f t="shared" ca="1" si="68"/>
        <v>45787</v>
      </c>
      <c r="I392" s="24">
        <f t="shared" ca="1" si="69"/>
        <v>10</v>
      </c>
      <c r="J392" s="46" t="str">
        <f t="shared" ca="1" si="74"/>
        <v>May</v>
      </c>
      <c r="K392" s="24">
        <f t="shared" ca="1" si="70"/>
        <v>2025</v>
      </c>
      <c r="L392" s="24" t="str">
        <f t="shared" ca="1" si="71"/>
        <v>Bronze</v>
      </c>
      <c r="M392" s="29">
        <v>392</v>
      </c>
      <c r="N392" s="29" t="s">
        <v>851</v>
      </c>
      <c r="O392" s="29" t="s">
        <v>1250</v>
      </c>
      <c r="P392" s="30">
        <v>175</v>
      </c>
      <c r="Q392" s="30">
        <v>232.75</v>
      </c>
      <c r="R392" s="29">
        <v>392</v>
      </c>
      <c r="S392" s="24" t="str">
        <f t="shared" si="72"/>
        <v>Apr</v>
      </c>
      <c r="T392" s="47">
        <v>45758</v>
      </c>
      <c r="U392" s="29">
        <v>6</v>
      </c>
      <c r="V392" s="38">
        <v>129</v>
      </c>
      <c r="W392" s="29">
        <v>82</v>
      </c>
      <c r="X392" s="29">
        <v>1</v>
      </c>
      <c r="Y392" s="30">
        <f>combined_tbl!$Q392*(1-combined_tbl!$Z392)</f>
        <v>221.11249999999998</v>
      </c>
      <c r="Z392" s="31">
        <f>IF(combined_tbl!$Q392&gt;=500,0.2, IF(combined_tbl!$Q392&gt;=200,0.05, IF(combined_tbl!$X392&gt;=2,0.05,0)))</f>
        <v>0.05</v>
      </c>
      <c r="AA392" s="30">
        <f>combined_tbl!$Y392*combined_tbl!$X392</f>
        <v>221.11249999999998</v>
      </c>
      <c r="AB392" s="32">
        <f>(combined_tbl!$Q392*(1+combined_tbl!$Z392)-combined_tbl!$P392)*combined_tbl!$X392</f>
        <v>69.387500000000017</v>
      </c>
    </row>
    <row r="393" spans="1:28" x14ac:dyDescent="0.3">
      <c r="A393" s="29">
        <v>392</v>
      </c>
      <c r="B393" s="25" cm="1">
        <f t="array" aca="1" ref="B393" ca="1">MIN(IF($E:$E=E393,$H:$H))</f>
        <v>45027</v>
      </c>
      <c r="C393" s="25">
        <f t="shared" ca="1" si="67"/>
        <v>31</v>
      </c>
      <c r="D393" s="42">
        <f ca="1">COUNTIF(E:E,combined_tbl!$E393)</f>
        <v>4</v>
      </c>
      <c r="E393" s="24" t="str">
        <f t="shared" ca="1" si="73"/>
        <v>Customer027</v>
      </c>
      <c r="F393" s="24" t="str" cm="1">
        <f t="array" aca="1" ref="F393" ca="1">INDEX({"Male","Female"}, RANDBETWEEN(1,2))</f>
        <v>Male</v>
      </c>
      <c r="G393" s="29" t="str">
        <f t="shared" ca="1" si="66"/>
        <v>East</v>
      </c>
      <c r="H393" s="48">
        <f t="shared" ca="1" si="68"/>
        <v>45027</v>
      </c>
      <c r="I393" s="24">
        <f t="shared" ca="1" si="69"/>
        <v>11</v>
      </c>
      <c r="J393" s="46" t="str">
        <f t="shared" ca="1" si="74"/>
        <v>April</v>
      </c>
      <c r="K393" s="24">
        <f t="shared" ca="1" si="70"/>
        <v>2023</v>
      </c>
      <c r="L393" s="24" t="str">
        <f t="shared" ca="1" si="71"/>
        <v>Silver</v>
      </c>
      <c r="M393" s="24">
        <v>393</v>
      </c>
      <c r="N393" s="24" t="s">
        <v>957</v>
      </c>
      <c r="O393" s="24" t="s">
        <v>1251</v>
      </c>
      <c r="P393" s="26">
        <v>165</v>
      </c>
      <c r="Q393" s="26">
        <v>239.25</v>
      </c>
      <c r="R393" s="24">
        <v>393</v>
      </c>
      <c r="S393" s="24" t="str">
        <f t="shared" si="72"/>
        <v>Nov</v>
      </c>
      <c r="T393" s="46">
        <v>45254</v>
      </c>
      <c r="U393" s="24">
        <v>1</v>
      </c>
      <c r="V393" s="37">
        <v>18</v>
      </c>
      <c r="W393" s="24">
        <v>63</v>
      </c>
      <c r="X393" s="24">
        <v>1</v>
      </c>
      <c r="Y393" s="26">
        <f>combined_tbl!$Q393*(1-combined_tbl!$Z393)</f>
        <v>227.28749999999999</v>
      </c>
      <c r="Z393" s="27">
        <f>IF(combined_tbl!$Q393&gt;=500,0.2, IF(combined_tbl!$Q393&gt;=200,0.05, IF(combined_tbl!$X393&gt;=2,0.05,0)))</f>
        <v>0.05</v>
      </c>
      <c r="AA393" s="26">
        <f>combined_tbl!$Y393*combined_tbl!$X393</f>
        <v>227.28749999999999</v>
      </c>
      <c r="AB393" s="28">
        <f>(combined_tbl!$Q393*(1+combined_tbl!$Z393)-combined_tbl!$P393)*combined_tbl!$X393</f>
        <v>86.212500000000006</v>
      </c>
    </row>
    <row r="394" spans="1:28" x14ac:dyDescent="0.3">
      <c r="A394" s="19">
        <v>393</v>
      </c>
      <c r="B394" s="25" cm="1">
        <f t="array" aca="1" ref="B394" ca="1">MIN(IF($E:$E=E394,$H:$H))</f>
        <v>45400</v>
      </c>
      <c r="C394" s="25">
        <f t="shared" ca="1" si="67"/>
        <v>19</v>
      </c>
      <c r="D394" s="43">
        <f ca="1">COUNTIF(E:E,combined_tbl!$E394)</f>
        <v>5</v>
      </c>
      <c r="E394" s="29" t="str">
        <f t="shared" ca="1" si="73"/>
        <v>Customer071</v>
      </c>
      <c r="F394" s="29" t="str" cm="1">
        <f t="array" aca="1" ref="F394" ca="1">INDEX({"Male","Female"}, RANDBETWEEN(1,2))</f>
        <v>Female</v>
      </c>
      <c r="G394" s="29" t="str">
        <f t="shared" ca="1" si="66"/>
        <v>West</v>
      </c>
      <c r="H394" s="48">
        <f t="shared" ca="1" si="68"/>
        <v>45400</v>
      </c>
      <c r="I394" s="24">
        <f t="shared" ca="1" si="69"/>
        <v>18</v>
      </c>
      <c r="J394" s="46" t="str">
        <f t="shared" ca="1" si="74"/>
        <v>April</v>
      </c>
      <c r="K394" s="24">
        <f t="shared" ca="1" si="70"/>
        <v>2024</v>
      </c>
      <c r="L394" s="24" t="str">
        <f t="shared" ca="1" si="71"/>
        <v>Silver</v>
      </c>
      <c r="M394" s="29">
        <v>394</v>
      </c>
      <c r="N394" s="29" t="s">
        <v>847</v>
      </c>
      <c r="O394" s="29" t="s">
        <v>1252</v>
      </c>
      <c r="P394" s="30">
        <v>32</v>
      </c>
      <c r="Q394" s="30">
        <v>39.68</v>
      </c>
      <c r="R394" s="29">
        <v>394</v>
      </c>
      <c r="S394" s="24" t="str">
        <f t="shared" si="72"/>
        <v>Oct</v>
      </c>
      <c r="T394" s="47">
        <v>45219</v>
      </c>
      <c r="U394" s="29">
        <v>8</v>
      </c>
      <c r="V394" s="38">
        <v>135</v>
      </c>
      <c r="W394" s="29">
        <v>43</v>
      </c>
      <c r="X394" s="29">
        <v>2</v>
      </c>
      <c r="Y394" s="30">
        <f>combined_tbl!$Q394*(1-combined_tbl!$Z394)</f>
        <v>37.695999999999998</v>
      </c>
      <c r="Z394" s="31">
        <f>IF(combined_tbl!$Q394&gt;=500,0.2, IF(combined_tbl!$Q394&gt;=200,0.05, IF(combined_tbl!$X394&gt;=2,0.05,0)))</f>
        <v>0.05</v>
      </c>
      <c r="AA394" s="30">
        <f>combined_tbl!$Y394*combined_tbl!$X394</f>
        <v>75.391999999999996</v>
      </c>
      <c r="AB394" s="32">
        <f>(combined_tbl!$Q394*(1+combined_tbl!$Z394)-combined_tbl!$P394)*combined_tbl!$X394</f>
        <v>19.328000000000003</v>
      </c>
    </row>
    <row r="395" spans="1:28" x14ac:dyDescent="0.3">
      <c r="A395" s="24">
        <v>394</v>
      </c>
      <c r="B395" s="25" cm="1">
        <f t="array" aca="1" ref="B395" ca="1">MIN(IF($E:$E=E395,$H:$H))</f>
        <v>45268</v>
      </c>
      <c r="C395" s="25">
        <f t="shared" ca="1" si="67"/>
        <v>23</v>
      </c>
      <c r="D395" s="42">
        <f ca="1">COUNTIF(E:E,combined_tbl!$E395)</f>
        <v>9</v>
      </c>
      <c r="E395" s="24" t="str">
        <f t="shared" ca="1" si="73"/>
        <v>Customer012</v>
      </c>
      <c r="F395" s="24" t="str" cm="1">
        <f t="array" aca="1" ref="F395" ca="1">INDEX({"Male","Female"}, RANDBETWEEN(1,2))</f>
        <v>Male</v>
      </c>
      <c r="G395" s="29" t="str">
        <f t="shared" ca="1" si="66"/>
        <v>East</v>
      </c>
      <c r="H395" s="48">
        <f t="shared" ca="1" si="68"/>
        <v>45268</v>
      </c>
      <c r="I395" s="24">
        <f t="shared" ca="1" si="69"/>
        <v>8</v>
      </c>
      <c r="J395" s="46" t="str">
        <f t="shared" ca="1" si="74"/>
        <v>December</v>
      </c>
      <c r="K395" s="24">
        <f t="shared" ca="1" si="70"/>
        <v>2023</v>
      </c>
      <c r="L395" s="24" t="str">
        <f t="shared" ca="1" si="71"/>
        <v>Gold</v>
      </c>
      <c r="M395" s="24">
        <v>395</v>
      </c>
      <c r="N395" s="24" t="s">
        <v>954</v>
      </c>
      <c r="O395" s="24" t="s">
        <v>1253</v>
      </c>
      <c r="P395" s="26">
        <v>502</v>
      </c>
      <c r="Q395" s="26">
        <v>642.56000000000006</v>
      </c>
      <c r="R395" s="24">
        <v>395</v>
      </c>
      <c r="S395" s="24" t="str">
        <f t="shared" si="72"/>
        <v>Mar</v>
      </c>
      <c r="T395" s="46">
        <v>44998</v>
      </c>
      <c r="U395" s="24">
        <v>3</v>
      </c>
      <c r="V395" s="37">
        <v>169</v>
      </c>
      <c r="W395" s="24">
        <v>81</v>
      </c>
      <c r="X395" s="24">
        <v>1</v>
      </c>
      <c r="Y395" s="26">
        <f>combined_tbl!$Q395*(1-combined_tbl!$Z395)</f>
        <v>514.04800000000012</v>
      </c>
      <c r="Z395" s="27">
        <f>IF(combined_tbl!$Q395&gt;=500,0.2, IF(combined_tbl!$Q395&gt;=200,0.05, IF(combined_tbl!$X395&gt;=2,0.05,0)))</f>
        <v>0.2</v>
      </c>
      <c r="AA395" s="26">
        <f>combined_tbl!$Y395*combined_tbl!$X395</f>
        <v>514.04800000000012</v>
      </c>
      <c r="AB395" s="28">
        <f>(combined_tbl!$Q395*(1+combined_tbl!$Z395)-combined_tbl!$P395)*combined_tbl!$X395</f>
        <v>269.072</v>
      </c>
    </row>
    <row r="396" spans="1:28" x14ac:dyDescent="0.3">
      <c r="A396" s="29">
        <v>395</v>
      </c>
      <c r="B396" s="25" cm="1">
        <f t="array" aca="1" ref="B396" ca="1">MIN(IF($E:$E=E396,$H:$H))</f>
        <v>45787</v>
      </c>
      <c r="C396" s="25">
        <f t="shared" ca="1" si="67"/>
        <v>6</v>
      </c>
      <c r="D396" s="43">
        <f ca="1">COUNTIF(E:E,combined_tbl!$E396)</f>
        <v>8</v>
      </c>
      <c r="E396" s="29" t="str">
        <f t="shared" ca="1" si="73"/>
        <v>Customer006</v>
      </c>
      <c r="F396" s="29" t="str" cm="1">
        <f t="array" aca="1" ref="F396" ca="1">INDEX({"Male","Female"}, RANDBETWEEN(1,2))</f>
        <v>Male</v>
      </c>
      <c r="G396" s="29" t="str">
        <f t="shared" ca="1" si="66"/>
        <v>North</v>
      </c>
      <c r="H396" s="48">
        <f t="shared" ca="1" si="68"/>
        <v>45787</v>
      </c>
      <c r="I396" s="24">
        <f t="shared" ca="1" si="69"/>
        <v>10</v>
      </c>
      <c r="J396" s="46" t="str">
        <f t="shared" ca="1" si="74"/>
        <v>May</v>
      </c>
      <c r="K396" s="24">
        <f t="shared" ca="1" si="70"/>
        <v>2025</v>
      </c>
      <c r="L396" s="24" t="str">
        <f t="shared" ca="1" si="71"/>
        <v>Bronze</v>
      </c>
      <c r="M396" s="29">
        <v>396</v>
      </c>
      <c r="N396" s="29" t="s">
        <v>837</v>
      </c>
      <c r="O396" s="29" t="s">
        <v>1254</v>
      </c>
      <c r="P396" s="30">
        <v>136</v>
      </c>
      <c r="Q396" s="30">
        <v>161.84</v>
      </c>
      <c r="R396" s="29">
        <v>396</v>
      </c>
      <c r="S396" s="24" t="str">
        <f t="shared" si="72"/>
        <v>May</v>
      </c>
      <c r="T396" s="47">
        <v>45064</v>
      </c>
      <c r="U396" s="29">
        <v>4</v>
      </c>
      <c r="V396" s="38">
        <v>216</v>
      </c>
      <c r="W396" s="29">
        <v>8</v>
      </c>
      <c r="X396" s="29">
        <v>1</v>
      </c>
      <c r="Y396" s="30">
        <f>combined_tbl!$Q396*(1-combined_tbl!$Z396)</f>
        <v>161.84</v>
      </c>
      <c r="Z396" s="31">
        <f>IF(combined_tbl!$Q396&gt;=500,0.2, IF(combined_tbl!$Q396&gt;=200,0.05, IF(combined_tbl!$X396&gt;=2,0.05,0)))</f>
        <v>0</v>
      </c>
      <c r="AA396" s="30">
        <f>combined_tbl!$Y396*combined_tbl!$X396</f>
        <v>161.84</v>
      </c>
      <c r="AB396" s="32">
        <f>(combined_tbl!$Q396*(1+combined_tbl!$Z396)-combined_tbl!$P396)*combined_tbl!$X396</f>
        <v>25.840000000000003</v>
      </c>
    </row>
    <row r="397" spans="1:28" x14ac:dyDescent="0.3">
      <c r="A397" s="29">
        <v>396</v>
      </c>
      <c r="B397" s="25" cm="1">
        <f t="array" aca="1" ref="B397" ca="1">MIN(IF($E:$E=E397,$H:$H))</f>
        <v>45965</v>
      </c>
      <c r="C397" s="25">
        <f t="shared" ca="1" si="67"/>
        <v>1</v>
      </c>
      <c r="D397" s="42">
        <f ca="1">COUNTIF(E:E,combined_tbl!$E397)</f>
        <v>4</v>
      </c>
      <c r="E397" s="24" t="str">
        <f t="shared" ca="1" si="73"/>
        <v>Customer058</v>
      </c>
      <c r="F397" s="24" t="str" cm="1">
        <f t="array" aca="1" ref="F397" ca="1">INDEX({"Male","Female"}, RANDBETWEEN(1,2))</f>
        <v>Female</v>
      </c>
      <c r="G397" s="29" t="str">
        <f t="shared" ca="1" si="66"/>
        <v>North</v>
      </c>
      <c r="H397" s="48">
        <f t="shared" ca="1" si="68"/>
        <v>45965</v>
      </c>
      <c r="I397" s="24">
        <f t="shared" ca="1" si="69"/>
        <v>4</v>
      </c>
      <c r="J397" s="46" t="str">
        <f t="shared" ca="1" si="74"/>
        <v>November</v>
      </c>
      <c r="K397" s="24">
        <f t="shared" ca="1" si="70"/>
        <v>2025</v>
      </c>
      <c r="L397" s="24" t="str">
        <f t="shared" ca="1" si="71"/>
        <v>Bronze</v>
      </c>
      <c r="M397" s="24">
        <v>397</v>
      </c>
      <c r="N397" s="24" t="s">
        <v>851</v>
      </c>
      <c r="O397" s="24" t="s">
        <v>1255</v>
      </c>
      <c r="P397" s="26">
        <v>175</v>
      </c>
      <c r="Q397" s="26">
        <v>241.49999999999997</v>
      </c>
      <c r="R397" s="24">
        <v>397</v>
      </c>
      <c r="S397" s="24" t="str">
        <f t="shared" si="72"/>
        <v>Jan</v>
      </c>
      <c r="T397" s="46">
        <v>45677</v>
      </c>
      <c r="U397" s="24">
        <v>6</v>
      </c>
      <c r="V397" s="37">
        <v>127</v>
      </c>
      <c r="W397" s="24">
        <v>4</v>
      </c>
      <c r="X397" s="24">
        <v>1</v>
      </c>
      <c r="Y397" s="26">
        <f>combined_tbl!$Q397*(1-combined_tbl!$Z397)</f>
        <v>229.42499999999995</v>
      </c>
      <c r="Z397" s="27">
        <f>IF(combined_tbl!$Q397&gt;=500,0.2, IF(combined_tbl!$Q397&gt;=200,0.05, IF(combined_tbl!$X397&gt;=2,0.05,0)))</f>
        <v>0.05</v>
      </c>
      <c r="AA397" s="26">
        <f>combined_tbl!$Y397*combined_tbl!$X397</f>
        <v>229.42499999999995</v>
      </c>
      <c r="AB397" s="28">
        <f>(combined_tbl!$Q397*(1+combined_tbl!$Z397)-combined_tbl!$P397)*combined_tbl!$X397</f>
        <v>78.574999999999989</v>
      </c>
    </row>
    <row r="398" spans="1:28" x14ac:dyDescent="0.3">
      <c r="A398" s="29">
        <v>397</v>
      </c>
      <c r="B398" s="25" cm="1">
        <f t="array" aca="1" ref="B398" ca="1">MIN(IF($E:$E=E398,$H:$H))</f>
        <v>45622</v>
      </c>
      <c r="C398" s="25">
        <f t="shared" ca="1" si="67"/>
        <v>12</v>
      </c>
      <c r="D398" s="43">
        <f ca="1">COUNTIF(E:E,combined_tbl!$E398)</f>
        <v>8</v>
      </c>
      <c r="E398" s="29" t="str">
        <f t="shared" ca="1" si="73"/>
        <v>Customer023</v>
      </c>
      <c r="F398" s="29" t="str" cm="1">
        <f t="array" aca="1" ref="F398" ca="1">INDEX({"Male","Female"}, RANDBETWEEN(1,2))</f>
        <v>Female</v>
      </c>
      <c r="G398" s="29" t="str">
        <f t="shared" ca="1" si="66"/>
        <v>North</v>
      </c>
      <c r="H398" s="48">
        <f t="shared" ca="1" si="68"/>
        <v>45622</v>
      </c>
      <c r="I398" s="24">
        <f t="shared" ca="1" si="69"/>
        <v>26</v>
      </c>
      <c r="J398" s="46" t="str">
        <f t="shared" ca="1" si="74"/>
        <v>November</v>
      </c>
      <c r="K398" s="24">
        <f t="shared" ca="1" si="70"/>
        <v>2024</v>
      </c>
      <c r="L398" s="24" t="str">
        <f t="shared" ca="1" si="71"/>
        <v>Silver</v>
      </c>
      <c r="M398" s="29">
        <v>398</v>
      </c>
      <c r="N398" s="29" t="s">
        <v>837</v>
      </c>
      <c r="O398" s="29" t="s">
        <v>1256</v>
      </c>
      <c r="P398" s="30">
        <v>206</v>
      </c>
      <c r="Q398" s="30">
        <v>226.60000000000002</v>
      </c>
      <c r="R398" s="29">
        <v>398</v>
      </c>
      <c r="S398" s="24" t="str">
        <f t="shared" si="72"/>
        <v>Feb</v>
      </c>
      <c r="T398" s="47">
        <v>45711</v>
      </c>
      <c r="U398" s="29">
        <v>1</v>
      </c>
      <c r="V398" s="38">
        <v>19</v>
      </c>
      <c r="W398" s="29">
        <v>15</v>
      </c>
      <c r="X398" s="29">
        <v>1</v>
      </c>
      <c r="Y398" s="30">
        <f>combined_tbl!$Q398*(1-combined_tbl!$Z398)</f>
        <v>215.27</v>
      </c>
      <c r="Z398" s="31">
        <f>IF(combined_tbl!$Q398&gt;=500,0.2, IF(combined_tbl!$Q398&gt;=200,0.05, IF(combined_tbl!$X398&gt;=2,0.05,0)))</f>
        <v>0.05</v>
      </c>
      <c r="AA398" s="30">
        <f>combined_tbl!$Y398*combined_tbl!$X398</f>
        <v>215.27</v>
      </c>
      <c r="AB398" s="32">
        <f>(combined_tbl!$Q398*(1+combined_tbl!$Z398)-combined_tbl!$P398)*combined_tbl!$X398</f>
        <v>31.930000000000035</v>
      </c>
    </row>
    <row r="399" spans="1:28" x14ac:dyDescent="0.3">
      <c r="A399" s="29">
        <v>398</v>
      </c>
      <c r="B399" s="25" cm="1">
        <f t="array" aca="1" ref="B399" ca="1">MIN(IF($E:$E=E399,$H:$H))</f>
        <v>45995</v>
      </c>
      <c r="C399" s="25">
        <f t="shared" ca="1" si="67"/>
        <v>0</v>
      </c>
      <c r="D399" s="42">
        <f ca="1">COUNTIF(E:E,combined_tbl!$E399)</f>
        <v>8</v>
      </c>
      <c r="E399" s="24" t="str">
        <f t="shared" ca="1" si="73"/>
        <v>Customer013</v>
      </c>
      <c r="F399" s="24" t="str" cm="1">
        <f t="array" aca="1" ref="F399" ca="1">INDEX({"Male","Female"}, RANDBETWEEN(1,2))</f>
        <v>Male</v>
      </c>
      <c r="G399" s="29" t="str">
        <f t="shared" ca="1" si="66"/>
        <v>North</v>
      </c>
      <c r="H399" s="48">
        <f t="shared" ca="1" si="68"/>
        <v>45995</v>
      </c>
      <c r="I399" s="24">
        <f t="shared" ca="1" si="69"/>
        <v>4</v>
      </c>
      <c r="J399" s="46" t="str">
        <f t="shared" ca="1" si="74"/>
        <v>December</v>
      </c>
      <c r="K399" s="24">
        <f t="shared" ca="1" si="70"/>
        <v>2025</v>
      </c>
      <c r="L399" s="24" t="str">
        <f t="shared" ca="1" si="71"/>
        <v>Bronze</v>
      </c>
      <c r="M399" s="24">
        <v>399</v>
      </c>
      <c r="N399" s="24" t="s">
        <v>957</v>
      </c>
      <c r="O399" s="24" t="s">
        <v>1257</v>
      </c>
      <c r="P399" s="26">
        <v>65</v>
      </c>
      <c r="Q399" s="26">
        <v>83.850000000000009</v>
      </c>
      <c r="R399" s="24">
        <v>399</v>
      </c>
      <c r="S399" s="24" t="str">
        <f t="shared" si="72"/>
        <v>Nov</v>
      </c>
      <c r="T399" s="46">
        <v>45241</v>
      </c>
      <c r="U399" s="24">
        <v>8</v>
      </c>
      <c r="V399" s="37">
        <v>29</v>
      </c>
      <c r="W399" s="24">
        <v>10</v>
      </c>
      <c r="X399" s="24">
        <v>1</v>
      </c>
      <c r="Y399" s="26">
        <f>combined_tbl!$Q399*(1-combined_tbl!$Z399)</f>
        <v>83.850000000000009</v>
      </c>
      <c r="Z399" s="27">
        <f>IF(combined_tbl!$Q399&gt;=500,0.2, IF(combined_tbl!$Q399&gt;=200,0.05, IF(combined_tbl!$X399&gt;=2,0.05,0)))</f>
        <v>0</v>
      </c>
      <c r="AA399" s="26">
        <f>combined_tbl!$Y399*combined_tbl!$X399</f>
        <v>83.850000000000009</v>
      </c>
      <c r="AB399" s="28">
        <f>(combined_tbl!$Q399*(1+combined_tbl!$Z399)-combined_tbl!$P399)*combined_tbl!$X399</f>
        <v>18.850000000000009</v>
      </c>
    </row>
    <row r="400" spans="1:28" x14ac:dyDescent="0.3">
      <c r="A400" s="29">
        <v>399</v>
      </c>
      <c r="B400" s="25" cm="1">
        <f t="array" aca="1" ref="B400" ca="1">MIN(IF($E:$E=E400,$H:$H))</f>
        <v>45297</v>
      </c>
      <c r="C400" s="25">
        <f t="shared" ca="1" si="67"/>
        <v>22</v>
      </c>
      <c r="D400" s="43">
        <f ca="1">COUNTIF(E:E,combined_tbl!$E400)</f>
        <v>8</v>
      </c>
      <c r="E400" s="29" t="str">
        <f t="shared" ca="1" si="73"/>
        <v>Customer010</v>
      </c>
      <c r="F400" s="29" t="str" cm="1">
        <f t="array" aca="1" ref="F400" ca="1">INDEX({"Male","Female"}, RANDBETWEEN(1,2))</f>
        <v>Female</v>
      </c>
      <c r="G400" s="29" t="str">
        <f t="shared" ca="1" si="66"/>
        <v>East</v>
      </c>
      <c r="H400" s="48">
        <f t="shared" ca="1" si="68"/>
        <v>45297</v>
      </c>
      <c r="I400" s="24">
        <f t="shared" ca="1" si="69"/>
        <v>6</v>
      </c>
      <c r="J400" s="46" t="str">
        <f t="shared" ca="1" si="74"/>
        <v>January</v>
      </c>
      <c r="K400" s="24">
        <f t="shared" ca="1" si="70"/>
        <v>2024</v>
      </c>
      <c r="L400" s="24" t="str">
        <f t="shared" ca="1" si="71"/>
        <v>Gold</v>
      </c>
      <c r="M400" s="29">
        <v>400</v>
      </c>
      <c r="N400" s="29" t="s">
        <v>847</v>
      </c>
      <c r="O400" s="29" t="s">
        <v>1258</v>
      </c>
      <c r="P400" s="30">
        <v>69</v>
      </c>
      <c r="Q400" s="30">
        <v>90.39</v>
      </c>
      <c r="R400" s="29">
        <v>400</v>
      </c>
      <c r="S400" s="24" t="str">
        <f t="shared" si="72"/>
        <v>Jan</v>
      </c>
      <c r="T400" s="47">
        <v>45686</v>
      </c>
      <c r="U400" s="29">
        <v>6</v>
      </c>
      <c r="V400" s="38">
        <v>107</v>
      </c>
      <c r="W400" s="29">
        <v>29</v>
      </c>
      <c r="X400" s="29">
        <v>3</v>
      </c>
      <c r="Y400" s="30">
        <f>combined_tbl!$Q400*(1-combined_tbl!$Z400)</f>
        <v>85.870499999999993</v>
      </c>
      <c r="Z400" s="31">
        <f>IF(combined_tbl!$Q400&gt;=500,0.2, IF(combined_tbl!$Q400&gt;=200,0.05, IF(combined_tbl!$X400&gt;=2,0.05,0)))</f>
        <v>0.05</v>
      </c>
      <c r="AA400" s="30">
        <f>combined_tbl!$Y400*combined_tbl!$X400</f>
        <v>257.61149999999998</v>
      </c>
      <c r="AB400" s="32">
        <f>(combined_tbl!$Q400*(1+combined_tbl!$Z400)-combined_tbl!$P400)*combined_tbl!$X400</f>
        <v>77.728500000000025</v>
      </c>
    </row>
    <row r="401" spans="1:28" x14ac:dyDescent="0.3">
      <c r="A401" s="29">
        <v>400</v>
      </c>
      <c r="B401" s="25" cm="1">
        <f t="array" aca="1" ref="B401" ca="1">MIN(IF($E:$E=E401,$H:$H))</f>
        <v>45182</v>
      </c>
      <c r="C401" s="25">
        <f t="shared" ca="1" si="67"/>
        <v>26</v>
      </c>
      <c r="D401" s="42">
        <f ca="1">COUNTIF(E:E,combined_tbl!$E401)</f>
        <v>13</v>
      </c>
      <c r="E401" s="24" t="str">
        <f t="shared" ca="1" si="73"/>
        <v>Customer024</v>
      </c>
      <c r="F401" s="24" t="str" cm="1">
        <f t="array" aca="1" ref="F401" ca="1">INDEX({"Male","Female"}, RANDBETWEEN(1,2))</f>
        <v>Male</v>
      </c>
      <c r="G401" s="29" t="str">
        <f t="shared" ca="1" si="66"/>
        <v>East</v>
      </c>
      <c r="H401" s="48">
        <f t="shared" ca="1" si="68"/>
        <v>45182</v>
      </c>
      <c r="I401" s="24">
        <f t="shared" ca="1" si="69"/>
        <v>13</v>
      </c>
      <c r="J401" s="46" t="str">
        <f t="shared" ca="1" si="74"/>
        <v>September</v>
      </c>
      <c r="K401" s="24">
        <f t="shared" ca="1" si="70"/>
        <v>2023</v>
      </c>
      <c r="L401" s="24" t="str">
        <f t="shared" ca="1" si="71"/>
        <v>Platinum</v>
      </c>
      <c r="M401" s="24">
        <v>401</v>
      </c>
      <c r="N401" s="24" t="s">
        <v>847</v>
      </c>
      <c r="O401" s="24" t="s">
        <v>1259</v>
      </c>
      <c r="P401" s="26">
        <v>85</v>
      </c>
      <c r="Q401" s="26">
        <v>119.85</v>
      </c>
      <c r="R401" s="24">
        <v>401</v>
      </c>
      <c r="S401" s="24" t="str">
        <f t="shared" si="72"/>
        <v>Jun</v>
      </c>
      <c r="T401" s="46">
        <v>45836</v>
      </c>
      <c r="U401" s="24">
        <v>2</v>
      </c>
      <c r="V401" s="37">
        <v>73</v>
      </c>
      <c r="W401" s="24">
        <v>21</v>
      </c>
      <c r="X401" s="24">
        <v>1</v>
      </c>
      <c r="Y401" s="26">
        <f>combined_tbl!$Q401*(1-combined_tbl!$Z401)</f>
        <v>119.85</v>
      </c>
      <c r="Z401" s="27">
        <f>IF(combined_tbl!$Q401&gt;=500,0.2, IF(combined_tbl!$Q401&gt;=200,0.05, IF(combined_tbl!$X401&gt;=2,0.05,0)))</f>
        <v>0</v>
      </c>
      <c r="AA401" s="26">
        <f>combined_tbl!$Y401*combined_tbl!$X401</f>
        <v>119.85</v>
      </c>
      <c r="AB401" s="28">
        <f>(combined_tbl!$Q401*(1+combined_tbl!$Z401)-combined_tbl!$P401)*combined_tbl!$X401</f>
        <v>34.849999999999994</v>
      </c>
    </row>
    <row r="402" spans="1:28" x14ac:dyDescent="0.3">
      <c r="A402" s="19">
        <v>401</v>
      </c>
      <c r="B402" s="25" cm="1">
        <f t="array" aca="1" ref="B402" ca="1">MIN(IF($E:$E=E402,$H:$H))</f>
        <v>45182</v>
      </c>
      <c r="C402" s="25">
        <f t="shared" ca="1" si="67"/>
        <v>26</v>
      </c>
      <c r="D402" s="43">
        <f ca="1">COUNTIF(E:E,combined_tbl!$E402)</f>
        <v>13</v>
      </c>
      <c r="E402" s="29" t="str">
        <f t="shared" ca="1" si="73"/>
        <v>Customer024</v>
      </c>
      <c r="F402" s="29" t="str" cm="1">
        <f t="array" aca="1" ref="F402" ca="1">INDEX({"Male","Female"}, RANDBETWEEN(1,2))</f>
        <v>Male</v>
      </c>
      <c r="G402" s="29" t="str">
        <f t="shared" ca="1" si="66"/>
        <v>East</v>
      </c>
      <c r="H402" s="48">
        <f t="shared" ca="1" si="68"/>
        <v>45182</v>
      </c>
      <c r="I402" s="24">
        <f t="shared" ca="1" si="69"/>
        <v>13</v>
      </c>
      <c r="J402" s="46" t="str">
        <f t="shared" ca="1" si="74"/>
        <v>September</v>
      </c>
      <c r="K402" s="24">
        <f t="shared" ca="1" si="70"/>
        <v>2023</v>
      </c>
      <c r="L402" s="24" t="str">
        <f t="shared" ca="1" si="71"/>
        <v>Platinum</v>
      </c>
      <c r="M402" s="29">
        <v>402</v>
      </c>
      <c r="N402" s="29" t="s">
        <v>831</v>
      </c>
      <c r="O402" s="29" t="s">
        <v>1260</v>
      </c>
      <c r="P402" s="30">
        <v>248</v>
      </c>
      <c r="Q402" s="30">
        <v>322.40000000000003</v>
      </c>
      <c r="R402" s="29">
        <v>402</v>
      </c>
      <c r="S402" s="24" t="str">
        <f t="shared" si="72"/>
        <v>Oct</v>
      </c>
      <c r="T402" s="47">
        <v>45208</v>
      </c>
      <c r="U402" s="29">
        <v>6</v>
      </c>
      <c r="V402" s="38">
        <v>127</v>
      </c>
      <c r="W402" s="29">
        <v>9</v>
      </c>
      <c r="X402" s="29">
        <v>1</v>
      </c>
      <c r="Y402" s="30">
        <f>combined_tbl!$Q402*(1-combined_tbl!$Z402)</f>
        <v>306.28000000000003</v>
      </c>
      <c r="Z402" s="31">
        <f>IF(combined_tbl!$Q402&gt;=500,0.2, IF(combined_tbl!$Q402&gt;=200,0.05, IF(combined_tbl!$X402&gt;=2,0.05,0)))</f>
        <v>0.05</v>
      </c>
      <c r="AA402" s="30">
        <f>combined_tbl!$Y402*combined_tbl!$X402</f>
        <v>306.28000000000003</v>
      </c>
      <c r="AB402" s="32">
        <f>(combined_tbl!$Q402*(1+combined_tbl!$Z402)-combined_tbl!$P402)*combined_tbl!$X402</f>
        <v>90.520000000000039</v>
      </c>
    </row>
    <row r="403" spans="1:28" x14ac:dyDescent="0.3">
      <c r="A403" s="24">
        <v>402</v>
      </c>
      <c r="B403" s="25" cm="1">
        <f t="array" aca="1" ref="B403" ca="1">MIN(IF($E:$E=E403,$H:$H))</f>
        <v>45094</v>
      </c>
      <c r="C403" s="25">
        <f t="shared" ca="1" si="67"/>
        <v>29</v>
      </c>
      <c r="D403" s="42">
        <f ca="1">COUNTIF(E:E,combined_tbl!$E403)</f>
        <v>9</v>
      </c>
      <c r="E403" s="24" t="str">
        <f t="shared" ca="1" si="73"/>
        <v>Customer069</v>
      </c>
      <c r="F403" s="24" t="str" cm="1">
        <f t="array" aca="1" ref="F403" ca="1">INDEX({"Male","Female"}, RANDBETWEEN(1,2))</f>
        <v>Male</v>
      </c>
      <c r="G403" s="29" t="str">
        <f t="shared" ca="1" si="66"/>
        <v>North</v>
      </c>
      <c r="H403" s="48">
        <f t="shared" ca="1" si="68"/>
        <v>45094</v>
      </c>
      <c r="I403" s="24">
        <f t="shared" ca="1" si="69"/>
        <v>17</v>
      </c>
      <c r="J403" s="46" t="str">
        <f t="shared" ca="1" si="74"/>
        <v>June</v>
      </c>
      <c r="K403" s="24">
        <f t="shared" ca="1" si="70"/>
        <v>2023</v>
      </c>
      <c r="L403" s="24" t="str">
        <f t="shared" ca="1" si="71"/>
        <v>Gold</v>
      </c>
      <c r="M403" s="24">
        <v>403</v>
      </c>
      <c r="N403" s="24" t="s">
        <v>851</v>
      </c>
      <c r="O403" s="24" t="s">
        <v>1261</v>
      </c>
      <c r="P403" s="26">
        <v>33</v>
      </c>
      <c r="Q403" s="26">
        <v>42.9</v>
      </c>
      <c r="R403" s="24">
        <v>403</v>
      </c>
      <c r="S403" s="24" t="str">
        <f t="shared" si="72"/>
        <v>Mar</v>
      </c>
      <c r="T403" s="46">
        <v>45742</v>
      </c>
      <c r="U403" s="24">
        <v>6</v>
      </c>
      <c r="V403" s="37">
        <v>161</v>
      </c>
      <c r="W403" s="24">
        <v>5</v>
      </c>
      <c r="X403" s="24">
        <v>1</v>
      </c>
      <c r="Y403" s="26">
        <f>combined_tbl!$Q403*(1-combined_tbl!$Z403)</f>
        <v>42.9</v>
      </c>
      <c r="Z403" s="27">
        <f>IF(combined_tbl!$Q403&gt;=500,0.2, IF(combined_tbl!$Q403&gt;=200,0.05, IF(combined_tbl!$X403&gt;=2,0.05,0)))</f>
        <v>0</v>
      </c>
      <c r="AA403" s="26">
        <f>combined_tbl!$Y403*combined_tbl!$X403</f>
        <v>42.9</v>
      </c>
      <c r="AB403" s="28">
        <f>(combined_tbl!$Q403*(1+combined_tbl!$Z403)-combined_tbl!$P403)*combined_tbl!$X403</f>
        <v>9.8999999999999986</v>
      </c>
    </row>
    <row r="404" spans="1:28" x14ac:dyDescent="0.3">
      <c r="A404" s="29">
        <v>403</v>
      </c>
      <c r="B404" s="25" cm="1">
        <f t="array" aca="1" ref="B404" ca="1">MIN(IF($E:$E=E404,$H:$H))</f>
        <v>45809</v>
      </c>
      <c r="C404" s="25">
        <f t="shared" ca="1" si="67"/>
        <v>6</v>
      </c>
      <c r="D404" s="43">
        <f ca="1">COUNTIF(E:E,combined_tbl!$E404)</f>
        <v>10</v>
      </c>
      <c r="E404" s="29" t="str">
        <f t="shared" ca="1" si="73"/>
        <v>Customer019</v>
      </c>
      <c r="F404" s="29" t="str" cm="1">
        <f t="array" aca="1" ref="F404" ca="1">INDEX({"Male","Female"}, RANDBETWEEN(1,2))</f>
        <v>Female</v>
      </c>
      <c r="G404" s="29" t="str">
        <f t="shared" ca="1" si="66"/>
        <v>North</v>
      </c>
      <c r="H404" s="48">
        <f t="shared" ca="1" si="68"/>
        <v>45809</v>
      </c>
      <c r="I404" s="24">
        <f t="shared" ca="1" si="69"/>
        <v>1</v>
      </c>
      <c r="J404" s="46" t="str">
        <f t="shared" ca="1" si="74"/>
        <v>June</v>
      </c>
      <c r="K404" s="24">
        <f t="shared" ca="1" si="70"/>
        <v>2025</v>
      </c>
      <c r="L404" s="24" t="str">
        <f t="shared" ca="1" si="71"/>
        <v>Bronze</v>
      </c>
      <c r="M404" s="29">
        <v>404</v>
      </c>
      <c r="N404" s="29" t="s">
        <v>831</v>
      </c>
      <c r="O404" s="29" t="s">
        <v>1262</v>
      </c>
      <c r="P404" s="30">
        <v>192</v>
      </c>
      <c r="Q404" s="30">
        <v>238.07999999999998</v>
      </c>
      <c r="R404" s="29">
        <v>404</v>
      </c>
      <c r="S404" s="24" t="str">
        <f t="shared" si="72"/>
        <v>Jul</v>
      </c>
      <c r="T404" s="47">
        <v>45497</v>
      </c>
      <c r="U404" s="29">
        <v>4</v>
      </c>
      <c r="V404" s="38">
        <v>46</v>
      </c>
      <c r="W404" s="29">
        <v>15</v>
      </c>
      <c r="X404" s="29">
        <v>2</v>
      </c>
      <c r="Y404" s="30">
        <f>combined_tbl!$Q404*(1-combined_tbl!$Z404)</f>
        <v>226.17599999999999</v>
      </c>
      <c r="Z404" s="31">
        <f>IF(combined_tbl!$Q404&gt;=500,0.2, IF(combined_tbl!$Q404&gt;=200,0.05, IF(combined_tbl!$X404&gt;=2,0.05,0)))</f>
        <v>0.05</v>
      </c>
      <c r="AA404" s="30">
        <f>combined_tbl!$Y404*combined_tbl!$X404</f>
        <v>452.35199999999998</v>
      </c>
      <c r="AB404" s="32">
        <f>(combined_tbl!$Q404*(1+combined_tbl!$Z404)-combined_tbl!$P404)*combined_tbl!$X404</f>
        <v>115.96799999999996</v>
      </c>
    </row>
    <row r="405" spans="1:28" x14ac:dyDescent="0.3">
      <c r="A405" s="29">
        <v>404</v>
      </c>
      <c r="B405" s="25" cm="1">
        <f t="array" aca="1" ref="B405" ca="1">MIN(IF($E:$E=E405,$H:$H))</f>
        <v>45356</v>
      </c>
      <c r="C405" s="25">
        <f t="shared" ca="1" si="67"/>
        <v>20</v>
      </c>
      <c r="D405" s="42">
        <f ca="1">COUNTIF(E:E,combined_tbl!$E405)</f>
        <v>2</v>
      </c>
      <c r="E405" s="24" t="str">
        <f t="shared" ca="1" si="73"/>
        <v>Customer053</v>
      </c>
      <c r="F405" s="24" t="str" cm="1">
        <f t="array" aca="1" ref="F405" ca="1">INDEX({"Male","Female"}, RANDBETWEEN(1,2))</f>
        <v>Female</v>
      </c>
      <c r="G405" s="29" t="str">
        <f t="shared" ca="1" si="66"/>
        <v>North</v>
      </c>
      <c r="H405" s="48">
        <f t="shared" ca="1" si="68"/>
        <v>45356</v>
      </c>
      <c r="I405" s="24">
        <f t="shared" ca="1" si="69"/>
        <v>5</v>
      </c>
      <c r="J405" s="46" t="str">
        <f t="shared" ca="1" si="74"/>
        <v>March</v>
      </c>
      <c r="K405" s="24">
        <f t="shared" ca="1" si="70"/>
        <v>2024</v>
      </c>
      <c r="L405" s="24" t="str">
        <f t="shared" ca="1" si="71"/>
        <v>Bronze</v>
      </c>
      <c r="M405" s="24">
        <v>405</v>
      </c>
      <c r="N405" s="24" t="s">
        <v>872</v>
      </c>
      <c r="O405" s="24" t="s">
        <v>1263</v>
      </c>
      <c r="P405" s="26">
        <v>128</v>
      </c>
      <c r="Q405" s="26">
        <v>154.88</v>
      </c>
      <c r="R405" s="24">
        <v>405</v>
      </c>
      <c r="S405" s="24" t="str">
        <f t="shared" si="72"/>
        <v>Aug</v>
      </c>
      <c r="T405" s="46">
        <v>45159</v>
      </c>
      <c r="U405" s="24">
        <v>1</v>
      </c>
      <c r="V405" s="37">
        <v>35</v>
      </c>
      <c r="W405" s="24">
        <v>14</v>
      </c>
      <c r="X405" s="24">
        <v>4</v>
      </c>
      <c r="Y405" s="26">
        <f>combined_tbl!$Q405*(1-combined_tbl!$Z405)</f>
        <v>147.136</v>
      </c>
      <c r="Z405" s="27">
        <f>IF(combined_tbl!$Q405&gt;=500,0.2, IF(combined_tbl!$Q405&gt;=200,0.05, IF(combined_tbl!$X405&gt;=2,0.05,0)))</f>
        <v>0.05</v>
      </c>
      <c r="AA405" s="26">
        <f>combined_tbl!$Y405*combined_tbl!$X405</f>
        <v>588.54399999999998</v>
      </c>
      <c r="AB405" s="28">
        <f>(combined_tbl!$Q405*(1+combined_tbl!$Z405)-combined_tbl!$P405)*combined_tbl!$X405</f>
        <v>138.49599999999998</v>
      </c>
    </row>
    <row r="406" spans="1:28" x14ac:dyDescent="0.3">
      <c r="A406" s="29">
        <v>405</v>
      </c>
      <c r="B406" s="25" cm="1">
        <f t="array" aca="1" ref="B406" ca="1">MIN(IF($E:$E=E406,$H:$H))</f>
        <v>44992</v>
      </c>
      <c r="C406" s="25">
        <f t="shared" ca="1" si="67"/>
        <v>32</v>
      </c>
      <c r="D406" s="43">
        <f ca="1">COUNTIF(E:E,combined_tbl!$E406)</f>
        <v>8</v>
      </c>
      <c r="E406" s="29" t="str">
        <f t="shared" ca="1" si="73"/>
        <v>Customer020</v>
      </c>
      <c r="F406" s="29" t="str" cm="1">
        <f t="array" aca="1" ref="F406" ca="1">INDEX({"Male","Female"}, RANDBETWEEN(1,2))</f>
        <v>Female</v>
      </c>
      <c r="G406" s="29" t="str">
        <f t="shared" ca="1" si="66"/>
        <v>South</v>
      </c>
      <c r="H406" s="48">
        <f t="shared" ca="1" si="68"/>
        <v>44992</v>
      </c>
      <c r="I406" s="24">
        <f t="shared" ca="1" si="69"/>
        <v>7</v>
      </c>
      <c r="J406" s="46" t="str">
        <f t="shared" ca="1" si="74"/>
        <v>March</v>
      </c>
      <c r="K406" s="24">
        <f t="shared" ca="1" si="70"/>
        <v>2023</v>
      </c>
      <c r="L406" s="24" t="str">
        <f t="shared" ca="1" si="71"/>
        <v>Gold</v>
      </c>
      <c r="M406" s="29">
        <v>406</v>
      </c>
      <c r="N406" s="29" t="s">
        <v>955</v>
      </c>
      <c r="O406" s="29" t="s">
        <v>1264</v>
      </c>
      <c r="P406" s="30">
        <v>253</v>
      </c>
      <c r="Q406" s="30">
        <v>344.08</v>
      </c>
      <c r="R406" s="29">
        <v>406</v>
      </c>
      <c r="S406" s="24" t="str">
        <f t="shared" si="72"/>
        <v>Jan</v>
      </c>
      <c r="T406" s="47">
        <v>45308</v>
      </c>
      <c r="U406" s="29">
        <v>8</v>
      </c>
      <c r="V406" s="38">
        <v>199</v>
      </c>
      <c r="W406" s="29">
        <v>51</v>
      </c>
      <c r="X406" s="29">
        <v>1</v>
      </c>
      <c r="Y406" s="30">
        <f>combined_tbl!$Q406*(1-combined_tbl!$Z406)</f>
        <v>326.87599999999998</v>
      </c>
      <c r="Z406" s="31">
        <f>IF(combined_tbl!$Q406&gt;=500,0.2, IF(combined_tbl!$Q406&gt;=200,0.05, IF(combined_tbl!$X406&gt;=2,0.05,0)))</f>
        <v>0.05</v>
      </c>
      <c r="AA406" s="30">
        <f>combined_tbl!$Y406*combined_tbl!$X406</f>
        <v>326.87599999999998</v>
      </c>
      <c r="AB406" s="32">
        <f>(combined_tbl!$Q406*(1+combined_tbl!$Z406)-combined_tbl!$P406)*combined_tbl!$X406</f>
        <v>108.28399999999999</v>
      </c>
    </row>
    <row r="407" spans="1:28" x14ac:dyDescent="0.3">
      <c r="A407" s="29">
        <v>406</v>
      </c>
      <c r="B407" s="25" cm="1">
        <f t="array" aca="1" ref="B407" ca="1">MIN(IF($E:$E=E407,$H:$H))</f>
        <v>45260</v>
      </c>
      <c r="C407" s="25">
        <f t="shared" ca="1" si="67"/>
        <v>24</v>
      </c>
      <c r="D407" s="42">
        <f ca="1">COUNTIF(E:E,combined_tbl!$E407)</f>
        <v>13</v>
      </c>
      <c r="E407" s="24" t="str">
        <f t="shared" ca="1" si="73"/>
        <v>Customer001</v>
      </c>
      <c r="F407" s="24" t="str" cm="1">
        <f t="array" aca="1" ref="F407" ca="1">INDEX({"Male","Female"}, RANDBETWEEN(1,2))</f>
        <v>Female</v>
      </c>
      <c r="G407" s="29" t="str">
        <f t="shared" ca="1" si="66"/>
        <v>South</v>
      </c>
      <c r="H407" s="48">
        <f t="shared" ca="1" si="68"/>
        <v>45260</v>
      </c>
      <c r="I407" s="24">
        <f t="shared" ca="1" si="69"/>
        <v>30</v>
      </c>
      <c r="J407" s="46" t="str">
        <f t="shared" ca="1" si="74"/>
        <v>November</v>
      </c>
      <c r="K407" s="24">
        <f t="shared" ca="1" si="70"/>
        <v>2023</v>
      </c>
      <c r="L407" s="24" t="str">
        <f t="shared" ca="1" si="71"/>
        <v>Platinum</v>
      </c>
      <c r="M407" s="24">
        <v>407</v>
      </c>
      <c r="N407" s="24" t="s">
        <v>955</v>
      </c>
      <c r="O407" s="24" t="s">
        <v>1265</v>
      </c>
      <c r="P407" s="26">
        <v>56</v>
      </c>
      <c r="Q407" s="26">
        <v>76.16</v>
      </c>
      <c r="R407" s="24">
        <v>407</v>
      </c>
      <c r="S407" s="24" t="str">
        <f t="shared" si="72"/>
        <v>Mar</v>
      </c>
      <c r="T407" s="46">
        <v>45719</v>
      </c>
      <c r="U407" s="24">
        <v>2</v>
      </c>
      <c r="V407" s="37">
        <v>199</v>
      </c>
      <c r="W407" s="24">
        <v>8</v>
      </c>
      <c r="X407" s="24">
        <v>1</v>
      </c>
      <c r="Y407" s="26">
        <f>combined_tbl!$Q407*(1-combined_tbl!$Z407)</f>
        <v>76.16</v>
      </c>
      <c r="Z407" s="27">
        <f>IF(combined_tbl!$Q407&gt;=500,0.2, IF(combined_tbl!$Q407&gt;=200,0.05, IF(combined_tbl!$X407&gt;=2,0.05,0)))</f>
        <v>0</v>
      </c>
      <c r="AA407" s="26">
        <f>combined_tbl!$Y407*combined_tbl!$X407</f>
        <v>76.16</v>
      </c>
      <c r="AB407" s="28">
        <f>(combined_tbl!$Q407*(1+combined_tbl!$Z407)-combined_tbl!$P407)*combined_tbl!$X407</f>
        <v>20.159999999999997</v>
      </c>
    </row>
    <row r="408" spans="1:28" x14ac:dyDescent="0.3">
      <c r="A408" s="29">
        <v>407</v>
      </c>
      <c r="B408" s="25" cm="1">
        <f t="array" aca="1" ref="B408" ca="1">MIN(IF($E:$E=E408,$H:$H))</f>
        <v>45438</v>
      </c>
      <c r="C408" s="25">
        <f t="shared" ca="1" si="67"/>
        <v>18</v>
      </c>
      <c r="D408" s="43">
        <f ca="1">COUNTIF(E:E,combined_tbl!$E408)</f>
        <v>2</v>
      </c>
      <c r="E408" s="29" t="str">
        <f t="shared" ca="1" si="73"/>
        <v>Customer136</v>
      </c>
      <c r="F408" s="29" t="str" cm="1">
        <f t="array" aca="1" ref="F408" ca="1">INDEX({"Male","Female"}, RANDBETWEEN(1,2))</f>
        <v>Male</v>
      </c>
      <c r="G408" s="29" t="str">
        <f t="shared" ca="1" si="66"/>
        <v>South</v>
      </c>
      <c r="H408" s="48">
        <f t="shared" ca="1" si="68"/>
        <v>45438</v>
      </c>
      <c r="I408" s="24">
        <f t="shared" ca="1" si="69"/>
        <v>26</v>
      </c>
      <c r="J408" s="46" t="str">
        <f t="shared" ca="1" si="74"/>
        <v>May</v>
      </c>
      <c r="K408" s="24">
        <f t="shared" ca="1" si="70"/>
        <v>2024</v>
      </c>
      <c r="L408" s="24" t="str">
        <f t="shared" ca="1" si="71"/>
        <v>Bronze</v>
      </c>
      <c r="M408" s="29">
        <v>408</v>
      </c>
      <c r="N408" s="29" t="s">
        <v>847</v>
      </c>
      <c r="O408" s="29" t="s">
        <v>1266</v>
      </c>
      <c r="P408" s="30">
        <v>84</v>
      </c>
      <c r="Q408" s="30">
        <v>101.64</v>
      </c>
      <c r="R408" s="29">
        <v>408</v>
      </c>
      <c r="S408" s="24" t="str">
        <f t="shared" si="72"/>
        <v>Jun</v>
      </c>
      <c r="T408" s="47">
        <v>45463</v>
      </c>
      <c r="U408" s="29">
        <v>5</v>
      </c>
      <c r="V408" s="38">
        <v>44</v>
      </c>
      <c r="W408" s="29">
        <v>73</v>
      </c>
      <c r="X408" s="29">
        <v>2</v>
      </c>
      <c r="Y408" s="30">
        <f>combined_tbl!$Q408*(1-combined_tbl!$Z408)</f>
        <v>96.557999999999993</v>
      </c>
      <c r="Z408" s="31">
        <f>IF(combined_tbl!$Q408&gt;=500,0.2, IF(combined_tbl!$Q408&gt;=200,0.05, IF(combined_tbl!$X408&gt;=2,0.05,0)))</f>
        <v>0.05</v>
      </c>
      <c r="AA408" s="30">
        <f>combined_tbl!$Y408*combined_tbl!$X408</f>
        <v>193.11599999999999</v>
      </c>
      <c r="AB408" s="32">
        <f>(combined_tbl!$Q408*(1+combined_tbl!$Z408)-combined_tbl!$P408)*combined_tbl!$X408</f>
        <v>45.444000000000017</v>
      </c>
    </row>
    <row r="409" spans="1:28" x14ac:dyDescent="0.3">
      <c r="A409" s="29">
        <v>408</v>
      </c>
      <c r="B409" s="25" cm="1">
        <f t="array" aca="1" ref="B409" ca="1">MIN(IF($E:$E=E409,$H:$H))</f>
        <v>45270</v>
      </c>
      <c r="C409" s="25">
        <f t="shared" ca="1" si="67"/>
        <v>23</v>
      </c>
      <c r="D409" s="42">
        <f ca="1">COUNTIF(E:E,combined_tbl!$E409)</f>
        <v>3</v>
      </c>
      <c r="E409" s="24" t="str">
        <f t="shared" ca="1" si="73"/>
        <v>Customer094</v>
      </c>
      <c r="F409" s="24" t="str" cm="1">
        <f t="array" aca="1" ref="F409" ca="1">INDEX({"Male","Female"}, RANDBETWEEN(1,2))</f>
        <v>Female</v>
      </c>
      <c r="G409" s="29" t="str">
        <f t="shared" ca="1" si="66"/>
        <v>North</v>
      </c>
      <c r="H409" s="48">
        <f t="shared" ca="1" si="68"/>
        <v>45270</v>
      </c>
      <c r="I409" s="24">
        <f t="shared" ca="1" si="69"/>
        <v>10</v>
      </c>
      <c r="J409" s="46" t="str">
        <f t="shared" ca="1" si="74"/>
        <v>December</v>
      </c>
      <c r="K409" s="24">
        <f t="shared" ca="1" si="70"/>
        <v>2023</v>
      </c>
      <c r="L409" s="24" t="str">
        <f t="shared" ca="1" si="71"/>
        <v>Silver</v>
      </c>
      <c r="M409" s="24">
        <v>409</v>
      </c>
      <c r="N409" s="24" t="s">
        <v>954</v>
      </c>
      <c r="O409" s="24" t="s">
        <v>1267</v>
      </c>
      <c r="P409" s="26">
        <v>201</v>
      </c>
      <c r="Q409" s="26">
        <v>241.2</v>
      </c>
      <c r="R409" s="24">
        <v>409</v>
      </c>
      <c r="S409" s="24" t="str">
        <f t="shared" si="72"/>
        <v>Jul</v>
      </c>
      <c r="T409" s="46">
        <v>45840</v>
      </c>
      <c r="U409" s="24">
        <v>4</v>
      </c>
      <c r="V409" s="37">
        <v>206</v>
      </c>
      <c r="W409" s="24">
        <v>40</v>
      </c>
      <c r="X409" s="24">
        <v>1</v>
      </c>
      <c r="Y409" s="26">
        <f>combined_tbl!$Q409*(1-combined_tbl!$Z409)</f>
        <v>229.14</v>
      </c>
      <c r="Z409" s="27">
        <f>IF(combined_tbl!$Q409&gt;=500,0.2, IF(combined_tbl!$Q409&gt;=200,0.05, IF(combined_tbl!$X409&gt;=2,0.05,0)))</f>
        <v>0.05</v>
      </c>
      <c r="AA409" s="26">
        <f>combined_tbl!$Y409*combined_tbl!$X409</f>
        <v>229.14</v>
      </c>
      <c r="AB409" s="28">
        <f>(combined_tbl!$Q409*(1+combined_tbl!$Z409)-combined_tbl!$P409)*combined_tbl!$X409</f>
        <v>52.259999999999991</v>
      </c>
    </row>
    <row r="410" spans="1:28" x14ac:dyDescent="0.3">
      <c r="A410" s="19">
        <v>409</v>
      </c>
      <c r="B410" s="25" cm="1">
        <f t="array" aca="1" ref="B410" ca="1">MIN(IF($E:$E=E410,$H:$H))</f>
        <v>45014</v>
      </c>
      <c r="C410" s="25">
        <f t="shared" ca="1" si="67"/>
        <v>32</v>
      </c>
      <c r="D410" s="43">
        <f ca="1">COUNTIF(E:E,combined_tbl!$E410)</f>
        <v>10</v>
      </c>
      <c r="E410" s="29" t="str">
        <f t="shared" ca="1" si="73"/>
        <v>Customer022</v>
      </c>
      <c r="F410" s="29" t="str" cm="1">
        <f t="array" aca="1" ref="F410" ca="1">INDEX({"Male","Female"}, RANDBETWEEN(1,2))</f>
        <v>Female</v>
      </c>
      <c r="G410" s="29" t="str">
        <f t="shared" ca="1" si="66"/>
        <v>South</v>
      </c>
      <c r="H410" s="48">
        <f t="shared" ca="1" si="68"/>
        <v>45014</v>
      </c>
      <c r="I410" s="24">
        <f t="shared" ca="1" si="69"/>
        <v>29</v>
      </c>
      <c r="J410" s="46" t="str">
        <f t="shared" ca="1" si="74"/>
        <v>March</v>
      </c>
      <c r="K410" s="24">
        <f t="shared" ca="1" si="70"/>
        <v>2023</v>
      </c>
      <c r="L410" s="24" t="str">
        <f t="shared" ca="1" si="71"/>
        <v>Platinum</v>
      </c>
      <c r="M410" s="29">
        <v>410</v>
      </c>
      <c r="N410" s="29" t="s">
        <v>831</v>
      </c>
      <c r="O410" s="29" t="s">
        <v>1268</v>
      </c>
      <c r="P410" s="30">
        <v>230</v>
      </c>
      <c r="Q410" s="30">
        <v>322</v>
      </c>
      <c r="R410" s="29">
        <v>410</v>
      </c>
      <c r="S410" s="24" t="str">
        <f t="shared" si="72"/>
        <v>Aug</v>
      </c>
      <c r="T410" s="47">
        <v>45511</v>
      </c>
      <c r="U410" s="29">
        <v>8</v>
      </c>
      <c r="V410" s="38">
        <v>11</v>
      </c>
      <c r="W410" s="29">
        <v>9</v>
      </c>
      <c r="X410" s="29">
        <v>1</v>
      </c>
      <c r="Y410" s="30">
        <f>combined_tbl!$Q410*(1-combined_tbl!$Z410)</f>
        <v>305.89999999999998</v>
      </c>
      <c r="Z410" s="31">
        <f>IF(combined_tbl!$Q410&gt;=500,0.2, IF(combined_tbl!$Q410&gt;=200,0.05, IF(combined_tbl!$X410&gt;=2,0.05,0)))</f>
        <v>0.05</v>
      </c>
      <c r="AA410" s="30">
        <f>combined_tbl!$Y410*combined_tbl!$X410</f>
        <v>305.89999999999998</v>
      </c>
      <c r="AB410" s="32">
        <f>(combined_tbl!$Q410*(1+combined_tbl!$Z410)-combined_tbl!$P410)*combined_tbl!$X410</f>
        <v>108.10000000000002</v>
      </c>
    </row>
    <row r="411" spans="1:28" x14ac:dyDescent="0.3">
      <c r="A411" s="24">
        <v>410</v>
      </c>
      <c r="B411" s="25" cm="1">
        <f t="array" aca="1" ref="B411" ca="1">MIN(IF($E:$E=E411,$H:$H))</f>
        <v>45439</v>
      </c>
      <c r="C411" s="25">
        <f t="shared" ca="1" si="67"/>
        <v>18</v>
      </c>
      <c r="D411" s="42">
        <f ca="1">COUNTIF(E:E,combined_tbl!$E411)</f>
        <v>10</v>
      </c>
      <c r="E411" s="24" t="str">
        <f t="shared" ca="1" si="73"/>
        <v>Customer018</v>
      </c>
      <c r="F411" s="24" t="str" cm="1">
        <f t="array" aca="1" ref="F411" ca="1">INDEX({"Male","Female"}, RANDBETWEEN(1,2))</f>
        <v>Female</v>
      </c>
      <c r="G411" s="29" t="str">
        <f t="shared" ca="1" si="66"/>
        <v>East</v>
      </c>
      <c r="H411" s="48">
        <f t="shared" ca="1" si="68"/>
        <v>45439</v>
      </c>
      <c r="I411" s="24">
        <f t="shared" ca="1" si="69"/>
        <v>27</v>
      </c>
      <c r="J411" s="46" t="str">
        <f t="shared" ca="1" si="74"/>
        <v>May</v>
      </c>
      <c r="K411" s="24">
        <f t="shared" ca="1" si="70"/>
        <v>2024</v>
      </c>
      <c r="L411" s="24" t="str">
        <f t="shared" ca="1" si="71"/>
        <v>Gold</v>
      </c>
      <c r="M411" s="24">
        <v>411</v>
      </c>
      <c r="N411" s="24" t="s">
        <v>872</v>
      </c>
      <c r="O411" s="24" t="s">
        <v>1269</v>
      </c>
      <c r="P411" s="26">
        <v>121</v>
      </c>
      <c r="Q411" s="26">
        <v>169.39999999999998</v>
      </c>
      <c r="R411" s="24">
        <v>411</v>
      </c>
      <c r="S411" s="24" t="str">
        <f t="shared" si="72"/>
        <v>Feb</v>
      </c>
      <c r="T411" s="46">
        <v>45336</v>
      </c>
      <c r="U411" s="24">
        <v>2</v>
      </c>
      <c r="V411" s="37">
        <v>10</v>
      </c>
      <c r="W411" s="24">
        <v>82</v>
      </c>
      <c r="X411" s="24">
        <v>1</v>
      </c>
      <c r="Y411" s="26">
        <f>combined_tbl!$Q411*(1-combined_tbl!$Z411)</f>
        <v>169.39999999999998</v>
      </c>
      <c r="Z411" s="27">
        <f>IF(combined_tbl!$Q411&gt;=500,0.2, IF(combined_tbl!$Q411&gt;=200,0.05, IF(combined_tbl!$X411&gt;=2,0.05,0)))</f>
        <v>0</v>
      </c>
      <c r="AA411" s="26">
        <f>combined_tbl!$Y411*combined_tbl!$X411</f>
        <v>169.39999999999998</v>
      </c>
      <c r="AB411" s="28">
        <f>(combined_tbl!$Q411*(1+combined_tbl!$Z411)-combined_tbl!$P411)*combined_tbl!$X411</f>
        <v>48.399999999999977</v>
      </c>
    </row>
    <row r="412" spans="1:28" x14ac:dyDescent="0.3">
      <c r="A412" s="29">
        <v>411</v>
      </c>
      <c r="B412" s="25" cm="1">
        <f t="array" aca="1" ref="B412" ca="1">MIN(IF($E:$E=E412,$H:$H))</f>
        <v>44992</v>
      </c>
      <c r="C412" s="25">
        <f t="shared" ca="1" si="67"/>
        <v>32</v>
      </c>
      <c r="D412" s="43">
        <f ca="1">COUNTIF(E:E,combined_tbl!$E412)</f>
        <v>8</v>
      </c>
      <c r="E412" s="29" t="str">
        <f t="shared" ca="1" si="73"/>
        <v>Customer020</v>
      </c>
      <c r="F412" s="29" t="str" cm="1">
        <f t="array" aca="1" ref="F412" ca="1">INDEX({"Male","Female"}, RANDBETWEEN(1,2))</f>
        <v>Female</v>
      </c>
      <c r="G412" s="29" t="str">
        <f t="shared" ca="1" si="66"/>
        <v>South</v>
      </c>
      <c r="H412" s="48">
        <f t="shared" ca="1" si="68"/>
        <v>44992</v>
      </c>
      <c r="I412" s="24">
        <f t="shared" ca="1" si="69"/>
        <v>7</v>
      </c>
      <c r="J412" s="46" t="str">
        <f t="shared" ca="1" si="74"/>
        <v>March</v>
      </c>
      <c r="K412" s="24">
        <f t="shared" ca="1" si="70"/>
        <v>2023</v>
      </c>
      <c r="L412" s="24" t="str">
        <f t="shared" ca="1" si="71"/>
        <v>Gold</v>
      </c>
      <c r="M412" s="29">
        <v>412</v>
      </c>
      <c r="N412" s="29" t="s">
        <v>957</v>
      </c>
      <c r="O412" s="29" t="s">
        <v>1270</v>
      </c>
      <c r="P412" s="30">
        <v>56</v>
      </c>
      <c r="Q412" s="30">
        <v>83.44</v>
      </c>
      <c r="R412" s="29">
        <v>412</v>
      </c>
      <c r="S412" s="24" t="str">
        <f t="shared" si="72"/>
        <v>Oct</v>
      </c>
      <c r="T412" s="47">
        <v>45204</v>
      </c>
      <c r="U412" s="29">
        <v>2</v>
      </c>
      <c r="V412" s="38">
        <v>137</v>
      </c>
      <c r="W412" s="29">
        <v>85</v>
      </c>
      <c r="X412" s="29">
        <v>1</v>
      </c>
      <c r="Y412" s="30">
        <f>combined_tbl!$Q412*(1-combined_tbl!$Z412)</f>
        <v>83.44</v>
      </c>
      <c r="Z412" s="31">
        <f>IF(combined_tbl!$Q412&gt;=500,0.2, IF(combined_tbl!$Q412&gt;=200,0.05, IF(combined_tbl!$X412&gt;=2,0.05,0)))</f>
        <v>0</v>
      </c>
      <c r="AA412" s="30">
        <f>combined_tbl!$Y412*combined_tbl!$X412</f>
        <v>83.44</v>
      </c>
      <c r="AB412" s="32">
        <f>(combined_tbl!$Q412*(1+combined_tbl!$Z412)-combined_tbl!$P412)*combined_tbl!$X412</f>
        <v>27.439999999999998</v>
      </c>
    </row>
    <row r="413" spans="1:28" x14ac:dyDescent="0.3">
      <c r="A413" s="29">
        <v>412</v>
      </c>
      <c r="B413" s="25" cm="1">
        <f t="array" aca="1" ref="B413" ca="1">MIN(IF($E:$E=E413,$H:$H))</f>
        <v>45115</v>
      </c>
      <c r="C413" s="25">
        <f t="shared" ca="1" si="67"/>
        <v>28</v>
      </c>
      <c r="D413" s="42">
        <f ca="1">COUNTIF(E:E,combined_tbl!$E413)</f>
        <v>8</v>
      </c>
      <c r="E413" s="24" t="str">
        <f t="shared" ca="1" si="73"/>
        <v>Customer008</v>
      </c>
      <c r="F413" s="24" t="str" cm="1">
        <f t="array" aca="1" ref="F413" ca="1">INDEX({"Male","Female"}, RANDBETWEEN(1,2))</f>
        <v>Female</v>
      </c>
      <c r="G413" s="29" t="str">
        <f t="shared" ca="1" si="66"/>
        <v>West</v>
      </c>
      <c r="H413" s="48">
        <f t="shared" ca="1" si="68"/>
        <v>45115</v>
      </c>
      <c r="I413" s="24">
        <f t="shared" ca="1" si="69"/>
        <v>8</v>
      </c>
      <c r="J413" s="46" t="str">
        <f t="shared" ca="1" si="74"/>
        <v>July</v>
      </c>
      <c r="K413" s="24">
        <f t="shared" ca="1" si="70"/>
        <v>2023</v>
      </c>
      <c r="L413" s="24" t="str">
        <f t="shared" ca="1" si="71"/>
        <v>Gold</v>
      </c>
      <c r="M413" s="24">
        <v>413</v>
      </c>
      <c r="N413" s="24" t="s">
        <v>955</v>
      </c>
      <c r="O413" s="24" t="s">
        <v>1271</v>
      </c>
      <c r="P413" s="26">
        <v>256</v>
      </c>
      <c r="Q413" s="26">
        <v>299.52</v>
      </c>
      <c r="R413" s="24">
        <v>413</v>
      </c>
      <c r="S413" s="24" t="str">
        <f t="shared" si="72"/>
        <v>Jul</v>
      </c>
      <c r="T413" s="46">
        <v>45852</v>
      </c>
      <c r="U413" s="24">
        <v>3</v>
      </c>
      <c r="V413" s="37">
        <v>5</v>
      </c>
      <c r="W413" s="24">
        <v>14</v>
      </c>
      <c r="X413" s="24">
        <v>1</v>
      </c>
      <c r="Y413" s="26">
        <f>combined_tbl!$Q413*(1-combined_tbl!$Z413)</f>
        <v>284.54399999999998</v>
      </c>
      <c r="Z413" s="27">
        <f>IF(combined_tbl!$Q413&gt;=500,0.2, IF(combined_tbl!$Q413&gt;=200,0.05, IF(combined_tbl!$X413&gt;=2,0.05,0)))</f>
        <v>0.05</v>
      </c>
      <c r="AA413" s="26">
        <f>combined_tbl!$Y413*combined_tbl!$X413</f>
        <v>284.54399999999998</v>
      </c>
      <c r="AB413" s="28">
        <f>(combined_tbl!$Q413*(1+combined_tbl!$Z413)-combined_tbl!$P413)*combined_tbl!$X413</f>
        <v>58.495999999999981</v>
      </c>
    </row>
    <row r="414" spans="1:28" x14ac:dyDescent="0.3">
      <c r="A414" s="29">
        <v>413</v>
      </c>
      <c r="B414" s="25" cm="1">
        <f t="array" aca="1" ref="B414" ca="1">MIN(IF($E:$E=E414,$H:$H))</f>
        <v>45205</v>
      </c>
      <c r="C414" s="25">
        <f t="shared" ca="1" si="67"/>
        <v>25</v>
      </c>
      <c r="D414" s="43">
        <f ca="1">COUNTIF(E:E,combined_tbl!$E414)</f>
        <v>5</v>
      </c>
      <c r="E414" s="29" t="str">
        <f t="shared" ca="1" si="73"/>
        <v>Customer051</v>
      </c>
      <c r="F414" s="29" t="str" cm="1">
        <f t="array" aca="1" ref="F414" ca="1">INDEX({"Male","Female"}, RANDBETWEEN(1,2))</f>
        <v>Male</v>
      </c>
      <c r="G414" s="29" t="str">
        <f t="shared" ca="1" si="66"/>
        <v>East</v>
      </c>
      <c r="H414" s="48">
        <f t="shared" ca="1" si="68"/>
        <v>45205</v>
      </c>
      <c r="I414" s="24">
        <f t="shared" ca="1" si="69"/>
        <v>6</v>
      </c>
      <c r="J414" s="46" t="str">
        <f t="shared" ca="1" si="74"/>
        <v>October</v>
      </c>
      <c r="K414" s="24">
        <f t="shared" ca="1" si="70"/>
        <v>2023</v>
      </c>
      <c r="L414" s="24" t="str">
        <f t="shared" ca="1" si="71"/>
        <v>Silver</v>
      </c>
      <c r="M414" s="29">
        <v>414</v>
      </c>
      <c r="N414" s="29" t="s">
        <v>955</v>
      </c>
      <c r="O414" s="29" t="s">
        <v>1272</v>
      </c>
      <c r="P414" s="30">
        <v>111</v>
      </c>
      <c r="Q414" s="30">
        <v>122.10000000000001</v>
      </c>
      <c r="R414" s="29">
        <v>414</v>
      </c>
      <c r="S414" s="24" t="str">
        <f t="shared" si="72"/>
        <v>Jun</v>
      </c>
      <c r="T414" s="47">
        <v>45838</v>
      </c>
      <c r="U414" s="29">
        <v>2</v>
      </c>
      <c r="V414" s="38">
        <v>208</v>
      </c>
      <c r="W414" s="29">
        <v>31</v>
      </c>
      <c r="X414" s="29">
        <v>3</v>
      </c>
      <c r="Y414" s="30">
        <f>combined_tbl!$Q414*(1-combined_tbl!$Z414)</f>
        <v>115.995</v>
      </c>
      <c r="Z414" s="31">
        <f>IF(combined_tbl!$Q414&gt;=500,0.2, IF(combined_tbl!$Q414&gt;=200,0.05, IF(combined_tbl!$X414&gt;=2,0.05,0)))</f>
        <v>0.05</v>
      </c>
      <c r="AA414" s="30">
        <f>combined_tbl!$Y414*combined_tbl!$X414</f>
        <v>347.98500000000001</v>
      </c>
      <c r="AB414" s="32">
        <f>(combined_tbl!$Q414*(1+combined_tbl!$Z414)-combined_tbl!$P414)*combined_tbl!$X414</f>
        <v>51.615000000000038</v>
      </c>
    </row>
    <row r="415" spans="1:28" x14ac:dyDescent="0.3">
      <c r="A415" s="29">
        <v>414</v>
      </c>
      <c r="B415" s="25" cm="1">
        <f t="array" aca="1" ref="B415" ca="1">MIN(IF($E:$E=E415,$H:$H))</f>
        <v>45400</v>
      </c>
      <c r="C415" s="25">
        <f t="shared" ca="1" si="67"/>
        <v>19</v>
      </c>
      <c r="D415" s="42">
        <f ca="1">COUNTIF(E:E,combined_tbl!$E415)</f>
        <v>8</v>
      </c>
      <c r="E415" s="24" t="str">
        <f t="shared" ca="1" si="73"/>
        <v>Customer030</v>
      </c>
      <c r="F415" s="24" t="str" cm="1">
        <f t="array" aca="1" ref="F415" ca="1">INDEX({"Male","Female"}, RANDBETWEEN(1,2))</f>
        <v>Female</v>
      </c>
      <c r="G415" s="29" t="str">
        <f t="shared" ca="1" si="66"/>
        <v>South</v>
      </c>
      <c r="H415" s="48">
        <f t="shared" ca="1" si="68"/>
        <v>45400</v>
      </c>
      <c r="I415" s="24">
        <f t="shared" ca="1" si="69"/>
        <v>18</v>
      </c>
      <c r="J415" s="46" t="str">
        <f t="shared" ca="1" si="74"/>
        <v>April</v>
      </c>
      <c r="K415" s="24">
        <f t="shared" ca="1" si="70"/>
        <v>2024</v>
      </c>
      <c r="L415" s="24" t="str">
        <f t="shared" ca="1" si="71"/>
        <v>Gold</v>
      </c>
      <c r="M415" s="24">
        <v>415</v>
      </c>
      <c r="N415" s="24" t="s">
        <v>955</v>
      </c>
      <c r="O415" s="24" t="s">
        <v>1273</v>
      </c>
      <c r="P415" s="26">
        <v>359</v>
      </c>
      <c r="Q415" s="26">
        <v>423.62</v>
      </c>
      <c r="R415" s="24">
        <v>415</v>
      </c>
      <c r="S415" s="24" t="str">
        <f t="shared" si="72"/>
        <v>Oct</v>
      </c>
      <c r="T415" s="46">
        <v>45581</v>
      </c>
      <c r="U415" s="24">
        <v>6</v>
      </c>
      <c r="V415" s="37">
        <v>82</v>
      </c>
      <c r="W415" s="24">
        <v>43</v>
      </c>
      <c r="X415" s="24">
        <v>1</v>
      </c>
      <c r="Y415" s="26">
        <f>combined_tbl!$Q415*(1-combined_tbl!$Z415)</f>
        <v>402.43899999999996</v>
      </c>
      <c r="Z415" s="27">
        <f>IF(combined_tbl!$Q415&gt;=500,0.2, IF(combined_tbl!$Q415&gt;=200,0.05, IF(combined_tbl!$X415&gt;=2,0.05,0)))</f>
        <v>0.05</v>
      </c>
      <c r="AA415" s="26">
        <f>combined_tbl!$Y415*combined_tbl!$X415</f>
        <v>402.43899999999996</v>
      </c>
      <c r="AB415" s="28">
        <f>(combined_tbl!$Q415*(1+combined_tbl!$Z415)-combined_tbl!$P415)*combined_tbl!$X415</f>
        <v>85.801000000000045</v>
      </c>
    </row>
    <row r="416" spans="1:28" x14ac:dyDescent="0.3">
      <c r="A416" s="29">
        <v>415</v>
      </c>
      <c r="B416" s="25" cm="1">
        <f t="array" aca="1" ref="B416" ca="1">MIN(IF($E:$E=E416,$H:$H))</f>
        <v>45492</v>
      </c>
      <c r="C416" s="25">
        <f t="shared" ca="1" si="67"/>
        <v>16</v>
      </c>
      <c r="D416" s="43">
        <f ca="1">COUNTIF(E:E,combined_tbl!$E416)</f>
        <v>5</v>
      </c>
      <c r="E416" s="29" t="str">
        <f t="shared" ca="1" si="73"/>
        <v>Customer047</v>
      </c>
      <c r="F416" s="29" t="str" cm="1">
        <f t="array" aca="1" ref="F416" ca="1">INDEX({"Male","Female"}, RANDBETWEEN(1,2))</f>
        <v>Female</v>
      </c>
      <c r="G416" s="29" t="str">
        <f t="shared" ca="1" si="66"/>
        <v>North</v>
      </c>
      <c r="H416" s="48">
        <f t="shared" ca="1" si="68"/>
        <v>45492</v>
      </c>
      <c r="I416" s="24">
        <f t="shared" ca="1" si="69"/>
        <v>19</v>
      </c>
      <c r="J416" s="46" t="str">
        <f t="shared" ca="1" si="74"/>
        <v>July</v>
      </c>
      <c r="K416" s="24">
        <f t="shared" ca="1" si="70"/>
        <v>2024</v>
      </c>
      <c r="L416" s="24" t="str">
        <f t="shared" ca="1" si="71"/>
        <v>Silver</v>
      </c>
      <c r="M416" s="29">
        <v>416</v>
      </c>
      <c r="N416" s="29" t="s">
        <v>872</v>
      </c>
      <c r="O416" s="29" t="s">
        <v>1274</v>
      </c>
      <c r="P416" s="30">
        <v>84</v>
      </c>
      <c r="Q416" s="30">
        <v>107.52</v>
      </c>
      <c r="R416" s="29">
        <v>416</v>
      </c>
      <c r="S416" s="24" t="str">
        <f t="shared" si="72"/>
        <v>May</v>
      </c>
      <c r="T416" s="47">
        <v>45059</v>
      </c>
      <c r="U416" s="29">
        <v>5</v>
      </c>
      <c r="V416" s="38">
        <v>154</v>
      </c>
      <c r="W416" s="29">
        <v>39</v>
      </c>
      <c r="X416" s="29">
        <v>3</v>
      </c>
      <c r="Y416" s="30">
        <f>combined_tbl!$Q416*(1-combined_tbl!$Z416)</f>
        <v>102.14399999999999</v>
      </c>
      <c r="Z416" s="31">
        <f>IF(combined_tbl!$Q416&gt;=500,0.2, IF(combined_tbl!$Q416&gt;=200,0.05, IF(combined_tbl!$X416&gt;=2,0.05,0)))</f>
        <v>0.05</v>
      </c>
      <c r="AA416" s="30">
        <f>combined_tbl!$Y416*combined_tbl!$X416</f>
        <v>306.43199999999996</v>
      </c>
      <c r="AB416" s="32">
        <f>(combined_tbl!$Q416*(1+combined_tbl!$Z416)-combined_tbl!$P416)*combined_tbl!$X416</f>
        <v>86.688000000000002</v>
      </c>
    </row>
    <row r="417" spans="1:28" x14ac:dyDescent="0.3">
      <c r="A417" s="29">
        <v>416</v>
      </c>
      <c r="B417" s="25" cm="1">
        <f t="array" aca="1" ref="B417" ca="1">MIN(IF($E:$E=E417,$H:$H))</f>
        <v>45580</v>
      </c>
      <c r="C417" s="25">
        <f t="shared" ca="1" si="67"/>
        <v>13</v>
      </c>
      <c r="D417" s="42">
        <f ca="1">COUNTIF(E:E,combined_tbl!$E417)</f>
        <v>4</v>
      </c>
      <c r="E417" s="24" t="str">
        <f t="shared" ca="1" si="73"/>
        <v>Customer064</v>
      </c>
      <c r="F417" s="24" t="str" cm="1">
        <f t="array" aca="1" ref="F417" ca="1">INDEX({"Male","Female"}, RANDBETWEEN(1,2))</f>
        <v>Female</v>
      </c>
      <c r="G417" s="29" t="str">
        <f t="shared" ca="1" si="66"/>
        <v>East</v>
      </c>
      <c r="H417" s="48">
        <f t="shared" ca="1" si="68"/>
        <v>45580</v>
      </c>
      <c r="I417" s="24">
        <f t="shared" ca="1" si="69"/>
        <v>15</v>
      </c>
      <c r="J417" s="46" t="str">
        <f t="shared" ca="1" si="74"/>
        <v>October</v>
      </c>
      <c r="K417" s="24">
        <f t="shared" ca="1" si="70"/>
        <v>2024</v>
      </c>
      <c r="L417" s="24" t="str">
        <f t="shared" ca="1" si="71"/>
        <v>Silver</v>
      </c>
      <c r="M417" s="24">
        <v>417</v>
      </c>
      <c r="N417" s="24" t="s">
        <v>955</v>
      </c>
      <c r="O417" s="24" t="s">
        <v>1275</v>
      </c>
      <c r="P417" s="26">
        <v>189</v>
      </c>
      <c r="Q417" s="26">
        <v>241.92000000000002</v>
      </c>
      <c r="R417" s="24">
        <v>417</v>
      </c>
      <c r="S417" s="24" t="str">
        <f t="shared" si="72"/>
        <v>Sep</v>
      </c>
      <c r="T417" s="46">
        <v>45541</v>
      </c>
      <c r="U417" s="24">
        <v>3</v>
      </c>
      <c r="V417" s="37">
        <v>97</v>
      </c>
      <c r="W417" s="24">
        <v>54</v>
      </c>
      <c r="X417" s="24">
        <v>1</v>
      </c>
      <c r="Y417" s="26">
        <f>combined_tbl!$Q417*(1-combined_tbl!$Z417)</f>
        <v>229.82400000000001</v>
      </c>
      <c r="Z417" s="27">
        <f>IF(combined_tbl!$Q417&gt;=500,0.2, IF(combined_tbl!$Q417&gt;=200,0.05, IF(combined_tbl!$X417&gt;=2,0.05,0)))</f>
        <v>0.05</v>
      </c>
      <c r="AA417" s="26">
        <f>combined_tbl!$Y417*combined_tbl!$X417</f>
        <v>229.82400000000001</v>
      </c>
      <c r="AB417" s="28">
        <f>(combined_tbl!$Q417*(1+combined_tbl!$Z417)-combined_tbl!$P417)*combined_tbl!$X417</f>
        <v>65.01600000000002</v>
      </c>
    </row>
    <row r="418" spans="1:28" x14ac:dyDescent="0.3">
      <c r="A418" s="19">
        <v>417</v>
      </c>
      <c r="B418" s="25" cm="1">
        <f t="array" aca="1" ref="B418" ca="1">MIN(IF($E:$E=E418,$H:$H))</f>
        <v>44990</v>
      </c>
      <c r="C418" s="25">
        <f t="shared" ca="1" si="67"/>
        <v>32</v>
      </c>
      <c r="D418" s="43">
        <f ca="1">COUNTIF(E:E,combined_tbl!$E418)</f>
        <v>5</v>
      </c>
      <c r="E418" s="29" t="str">
        <f t="shared" ca="1" si="73"/>
        <v>Customer076</v>
      </c>
      <c r="F418" s="29" t="str" cm="1">
        <f t="array" aca="1" ref="F418" ca="1">INDEX({"Male","Female"}, RANDBETWEEN(1,2))</f>
        <v>Female</v>
      </c>
      <c r="G418" s="29" t="str">
        <f t="shared" ca="1" si="66"/>
        <v>West</v>
      </c>
      <c r="H418" s="48">
        <f t="shared" ca="1" si="68"/>
        <v>44990</v>
      </c>
      <c r="I418" s="24">
        <f t="shared" ca="1" si="69"/>
        <v>5</v>
      </c>
      <c r="J418" s="46" t="str">
        <f t="shared" ca="1" si="74"/>
        <v>March</v>
      </c>
      <c r="K418" s="24">
        <f t="shared" ca="1" si="70"/>
        <v>2023</v>
      </c>
      <c r="L418" s="24" t="str">
        <f t="shared" ca="1" si="71"/>
        <v>Silver</v>
      </c>
      <c r="M418" s="29">
        <v>418</v>
      </c>
      <c r="N418" s="29" t="s">
        <v>1359</v>
      </c>
      <c r="O418" s="29" t="s">
        <v>1276</v>
      </c>
      <c r="P418" s="30">
        <v>666</v>
      </c>
      <c r="Q418" s="30">
        <v>799.19999999999993</v>
      </c>
      <c r="R418" s="29">
        <v>418</v>
      </c>
      <c r="S418" s="24" t="str">
        <f t="shared" si="72"/>
        <v>Dec</v>
      </c>
      <c r="T418" s="47">
        <v>45283</v>
      </c>
      <c r="U418" s="29">
        <v>6</v>
      </c>
      <c r="V418" s="38">
        <v>39</v>
      </c>
      <c r="W418" s="29">
        <v>78</v>
      </c>
      <c r="X418" s="29">
        <v>2</v>
      </c>
      <c r="Y418" s="30">
        <f>combined_tbl!$Q418*(1-combined_tbl!$Z418)</f>
        <v>639.36</v>
      </c>
      <c r="Z418" s="31">
        <f>IF(combined_tbl!$Q418&gt;=500,0.2, IF(combined_tbl!$Q418&gt;=200,0.05, IF(combined_tbl!$X418&gt;=2,0.05,0)))</f>
        <v>0.2</v>
      </c>
      <c r="AA418" s="30">
        <f>combined_tbl!$Y418*combined_tbl!$X418</f>
        <v>1278.72</v>
      </c>
      <c r="AB418" s="32">
        <f>(combined_tbl!$Q418*(1+combined_tbl!$Z418)-combined_tbl!$P418)*combined_tbl!$X418</f>
        <v>586.0799999999997</v>
      </c>
    </row>
    <row r="419" spans="1:28" x14ac:dyDescent="0.3">
      <c r="A419" s="24">
        <v>418</v>
      </c>
      <c r="B419" s="25" cm="1">
        <f t="array" aca="1" ref="B419" ca="1">MIN(IF($E:$E=E419,$H:$H))</f>
        <v>45014</v>
      </c>
      <c r="C419" s="25">
        <f t="shared" ca="1" si="67"/>
        <v>32</v>
      </c>
      <c r="D419" s="42">
        <f ca="1">COUNTIF(E:E,combined_tbl!$E419)</f>
        <v>10</v>
      </c>
      <c r="E419" s="24" t="str">
        <f t="shared" ca="1" si="73"/>
        <v>Customer022</v>
      </c>
      <c r="F419" s="24" t="str" cm="1">
        <f t="array" aca="1" ref="F419" ca="1">INDEX({"Male","Female"}, RANDBETWEEN(1,2))</f>
        <v>Female</v>
      </c>
      <c r="G419" s="29" t="str">
        <f t="shared" ca="1" si="66"/>
        <v>South</v>
      </c>
      <c r="H419" s="48">
        <f t="shared" ca="1" si="68"/>
        <v>45014</v>
      </c>
      <c r="I419" s="24">
        <f t="shared" ca="1" si="69"/>
        <v>29</v>
      </c>
      <c r="J419" s="46" t="str">
        <f t="shared" ca="1" si="74"/>
        <v>March</v>
      </c>
      <c r="K419" s="24">
        <f t="shared" ca="1" si="70"/>
        <v>2023</v>
      </c>
      <c r="L419" s="24" t="str">
        <f t="shared" ca="1" si="71"/>
        <v>Platinum</v>
      </c>
      <c r="M419" s="24">
        <v>419</v>
      </c>
      <c r="N419" s="24" t="s">
        <v>1359</v>
      </c>
      <c r="O419" s="24" t="s">
        <v>1277</v>
      </c>
      <c r="P419" s="26">
        <v>51</v>
      </c>
      <c r="Q419" s="26">
        <v>70.89</v>
      </c>
      <c r="R419" s="24">
        <v>419</v>
      </c>
      <c r="S419" s="24" t="str">
        <f t="shared" si="72"/>
        <v>Nov</v>
      </c>
      <c r="T419" s="46">
        <v>45968</v>
      </c>
      <c r="U419" s="24">
        <v>4</v>
      </c>
      <c r="V419" s="37">
        <v>57</v>
      </c>
      <c r="W419" s="24">
        <v>65</v>
      </c>
      <c r="X419" s="24">
        <v>4</v>
      </c>
      <c r="Y419" s="26">
        <f>combined_tbl!$Q419*(1-combined_tbl!$Z419)</f>
        <v>67.345500000000001</v>
      </c>
      <c r="Z419" s="27">
        <f>IF(combined_tbl!$Q419&gt;=500,0.2, IF(combined_tbl!$Q419&gt;=200,0.05, IF(combined_tbl!$X419&gt;=2,0.05,0)))</f>
        <v>0.05</v>
      </c>
      <c r="AA419" s="26">
        <f>combined_tbl!$Y419*combined_tbl!$X419</f>
        <v>269.38200000000001</v>
      </c>
      <c r="AB419" s="28">
        <f>(combined_tbl!$Q419*(1+combined_tbl!$Z419)-combined_tbl!$P419)*combined_tbl!$X419</f>
        <v>93.738</v>
      </c>
    </row>
    <row r="420" spans="1:28" x14ac:dyDescent="0.3">
      <c r="A420" s="29">
        <v>419</v>
      </c>
      <c r="B420" s="25" cm="1">
        <f t="array" aca="1" ref="B420" ca="1">MIN(IF($E:$E=E420,$H:$H))</f>
        <v>45194</v>
      </c>
      <c r="C420" s="25">
        <f t="shared" ca="1" si="67"/>
        <v>26</v>
      </c>
      <c r="D420" s="43">
        <f ca="1">COUNTIF(E:E,combined_tbl!$E420)</f>
        <v>1</v>
      </c>
      <c r="E420" s="29" t="str">
        <f t="shared" ca="1" si="73"/>
        <v>Customer099</v>
      </c>
      <c r="F420" s="29" t="str" cm="1">
        <f t="array" aca="1" ref="F420" ca="1">INDEX({"Male","Female"}, RANDBETWEEN(1,2))</f>
        <v>Female</v>
      </c>
      <c r="G420" s="29" t="str">
        <f t="shared" ca="1" si="66"/>
        <v>North</v>
      </c>
      <c r="H420" s="48">
        <f t="shared" ca="1" si="68"/>
        <v>45194</v>
      </c>
      <c r="I420" s="24">
        <f t="shared" ca="1" si="69"/>
        <v>25</v>
      </c>
      <c r="J420" s="46" t="str">
        <f t="shared" ca="1" si="74"/>
        <v>September</v>
      </c>
      <c r="K420" s="24">
        <f t="shared" ca="1" si="70"/>
        <v>2023</v>
      </c>
      <c r="L420" s="24" t="str">
        <f t="shared" ca="1" si="71"/>
        <v>Bronze</v>
      </c>
      <c r="M420" s="29">
        <v>420</v>
      </c>
      <c r="N420" s="29" t="s">
        <v>957</v>
      </c>
      <c r="O420" s="29" t="s">
        <v>1278</v>
      </c>
      <c r="P420" s="30">
        <v>163</v>
      </c>
      <c r="Q420" s="30">
        <v>239.60999999999999</v>
      </c>
      <c r="R420" s="29">
        <v>420</v>
      </c>
      <c r="S420" s="24" t="str">
        <f t="shared" si="72"/>
        <v>Sep</v>
      </c>
      <c r="T420" s="47">
        <v>45175</v>
      </c>
      <c r="U420" s="29">
        <v>4</v>
      </c>
      <c r="V420" s="38">
        <v>205</v>
      </c>
      <c r="W420" s="29">
        <v>62</v>
      </c>
      <c r="X420" s="29">
        <v>1</v>
      </c>
      <c r="Y420" s="30">
        <f>combined_tbl!$Q420*(1-combined_tbl!$Z420)</f>
        <v>227.62949999999998</v>
      </c>
      <c r="Z420" s="31">
        <f>IF(combined_tbl!$Q420&gt;=500,0.2, IF(combined_tbl!$Q420&gt;=200,0.05, IF(combined_tbl!$X420&gt;=2,0.05,0)))</f>
        <v>0.05</v>
      </c>
      <c r="AA420" s="30">
        <f>combined_tbl!$Y420*combined_tbl!$X420</f>
        <v>227.62949999999998</v>
      </c>
      <c r="AB420" s="32">
        <f>(combined_tbl!$Q420*(1+combined_tbl!$Z420)-combined_tbl!$P420)*combined_tbl!$X420</f>
        <v>88.590499999999992</v>
      </c>
    </row>
    <row r="421" spans="1:28" x14ac:dyDescent="0.3">
      <c r="A421" s="29">
        <v>420</v>
      </c>
      <c r="B421" s="25" cm="1">
        <f t="array" aca="1" ref="B421" ca="1">MIN(IF($E:$E=E421,$H:$H))</f>
        <v>45638</v>
      </c>
      <c r="C421" s="25">
        <f t="shared" ca="1" si="67"/>
        <v>11</v>
      </c>
      <c r="D421" s="42">
        <f ca="1">COUNTIF(E:E,combined_tbl!$E421)</f>
        <v>4</v>
      </c>
      <c r="E421" s="24" t="str">
        <f t="shared" ca="1" si="73"/>
        <v>Customer044</v>
      </c>
      <c r="F421" s="24" t="str" cm="1">
        <f t="array" aca="1" ref="F421" ca="1">INDEX({"Male","Female"}, RANDBETWEEN(1,2))</f>
        <v>Male</v>
      </c>
      <c r="G421" s="29" t="str">
        <f t="shared" ca="1" si="66"/>
        <v>West</v>
      </c>
      <c r="H421" s="48">
        <f t="shared" ca="1" si="68"/>
        <v>45638</v>
      </c>
      <c r="I421" s="24">
        <f t="shared" ca="1" si="69"/>
        <v>12</v>
      </c>
      <c r="J421" s="46" t="str">
        <f t="shared" ca="1" si="74"/>
        <v>December</v>
      </c>
      <c r="K421" s="24">
        <f t="shared" ca="1" si="70"/>
        <v>2024</v>
      </c>
      <c r="L421" s="24" t="str">
        <f t="shared" ca="1" si="71"/>
        <v>Bronze</v>
      </c>
      <c r="M421" s="24">
        <v>421</v>
      </c>
      <c r="N421" s="24" t="s">
        <v>1359</v>
      </c>
      <c r="O421" s="24" t="s">
        <v>1279</v>
      </c>
      <c r="P421" s="26">
        <v>116</v>
      </c>
      <c r="Q421" s="26">
        <v>158.92000000000002</v>
      </c>
      <c r="R421" s="24">
        <v>421</v>
      </c>
      <c r="S421" s="24" t="str">
        <f t="shared" si="72"/>
        <v>Oct</v>
      </c>
      <c r="T421" s="46">
        <v>45211</v>
      </c>
      <c r="U421" s="24">
        <v>4</v>
      </c>
      <c r="V421" s="37">
        <v>55</v>
      </c>
      <c r="W421" s="24">
        <v>29</v>
      </c>
      <c r="X421" s="24">
        <v>1</v>
      </c>
      <c r="Y421" s="26">
        <f>combined_tbl!$Q421*(1-combined_tbl!$Z421)</f>
        <v>158.92000000000002</v>
      </c>
      <c r="Z421" s="27">
        <f>IF(combined_tbl!$Q421&gt;=500,0.2, IF(combined_tbl!$Q421&gt;=200,0.05, IF(combined_tbl!$X421&gt;=2,0.05,0)))</f>
        <v>0</v>
      </c>
      <c r="AA421" s="26">
        <f>combined_tbl!$Y421*combined_tbl!$X421</f>
        <v>158.92000000000002</v>
      </c>
      <c r="AB421" s="28">
        <f>(combined_tbl!$Q421*(1+combined_tbl!$Z421)-combined_tbl!$P421)*combined_tbl!$X421</f>
        <v>42.920000000000016</v>
      </c>
    </row>
    <row r="422" spans="1:28" x14ac:dyDescent="0.3">
      <c r="A422" s="29">
        <v>421</v>
      </c>
      <c r="B422" s="25" cm="1">
        <f t="array" aca="1" ref="B422" ca="1">MIN(IF($E:$E=E422,$H:$H))</f>
        <v>45115</v>
      </c>
      <c r="C422" s="25">
        <f t="shared" ca="1" si="67"/>
        <v>28</v>
      </c>
      <c r="D422" s="43">
        <f ca="1">COUNTIF(E:E,combined_tbl!$E422)</f>
        <v>8</v>
      </c>
      <c r="E422" s="29" t="str">
        <f t="shared" ca="1" si="73"/>
        <v>Customer008</v>
      </c>
      <c r="F422" s="29" t="str" cm="1">
        <f t="array" aca="1" ref="F422" ca="1">INDEX({"Male","Female"}, RANDBETWEEN(1,2))</f>
        <v>Female</v>
      </c>
      <c r="G422" s="29" t="str">
        <f t="shared" ca="1" si="66"/>
        <v>West</v>
      </c>
      <c r="H422" s="48">
        <f t="shared" ca="1" si="68"/>
        <v>45115</v>
      </c>
      <c r="I422" s="24">
        <f t="shared" ca="1" si="69"/>
        <v>8</v>
      </c>
      <c r="J422" s="46" t="str">
        <f t="shared" ca="1" si="74"/>
        <v>July</v>
      </c>
      <c r="K422" s="24">
        <f t="shared" ca="1" si="70"/>
        <v>2023</v>
      </c>
      <c r="L422" s="24" t="str">
        <f t="shared" ca="1" si="71"/>
        <v>Gold</v>
      </c>
      <c r="M422" s="29">
        <v>422</v>
      </c>
      <c r="N422" s="29" t="s">
        <v>954</v>
      </c>
      <c r="O422" s="29" t="s">
        <v>1280</v>
      </c>
      <c r="P422" s="30">
        <v>238</v>
      </c>
      <c r="Q422" s="30">
        <v>273.7</v>
      </c>
      <c r="R422" s="29">
        <v>422</v>
      </c>
      <c r="S422" s="24" t="str">
        <f t="shared" si="72"/>
        <v>Oct</v>
      </c>
      <c r="T422" s="47">
        <v>45938</v>
      </c>
      <c r="U422" s="29">
        <v>1</v>
      </c>
      <c r="V422" s="38">
        <v>76</v>
      </c>
      <c r="W422" s="29">
        <v>93</v>
      </c>
      <c r="X422" s="29">
        <v>1</v>
      </c>
      <c r="Y422" s="30">
        <f>combined_tbl!$Q422*(1-combined_tbl!$Z422)</f>
        <v>260.01499999999999</v>
      </c>
      <c r="Z422" s="31">
        <f>IF(combined_tbl!$Q422&gt;=500,0.2, IF(combined_tbl!$Q422&gt;=200,0.05, IF(combined_tbl!$X422&gt;=2,0.05,0)))</f>
        <v>0.05</v>
      </c>
      <c r="AA422" s="30">
        <f>combined_tbl!$Y422*combined_tbl!$X422</f>
        <v>260.01499999999999</v>
      </c>
      <c r="AB422" s="32">
        <f>(combined_tbl!$Q422*(1+combined_tbl!$Z422)-combined_tbl!$P422)*combined_tbl!$X422</f>
        <v>49.384999999999991</v>
      </c>
    </row>
    <row r="423" spans="1:28" x14ac:dyDescent="0.3">
      <c r="A423" s="29">
        <v>422</v>
      </c>
      <c r="B423" s="25" cm="1">
        <f t="array" aca="1" ref="B423" ca="1">MIN(IF($E:$E=E423,$H:$H))</f>
        <v>45345</v>
      </c>
      <c r="C423" s="25">
        <f t="shared" ca="1" si="67"/>
        <v>21</v>
      </c>
      <c r="D423" s="42">
        <f ca="1">COUNTIF(E:E,combined_tbl!$E423)</f>
        <v>4</v>
      </c>
      <c r="E423" s="24" t="str">
        <f t="shared" ca="1" si="73"/>
        <v>Customer032</v>
      </c>
      <c r="F423" s="24" t="str" cm="1">
        <f t="array" aca="1" ref="F423" ca="1">INDEX({"Male","Female"}, RANDBETWEEN(1,2))</f>
        <v>Female</v>
      </c>
      <c r="G423" s="29" t="str">
        <f t="shared" ca="1" si="66"/>
        <v>North</v>
      </c>
      <c r="H423" s="48">
        <f t="shared" ca="1" si="68"/>
        <v>45345</v>
      </c>
      <c r="I423" s="24">
        <f t="shared" ca="1" si="69"/>
        <v>23</v>
      </c>
      <c r="J423" s="46" t="str">
        <f t="shared" ca="1" si="74"/>
        <v>February</v>
      </c>
      <c r="K423" s="24">
        <f t="shared" ca="1" si="70"/>
        <v>2024</v>
      </c>
      <c r="L423" s="24" t="str">
        <f t="shared" ca="1" si="71"/>
        <v>Silver</v>
      </c>
      <c r="M423" s="24">
        <v>423</v>
      </c>
      <c r="N423" s="24" t="s">
        <v>954</v>
      </c>
      <c r="O423" s="24" t="s">
        <v>1281</v>
      </c>
      <c r="P423" s="26">
        <v>121</v>
      </c>
      <c r="Q423" s="26">
        <v>143.98999999999998</v>
      </c>
      <c r="R423" s="24">
        <v>423</v>
      </c>
      <c r="S423" s="24" t="str">
        <f t="shared" si="72"/>
        <v>Jan</v>
      </c>
      <c r="T423" s="46">
        <v>45666</v>
      </c>
      <c r="U423" s="24">
        <v>6</v>
      </c>
      <c r="V423" s="37">
        <v>21</v>
      </c>
      <c r="W423" s="24">
        <v>38</v>
      </c>
      <c r="X423" s="24">
        <v>2</v>
      </c>
      <c r="Y423" s="26">
        <f>combined_tbl!$Q423*(1-combined_tbl!$Z423)</f>
        <v>136.79049999999998</v>
      </c>
      <c r="Z423" s="27">
        <f>IF(combined_tbl!$Q423&gt;=500,0.2, IF(combined_tbl!$Q423&gt;=200,0.05, IF(combined_tbl!$X423&gt;=2,0.05,0)))</f>
        <v>0.05</v>
      </c>
      <c r="AA423" s="26">
        <f>combined_tbl!$Y423*combined_tbl!$X423</f>
        <v>273.58099999999996</v>
      </c>
      <c r="AB423" s="28">
        <f>(combined_tbl!$Q423*(1+combined_tbl!$Z423)-combined_tbl!$P423)*combined_tbl!$X423</f>
        <v>60.378999999999962</v>
      </c>
    </row>
    <row r="424" spans="1:28" x14ac:dyDescent="0.3">
      <c r="A424" s="29">
        <v>423</v>
      </c>
      <c r="B424" s="25" cm="1">
        <f t="array" aca="1" ref="B424" ca="1">MIN(IF($E:$E=E424,$H:$H))</f>
        <v>45103</v>
      </c>
      <c r="C424" s="25">
        <f t="shared" ca="1" si="67"/>
        <v>29</v>
      </c>
      <c r="D424" s="43">
        <f ca="1">COUNTIF(E:E,combined_tbl!$E424)</f>
        <v>8</v>
      </c>
      <c r="E424" s="29" t="str">
        <f t="shared" ca="1" si="73"/>
        <v>Customer014</v>
      </c>
      <c r="F424" s="29" t="str" cm="1">
        <f t="array" aca="1" ref="F424" ca="1">INDEX({"Male","Female"}, RANDBETWEEN(1,2))</f>
        <v>Female</v>
      </c>
      <c r="G424" s="29" t="str">
        <f t="shared" ca="1" si="66"/>
        <v>West</v>
      </c>
      <c r="H424" s="48">
        <f t="shared" ca="1" si="68"/>
        <v>45103</v>
      </c>
      <c r="I424" s="24">
        <f t="shared" ca="1" si="69"/>
        <v>26</v>
      </c>
      <c r="J424" s="46" t="str">
        <f t="shared" ca="1" si="74"/>
        <v>June</v>
      </c>
      <c r="K424" s="24">
        <f t="shared" ca="1" si="70"/>
        <v>2023</v>
      </c>
      <c r="L424" s="24" t="str">
        <f t="shared" ca="1" si="71"/>
        <v>Gold</v>
      </c>
      <c r="M424" s="29">
        <v>424</v>
      </c>
      <c r="N424" s="29" t="s">
        <v>837</v>
      </c>
      <c r="O424" s="29" t="s">
        <v>1282</v>
      </c>
      <c r="P424" s="30">
        <v>316</v>
      </c>
      <c r="Q424" s="30">
        <v>423.44</v>
      </c>
      <c r="R424" s="29">
        <v>424</v>
      </c>
      <c r="S424" s="24" t="str">
        <f t="shared" si="72"/>
        <v>Aug</v>
      </c>
      <c r="T424" s="47">
        <v>45884</v>
      </c>
      <c r="U424" s="29">
        <v>3</v>
      </c>
      <c r="V424" s="38">
        <v>93</v>
      </c>
      <c r="W424" s="29">
        <v>8</v>
      </c>
      <c r="X424" s="29">
        <v>1</v>
      </c>
      <c r="Y424" s="30">
        <f>combined_tbl!$Q424*(1-combined_tbl!$Z424)</f>
        <v>402.26799999999997</v>
      </c>
      <c r="Z424" s="31">
        <f>IF(combined_tbl!$Q424&gt;=500,0.2, IF(combined_tbl!$Q424&gt;=200,0.05, IF(combined_tbl!$X424&gt;=2,0.05,0)))</f>
        <v>0.05</v>
      </c>
      <c r="AA424" s="30">
        <f>combined_tbl!$Y424*combined_tbl!$X424</f>
        <v>402.26799999999997</v>
      </c>
      <c r="AB424" s="32">
        <f>(combined_tbl!$Q424*(1+combined_tbl!$Z424)-combined_tbl!$P424)*combined_tbl!$X424</f>
        <v>128.61200000000002</v>
      </c>
    </row>
    <row r="425" spans="1:28" x14ac:dyDescent="0.3">
      <c r="A425" s="29">
        <v>424</v>
      </c>
      <c r="B425" s="25" cm="1">
        <f t="array" aca="1" ref="B425" ca="1">MIN(IF($E:$E=E425,$H:$H))</f>
        <v>45182</v>
      </c>
      <c r="C425" s="25">
        <f t="shared" ca="1" si="67"/>
        <v>26</v>
      </c>
      <c r="D425" s="42">
        <f ca="1">COUNTIF(E:E,combined_tbl!$E425)</f>
        <v>13</v>
      </c>
      <c r="E425" s="24" t="str">
        <f t="shared" ca="1" si="73"/>
        <v>Customer024</v>
      </c>
      <c r="F425" s="24" t="str" cm="1">
        <f t="array" aca="1" ref="F425" ca="1">INDEX({"Male","Female"}, RANDBETWEEN(1,2))</f>
        <v>Female</v>
      </c>
      <c r="G425" s="29" t="str">
        <f t="shared" ca="1" si="66"/>
        <v>East</v>
      </c>
      <c r="H425" s="48">
        <f t="shared" ca="1" si="68"/>
        <v>45182</v>
      </c>
      <c r="I425" s="24">
        <f t="shared" ca="1" si="69"/>
        <v>13</v>
      </c>
      <c r="J425" s="46" t="str">
        <f t="shared" ca="1" si="74"/>
        <v>September</v>
      </c>
      <c r="K425" s="24">
        <f t="shared" ca="1" si="70"/>
        <v>2023</v>
      </c>
      <c r="L425" s="24" t="str">
        <f t="shared" ca="1" si="71"/>
        <v>Platinum</v>
      </c>
      <c r="M425" s="24">
        <v>425</v>
      </c>
      <c r="N425" s="24" t="s">
        <v>831</v>
      </c>
      <c r="O425" s="24" t="s">
        <v>1283</v>
      </c>
      <c r="P425" s="26">
        <v>62</v>
      </c>
      <c r="Q425" s="26">
        <v>73.78</v>
      </c>
      <c r="R425" s="24">
        <v>425</v>
      </c>
      <c r="S425" s="24" t="str">
        <f t="shared" si="72"/>
        <v>Jun</v>
      </c>
      <c r="T425" s="46">
        <v>45103</v>
      </c>
      <c r="U425" s="24">
        <v>2</v>
      </c>
      <c r="V425" s="37">
        <v>168</v>
      </c>
      <c r="W425" s="24">
        <v>48</v>
      </c>
      <c r="X425" s="24">
        <v>2</v>
      </c>
      <c r="Y425" s="26">
        <f>combined_tbl!$Q425*(1-combined_tbl!$Z425)</f>
        <v>70.090999999999994</v>
      </c>
      <c r="Z425" s="27">
        <f>IF(combined_tbl!$Q425&gt;=500,0.2, IF(combined_tbl!$Q425&gt;=200,0.05, IF(combined_tbl!$X425&gt;=2,0.05,0)))</f>
        <v>0.05</v>
      </c>
      <c r="AA425" s="26">
        <f>combined_tbl!$Y425*combined_tbl!$X425</f>
        <v>140.18199999999999</v>
      </c>
      <c r="AB425" s="28">
        <f>(combined_tbl!$Q425*(1+combined_tbl!$Z425)-combined_tbl!$P425)*combined_tbl!$X425</f>
        <v>30.938000000000017</v>
      </c>
    </row>
    <row r="426" spans="1:28" x14ac:dyDescent="0.3">
      <c r="A426" s="19">
        <v>425</v>
      </c>
      <c r="B426" s="25" cm="1">
        <f t="array" aca="1" ref="B426" ca="1">MIN(IF($E:$E=E426,$H:$H))</f>
        <v>45919</v>
      </c>
      <c r="C426" s="25">
        <f t="shared" ca="1" si="67"/>
        <v>2</v>
      </c>
      <c r="D426" s="43">
        <f ca="1">COUNTIF(E:E,combined_tbl!$E426)</f>
        <v>1</v>
      </c>
      <c r="E426" s="29" t="str">
        <f t="shared" ca="1" si="73"/>
        <v>Customer082</v>
      </c>
      <c r="F426" s="29" t="str" cm="1">
        <f t="array" aca="1" ref="F426" ca="1">INDEX({"Male","Female"}, RANDBETWEEN(1,2))</f>
        <v>Female</v>
      </c>
      <c r="G426" s="29" t="str">
        <f t="shared" ca="1" si="66"/>
        <v>South</v>
      </c>
      <c r="H426" s="48">
        <f t="shared" ca="1" si="68"/>
        <v>45919</v>
      </c>
      <c r="I426" s="24">
        <f t="shared" ca="1" si="69"/>
        <v>19</v>
      </c>
      <c r="J426" s="46" t="str">
        <f t="shared" ca="1" si="74"/>
        <v>September</v>
      </c>
      <c r="K426" s="24">
        <f t="shared" ca="1" si="70"/>
        <v>2025</v>
      </c>
      <c r="L426" s="24" t="str">
        <f t="shared" ca="1" si="71"/>
        <v>Bronze</v>
      </c>
      <c r="M426" s="29">
        <v>426</v>
      </c>
      <c r="N426" s="29" t="s">
        <v>955</v>
      </c>
      <c r="O426" s="29" t="s">
        <v>1284</v>
      </c>
      <c r="P426" s="30">
        <v>451</v>
      </c>
      <c r="Q426" s="30">
        <v>568.26</v>
      </c>
      <c r="R426" s="29">
        <v>426</v>
      </c>
      <c r="S426" s="24" t="str">
        <f t="shared" si="72"/>
        <v>Sep</v>
      </c>
      <c r="T426" s="47">
        <v>45560</v>
      </c>
      <c r="U426" s="29">
        <v>7</v>
      </c>
      <c r="V426" s="38">
        <v>90</v>
      </c>
      <c r="W426" s="29">
        <v>55</v>
      </c>
      <c r="X426" s="29">
        <v>2</v>
      </c>
      <c r="Y426" s="30">
        <f>combined_tbl!$Q426*(1-combined_tbl!$Z426)</f>
        <v>454.608</v>
      </c>
      <c r="Z426" s="31">
        <f>IF(combined_tbl!$Q426&gt;=500,0.2, IF(combined_tbl!$Q426&gt;=200,0.05, IF(combined_tbl!$X426&gt;=2,0.05,0)))</f>
        <v>0.2</v>
      </c>
      <c r="AA426" s="30">
        <f>combined_tbl!$Y426*combined_tbl!$X426</f>
        <v>909.21600000000001</v>
      </c>
      <c r="AB426" s="32">
        <f>(combined_tbl!$Q426*(1+combined_tbl!$Z426)-combined_tbl!$P426)*combined_tbl!$X426</f>
        <v>461.82399999999984</v>
      </c>
    </row>
    <row r="427" spans="1:28" x14ac:dyDescent="0.3">
      <c r="A427" s="24">
        <v>426</v>
      </c>
      <c r="B427" s="25" cm="1">
        <f t="array" aca="1" ref="B427" ca="1">MIN(IF($E:$E=E427,$H:$H))</f>
        <v>45809</v>
      </c>
      <c r="C427" s="25">
        <f t="shared" ca="1" si="67"/>
        <v>6</v>
      </c>
      <c r="D427" s="42">
        <f ca="1">COUNTIF(E:E,combined_tbl!$E427)</f>
        <v>10</v>
      </c>
      <c r="E427" s="24" t="str">
        <f t="shared" ca="1" si="73"/>
        <v>Customer019</v>
      </c>
      <c r="F427" s="24" t="str" cm="1">
        <f t="array" aca="1" ref="F427" ca="1">INDEX({"Male","Female"}, RANDBETWEEN(1,2))</f>
        <v>Male</v>
      </c>
      <c r="G427" s="29" t="str">
        <f t="shared" ca="1" si="66"/>
        <v>North</v>
      </c>
      <c r="H427" s="48">
        <f t="shared" ca="1" si="68"/>
        <v>45809</v>
      </c>
      <c r="I427" s="24">
        <f t="shared" ca="1" si="69"/>
        <v>1</v>
      </c>
      <c r="J427" s="46" t="str">
        <f t="shared" ca="1" si="74"/>
        <v>June</v>
      </c>
      <c r="K427" s="24">
        <f t="shared" ca="1" si="70"/>
        <v>2025</v>
      </c>
      <c r="L427" s="24" t="str">
        <f t="shared" ca="1" si="71"/>
        <v>Bronze</v>
      </c>
      <c r="M427" s="24">
        <v>427</v>
      </c>
      <c r="N427" s="24" t="s">
        <v>851</v>
      </c>
      <c r="O427" s="24" t="s">
        <v>1285</v>
      </c>
      <c r="P427" s="26">
        <v>157</v>
      </c>
      <c r="Q427" s="26">
        <v>235.5</v>
      </c>
      <c r="R427" s="24">
        <v>427</v>
      </c>
      <c r="S427" s="24" t="str">
        <f t="shared" si="72"/>
        <v>Sep</v>
      </c>
      <c r="T427" s="46">
        <v>45907</v>
      </c>
      <c r="U427" s="24">
        <v>7</v>
      </c>
      <c r="V427" s="37">
        <v>131</v>
      </c>
      <c r="W427" s="24">
        <v>95</v>
      </c>
      <c r="X427" s="24">
        <v>3</v>
      </c>
      <c r="Y427" s="26">
        <f>combined_tbl!$Q427*(1-combined_tbl!$Z427)</f>
        <v>223.72499999999999</v>
      </c>
      <c r="Z427" s="27">
        <f>IF(combined_tbl!$Q427&gt;=500,0.2, IF(combined_tbl!$Q427&gt;=200,0.05, IF(combined_tbl!$X427&gt;=2,0.05,0)))</f>
        <v>0.05</v>
      </c>
      <c r="AA427" s="26">
        <f>combined_tbl!$Y427*combined_tbl!$X427</f>
        <v>671.17499999999995</v>
      </c>
      <c r="AB427" s="28">
        <f>(combined_tbl!$Q427*(1+combined_tbl!$Z427)-combined_tbl!$P427)*combined_tbl!$X427</f>
        <v>270.82500000000005</v>
      </c>
    </row>
    <row r="428" spans="1:28" x14ac:dyDescent="0.3">
      <c r="A428" s="29">
        <v>427</v>
      </c>
      <c r="B428" s="25" cm="1">
        <f t="array" aca="1" ref="B428" ca="1">MIN(IF($E:$E=E428,$H:$H))</f>
        <v>45406</v>
      </c>
      <c r="C428" s="25">
        <f t="shared" ca="1" si="67"/>
        <v>19</v>
      </c>
      <c r="D428" s="43">
        <f ca="1">COUNTIF(E:E,combined_tbl!$E428)</f>
        <v>2</v>
      </c>
      <c r="E428" s="29" t="str">
        <f t="shared" ca="1" si="73"/>
        <v>Customer057</v>
      </c>
      <c r="F428" s="29" t="str" cm="1">
        <f t="array" aca="1" ref="F428" ca="1">INDEX({"Male","Female"}, RANDBETWEEN(1,2))</f>
        <v>Male</v>
      </c>
      <c r="G428" s="29" t="str">
        <f t="shared" ca="1" si="66"/>
        <v>West</v>
      </c>
      <c r="H428" s="48">
        <f t="shared" ca="1" si="68"/>
        <v>45406</v>
      </c>
      <c r="I428" s="24">
        <f t="shared" ca="1" si="69"/>
        <v>24</v>
      </c>
      <c r="J428" s="46" t="str">
        <f t="shared" ca="1" si="74"/>
        <v>April</v>
      </c>
      <c r="K428" s="24">
        <f t="shared" ca="1" si="70"/>
        <v>2024</v>
      </c>
      <c r="L428" s="24" t="str">
        <f t="shared" ca="1" si="71"/>
        <v>Bronze</v>
      </c>
      <c r="M428" s="29">
        <v>428</v>
      </c>
      <c r="N428" s="29" t="s">
        <v>1359</v>
      </c>
      <c r="O428" s="29" t="s">
        <v>1286</v>
      </c>
      <c r="P428" s="30">
        <v>128</v>
      </c>
      <c r="Q428" s="30">
        <v>188.16</v>
      </c>
      <c r="R428" s="29">
        <v>428</v>
      </c>
      <c r="S428" s="24" t="str">
        <f t="shared" si="72"/>
        <v>Apr</v>
      </c>
      <c r="T428" s="47">
        <v>45765</v>
      </c>
      <c r="U428" s="29">
        <v>2</v>
      </c>
      <c r="V428" s="38">
        <v>90</v>
      </c>
      <c r="W428" s="29">
        <v>35</v>
      </c>
      <c r="X428" s="29">
        <v>2</v>
      </c>
      <c r="Y428" s="30">
        <f>combined_tbl!$Q428*(1-combined_tbl!$Z428)</f>
        <v>178.75199999999998</v>
      </c>
      <c r="Z428" s="31">
        <f>IF(combined_tbl!$Q428&gt;=500,0.2, IF(combined_tbl!$Q428&gt;=200,0.05, IF(combined_tbl!$X428&gt;=2,0.05,0)))</f>
        <v>0.05</v>
      </c>
      <c r="AA428" s="30">
        <f>combined_tbl!$Y428*combined_tbl!$X428</f>
        <v>357.50399999999996</v>
      </c>
      <c r="AB428" s="32">
        <f>(combined_tbl!$Q428*(1+combined_tbl!$Z428)-combined_tbl!$P428)*combined_tbl!$X428</f>
        <v>139.13600000000002</v>
      </c>
    </row>
    <row r="429" spans="1:28" x14ac:dyDescent="0.3">
      <c r="A429" s="29">
        <v>428</v>
      </c>
      <c r="B429" s="25" cm="1">
        <f t="array" aca="1" ref="B429" ca="1">MIN(IF($E:$E=E429,$H:$H))</f>
        <v>45488</v>
      </c>
      <c r="C429" s="25">
        <f t="shared" ca="1" si="67"/>
        <v>16</v>
      </c>
      <c r="D429" s="42">
        <f ca="1">COUNTIF(E:E,combined_tbl!$E429)</f>
        <v>1</v>
      </c>
      <c r="E429" s="24" t="str">
        <f t="shared" ca="1" si="73"/>
        <v>Customer123</v>
      </c>
      <c r="F429" s="24" t="str" cm="1">
        <f t="array" aca="1" ref="F429" ca="1">INDEX({"Male","Female"}, RANDBETWEEN(1,2))</f>
        <v>Male</v>
      </c>
      <c r="G429" s="29" t="str">
        <f t="shared" ca="1" si="66"/>
        <v>South</v>
      </c>
      <c r="H429" s="48">
        <f t="shared" ca="1" si="68"/>
        <v>45488</v>
      </c>
      <c r="I429" s="24">
        <f t="shared" ca="1" si="69"/>
        <v>15</v>
      </c>
      <c r="J429" s="46" t="str">
        <f t="shared" ca="1" si="74"/>
        <v>July</v>
      </c>
      <c r="K429" s="24">
        <f t="shared" ca="1" si="70"/>
        <v>2024</v>
      </c>
      <c r="L429" s="24" t="str">
        <f t="shared" ca="1" si="71"/>
        <v>Bronze</v>
      </c>
      <c r="M429" s="24">
        <v>429</v>
      </c>
      <c r="N429" s="24" t="s">
        <v>851</v>
      </c>
      <c r="O429" s="24" t="s">
        <v>1287</v>
      </c>
      <c r="P429" s="26">
        <v>224</v>
      </c>
      <c r="Q429" s="26">
        <v>259.83999999999997</v>
      </c>
      <c r="R429" s="24">
        <v>429</v>
      </c>
      <c r="S429" s="24" t="str">
        <f t="shared" si="72"/>
        <v>Sep</v>
      </c>
      <c r="T429" s="46">
        <v>45183</v>
      </c>
      <c r="U429" s="24">
        <v>6</v>
      </c>
      <c r="V429" s="37">
        <v>212</v>
      </c>
      <c r="W429" s="24">
        <v>71</v>
      </c>
      <c r="X429" s="24">
        <v>1</v>
      </c>
      <c r="Y429" s="26">
        <f>combined_tbl!$Q429*(1-combined_tbl!$Z429)</f>
        <v>246.84799999999996</v>
      </c>
      <c r="Z429" s="27">
        <f>IF(combined_tbl!$Q429&gt;=500,0.2, IF(combined_tbl!$Q429&gt;=200,0.05, IF(combined_tbl!$X429&gt;=2,0.05,0)))</f>
        <v>0.05</v>
      </c>
      <c r="AA429" s="26">
        <f>combined_tbl!$Y429*combined_tbl!$X429</f>
        <v>246.84799999999996</v>
      </c>
      <c r="AB429" s="28">
        <f>(combined_tbl!$Q429*(1+combined_tbl!$Z429)-combined_tbl!$P429)*combined_tbl!$X429</f>
        <v>48.831999999999994</v>
      </c>
    </row>
    <row r="430" spans="1:28" x14ac:dyDescent="0.3">
      <c r="A430" s="29">
        <v>429</v>
      </c>
      <c r="B430" s="25" cm="1">
        <f t="array" aca="1" ref="B430" ca="1">MIN(IF($E:$E=E430,$H:$H))</f>
        <v>45069</v>
      </c>
      <c r="C430" s="25">
        <f t="shared" ca="1" si="67"/>
        <v>30</v>
      </c>
      <c r="D430" s="43">
        <f ca="1">COUNTIF(E:E,combined_tbl!$E430)</f>
        <v>2</v>
      </c>
      <c r="E430" s="29" t="str">
        <f t="shared" ca="1" si="73"/>
        <v>Customer045</v>
      </c>
      <c r="F430" s="29" t="str" cm="1">
        <f t="array" aca="1" ref="F430" ca="1">INDEX({"Male","Female"}, RANDBETWEEN(1,2))</f>
        <v>Male</v>
      </c>
      <c r="G430" s="29" t="str">
        <f t="shared" ca="1" si="66"/>
        <v>East</v>
      </c>
      <c r="H430" s="48">
        <f t="shared" ca="1" si="68"/>
        <v>45069</v>
      </c>
      <c r="I430" s="24">
        <f t="shared" ca="1" si="69"/>
        <v>23</v>
      </c>
      <c r="J430" s="46" t="str">
        <f t="shared" ca="1" si="74"/>
        <v>May</v>
      </c>
      <c r="K430" s="24">
        <f t="shared" ca="1" si="70"/>
        <v>2023</v>
      </c>
      <c r="L430" s="24" t="str">
        <f t="shared" ca="1" si="71"/>
        <v>Bronze</v>
      </c>
      <c r="M430" s="29">
        <v>430</v>
      </c>
      <c r="N430" s="29" t="s">
        <v>1359</v>
      </c>
      <c r="O430" s="29" t="s">
        <v>1288</v>
      </c>
      <c r="P430" s="30">
        <v>338</v>
      </c>
      <c r="Q430" s="30">
        <v>486.71999999999997</v>
      </c>
      <c r="R430" s="29">
        <v>430</v>
      </c>
      <c r="S430" s="24" t="str">
        <f t="shared" si="72"/>
        <v>Jun</v>
      </c>
      <c r="T430" s="47">
        <v>45078</v>
      </c>
      <c r="U430" s="29">
        <v>8</v>
      </c>
      <c r="V430" s="38">
        <v>196</v>
      </c>
      <c r="W430" s="29">
        <v>29</v>
      </c>
      <c r="X430" s="29">
        <v>1</v>
      </c>
      <c r="Y430" s="30">
        <f>combined_tbl!$Q430*(1-combined_tbl!$Z430)</f>
        <v>462.38399999999996</v>
      </c>
      <c r="Z430" s="31">
        <f>IF(combined_tbl!$Q430&gt;=500,0.2, IF(combined_tbl!$Q430&gt;=200,0.05, IF(combined_tbl!$X430&gt;=2,0.05,0)))</f>
        <v>0.05</v>
      </c>
      <c r="AA430" s="30">
        <f>combined_tbl!$Y430*combined_tbl!$X430</f>
        <v>462.38399999999996</v>
      </c>
      <c r="AB430" s="32">
        <f>(combined_tbl!$Q430*(1+combined_tbl!$Z430)-combined_tbl!$P430)*combined_tbl!$X430</f>
        <v>173.05599999999998</v>
      </c>
    </row>
    <row r="431" spans="1:28" x14ac:dyDescent="0.3">
      <c r="A431" s="29">
        <v>430</v>
      </c>
      <c r="B431" s="25" cm="1">
        <f t="array" aca="1" ref="B431" ca="1">MIN(IF($E:$E=E431,$H:$H))</f>
        <v>45492</v>
      </c>
      <c r="C431" s="25">
        <f t="shared" ca="1" si="67"/>
        <v>16</v>
      </c>
      <c r="D431" s="42">
        <f ca="1">COUNTIF(E:E,combined_tbl!$E431)</f>
        <v>4</v>
      </c>
      <c r="E431" s="24" t="str">
        <f t="shared" ca="1" si="73"/>
        <v>Customer048</v>
      </c>
      <c r="F431" s="24" t="str" cm="1">
        <f t="array" aca="1" ref="F431" ca="1">INDEX({"Male","Female"}, RANDBETWEEN(1,2))</f>
        <v>Female</v>
      </c>
      <c r="G431" s="29" t="str">
        <f t="shared" ca="1" si="66"/>
        <v>West</v>
      </c>
      <c r="H431" s="48">
        <f t="shared" ca="1" si="68"/>
        <v>45492</v>
      </c>
      <c r="I431" s="24">
        <f t="shared" ca="1" si="69"/>
        <v>19</v>
      </c>
      <c r="J431" s="46" t="str">
        <f t="shared" ca="1" si="74"/>
        <v>July</v>
      </c>
      <c r="K431" s="24">
        <f t="shared" ca="1" si="70"/>
        <v>2024</v>
      </c>
      <c r="L431" s="24" t="str">
        <f t="shared" ca="1" si="71"/>
        <v>Silver</v>
      </c>
      <c r="M431" s="24">
        <v>431</v>
      </c>
      <c r="N431" s="24" t="s">
        <v>831</v>
      </c>
      <c r="O431" s="24" t="s">
        <v>1289</v>
      </c>
      <c r="P431" s="26">
        <v>87</v>
      </c>
      <c r="Q431" s="26">
        <v>113.10000000000001</v>
      </c>
      <c r="R431" s="24">
        <v>431</v>
      </c>
      <c r="S431" s="24" t="str">
        <f t="shared" si="72"/>
        <v>Aug</v>
      </c>
      <c r="T431" s="46">
        <v>45881</v>
      </c>
      <c r="U431" s="24">
        <v>6</v>
      </c>
      <c r="V431" s="37">
        <v>180</v>
      </c>
      <c r="W431" s="24">
        <v>86</v>
      </c>
      <c r="X431" s="24">
        <v>1</v>
      </c>
      <c r="Y431" s="26">
        <f>combined_tbl!$Q431*(1-combined_tbl!$Z431)</f>
        <v>113.10000000000001</v>
      </c>
      <c r="Z431" s="27">
        <f>IF(combined_tbl!$Q431&gt;=500,0.2, IF(combined_tbl!$Q431&gt;=200,0.05, IF(combined_tbl!$X431&gt;=2,0.05,0)))</f>
        <v>0</v>
      </c>
      <c r="AA431" s="26">
        <f>combined_tbl!$Y431*combined_tbl!$X431</f>
        <v>113.10000000000001</v>
      </c>
      <c r="AB431" s="28">
        <f>(combined_tbl!$Q431*(1+combined_tbl!$Z431)-combined_tbl!$P431)*combined_tbl!$X431</f>
        <v>26.100000000000009</v>
      </c>
    </row>
    <row r="432" spans="1:28" x14ac:dyDescent="0.3">
      <c r="A432" s="29">
        <v>431</v>
      </c>
      <c r="B432" s="25" cm="1">
        <f t="array" aca="1" ref="B432" ca="1">MIN(IF($E:$E=E432,$H:$H))</f>
        <v>45927</v>
      </c>
      <c r="C432" s="25">
        <f t="shared" ca="1" si="67"/>
        <v>2</v>
      </c>
      <c r="D432" s="43">
        <f ca="1">COUNTIF(E:E,combined_tbl!$E432)</f>
        <v>2</v>
      </c>
      <c r="E432" s="29" t="str">
        <f t="shared" ca="1" si="73"/>
        <v>Customer103</v>
      </c>
      <c r="F432" s="29" t="str" cm="1">
        <f t="array" aca="1" ref="F432" ca="1">INDEX({"Male","Female"}, RANDBETWEEN(1,2))</f>
        <v>Female</v>
      </c>
      <c r="G432" s="29" t="str">
        <f t="shared" ca="1" si="66"/>
        <v>West</v>
      </c>
      <c r="H432" s="48">
        <f t="shared" ca="1" si="68"/>
        <v>45927</v>
      </c>
      <c r="I432" s="24">
        <f t="shared" ca="1" si="69"/>
        <v>27</v>
      </c>
      <c r="J432" s="46" t="str">
        <f t="shared" ca="1" si="74"/>
        <v>September</v>
      </c>
      <c r="K432" s="24">
        <f t="shared" ca="1" si="70"/>
        <v>2025</v>
      </c>
      <c r="L432" s="24" t="str">
        <f t="shared" ca="1" si="71"/>
        <v>Bronze</v>
      </c>
      <c r="M432" s="29">
        <v>432</v>
      </c>
      <c r="N432" s="29" t="s">
        <v>954</v>
      </c>
      <c r="O432" s="29" t="s">
        <v>1290</v>
      </c>
      <c r="P432" s="30">
        <v>292</v>
      </c>
      <c r="Q432" s="30">
        <v>414.64</v>
      </c>
      <c r="R432" s="29">
        <v>432</v>
      </c>
      <c r="S432" s="24" t="str">
        <f t="shared" si="72"/>
        <v>Sep</v>
      </c>
      <c r="T432" s="47">
        <v>45189</v>
      </c>
      <c r="U432" s="29">
        <v>3</v>
      </c>
      <c r="V432" s="38">
        <v>165</v>
      </c>
      <c r="W432" s="29">
        <v>26</v>
      </c>
      <c r="X432" s="29">
        <v>1</v>
      </c>
      <c r="Y432" s="30">
        <f>combined_tbl!$Q432*(1-combined_tbl!$Z432)</f>
        <v>393.90799999999996</v>
      </c>
      <c r="Z432" s="31">
        <f>IF(combined_tbl!$Q432&gt;=500,0.2, IF(combined_tbl!$Q432&gt;=200,0.05, IF(combined_tbl!$X432&gt;=2,0.05,0)))</f>
        <v>0.05</v>
      </c>
      <c r="AA432" s="30">
        <f>combined_tbl!$Y432*combined_tbl!$X432</f>
        <v>393.90799999999996</v>
      </c>
      <c r="AB432" s="32">
        <f>(combined_tbl!$Q432*(1+combined_tbl!$Z432)-combined_tbl!$P432)*combined_tbl!$X432</f>
        <v>143.37200000000001</v>
      </c>
    </row>
    <row r="433" spans="1:28" x14ac:dyDescent="0.3">
      <c r="A433" s="29">
        <v>432</v>
      </c>
      <c r="B433" s="25" cm="1">
        <f t="array" aca="1" ref="B433" ca="1">MIN(IF($E:$E=E433,$H:$H))</f>
        <v>45085</v>
      </c>
      <c r="C433" s="25">
        <f t="shared" ca="1" si="67"/>
        <v>29</v>
      </c>
      <c r="D433" s="42">
        <f ca="1">COUNTIF(E:E,combined_tbl!$E433)</f>
        <v>10</v>
      </c>
      <c r="E433" s="24" t="str">
        <f t="shared" ca="1" si="73"/>
        <v>Customer007</v>
      </c>
      <c r="F433" s="24" t="str" cm="1">
        <f t="array" aca="1" ref="F433" ca="1">INDEX({"Male","Female"}, RANDBETWEEN(1,2))</f>
        <v>Female</v>
      </c>
      <c r="G433" s="29" t="str">
        <f t="shared" ca="1" si="66"/>
        <v>East</v>
      </c>
      <c r="H433" s="48">
        <f t="shared" ca="1" si="68"/>
        <v>45085</v>
      </c>
      <c r="I433" s="24">
        <f t="shared" ca="1" si="69"/>
        <v>8</v>
      </c>
      <c r="J433" s="46" t="str">
        <f t="shared" ca="1" si="74"/>
        <v>June</v>
      </c>
      <c r="K433" s="24">
        <f t="shared" ca="1" si="70"/>
        <v>2023</v>
      </c>
      <c r="L433" s="24" t="str">
        <f t="shared" ca="1" si="71"/>
        <v>Platinum</v>
      </c>
      <c r="M433" s="24">
        <v>433</v>
      </c>
      <c r="N433" s="24" t="s">
        <v>837</v>
      </c>
      <c r="O433" s="24" t="s">
        <v>1291</v>
      </c>
      <c r="P433" s="26">
        <v>177</v>
      </c>
      <c r="Q433" s="26">
        <v>205.32</v>
      </c>
      <c r="R433" s="24">
        <v>433</v>
      </c>
      <c r="S433" s="24" t="str">
        <f t="shared" si="72"/>
        <v>Sep</v>
      </c>
      <c r="T433" s="46">
        <v>45191</v>
      </c>
      <c r="U433" s="24">
        <v>7</v>
      </c>
      <c r="V433" s="37">
        <v>201</v>
      </c>
      <c r="W433" s="24">
        <v>49</v>
      </c>
      <c r="X433" s="24">
        <v>1</v>
      </c>
      <c r="Y433" s="26">
        <f>combined_tbl!$Q433*(1-combined_tbl!$Z433)</f>
        <v>195.05399999999997</v>
      </c>
      <c r="Z433" s="27">
        <f>IF(combined_tbl!$Q433&gt;=500,0.2, IF(combined_tbl!$Q433&gt;=200,0.05, IF(combined_tbl!$X433&gt;=2,0.05,0)))</f>
        <v>0.05</v>
      </c>
      <c r="AA433" s="26">
        <f>combined_tbl!$Y433*combined_tbl!$X433</f>
        <v>195.05399999999997</v>
      </c>
      <c r="AB433" s="28">
        <f>(combined_tbl!$Q433*(1+combined_tbl!$Z433)-combined_tbl!$P433)*combined_tbl!$X433</f>
        <v>38.586000000000013</v>
      </c>
    </row>
    <row r="434" spans="1:28" x14ac:dyDescent="0.3">
      <c r="A434" s="19">
        <v>433</v>
      </c>
      <c r="B434" s="25" cm="1">
        <f t="array" aca="1" ref="B434" ca="1">MIN(IF($E:$E=E434,$H:$H))</f>
        <v>45492</v>
      </c>
      <c r="C434" s="25">
        <f t="shared" ca="1" si="67"/>
        <v>16</v>
      </c>
      <c r="D434" s="43">
        <f ca="1">COUNTIF(E:E,combined_tbl!$E434)</f>
        <v>4</v>
      </c>
      <c r="E434" s="29" t="str">
        <f t="shared" ca="1" si="73"/>
        <v>Customer048</v>
      </c>
      <c r="F434" s="29" t="str" cm="1">
        <f t="array" aca="1" ref="F434" ca="1">INDEX({"Male","Female"}, RANDBETWEEN(1,2))</f>
        <v>Male</v>
      </c>
      <c r="G434" s="29" t="str">
        <f t="shared" ca="1" si="66"/>
        <v>West</v>
      </c>
      <c r="H434" s="48">
        <f t="shared" ca="1" si="68"/>
        <v>45492</v>
      </c>
      <c r="I434" s="24">
        <f t="shared" ca="1" si="69"/>
        <v>19</v>
      </c>
      <c r="J434" s="46" t="str">
        <f t="shared" ca="1" si="74"/>
        <v>July</v>
      </c>
      <c r="K434" s="24">
        <f t="shared" ca="1" si="70"/>
        <v>2024</v>
      </c>
      <c r="L434" s="24" t="str">
        <f t="shared" ca="1" si="71"/>
        <v>Silver</v>
      </c>
      <c r="M434" s="29">
        <v>434</v>
      </c>
      <c r="N434" s="29" t="s">
        <v>837</v>
      </c>
      <c r="O434" s="29" t="s">
        <v>1292</v>
      </c>
      <c r="P434" s="30">
        <v>58</v>
      </c>
      <c r="Q434" s="30">
        <v>74.820000000000007</v>
      </c>
      <c r="R434" s="29">
        <v>434</v>
      </c>
      <c r="S434" s="24" t="str">
        <f t="shared" si="72"/>
        <v>Oct</v>
      </c>
      <c r="T434" s="47">
        <v>45956</v>
      </c>
      <c r="U434" s="29">
        <v>1</v>
      </c>
      <c r="V434" s="38">
        <v>32</v>
      </c>
      <c r="W434" s="29">
        <v>60</v>
      </c>
      <c r="X434" s="29">
        <v>1</v>
      </c>
      <c r="Y434" s="30">
        <f>combined_tbl!$Q434*(1-combined_tbl!$Z434)</f>
        <v>74.820000000000007</v>
      </c>
      <c r="Z434" s="31">
        <f>IF(combined_tbl!$Q434&gt;=500,0.2, IF(combined_tbl!$Q434&gt;=200,0.05, IF(combined_tbl!$X434&gt;=2,0.05,0)))</f>
        <v>0</v>
      </c>
      <c r="AA434" s="30">
        <f>combined_tbl!$Y434*combined_tbl!$X434</f>
        <v>74.820000000000007</v>
      </c>
      <c r="AB434" s="32">
        <f>(combined_tbl!$Q434*(1+combined_tbl!$Z434)-combined_tbl!$P434)*combined_tbl!$X434</f>
        <v>16.820000000000007</v>
      </c>
    </row>
    <row r="435" spans="1:28" x14ac:dyDescent="0.3">
      <c r="A435" s="24">
        <v>434</v>
      </c>
      <c r="B435" s="25" cm="1">
        <f t="array" aca="1" ref="B435" ca="1">MIN(IF($E:$E=E435,$H:$H))</f>
        <v>45094</v>
      </c>
      <c r="C435" s="25">
        <f t="shared" ca="1" si="67"/>
        <v>29</v>
      </c>
      <c r="D435" s="42">
        <f ca="1">COUNTIF(E:E,combined_tbl!$E435)</f>
        <v>9</v>
      </c>
      <c r="E435" s="24" t="str">
        <f t="shared" ca="1" si="73"/>
        <v>Customer069</v>
      </c>
      <c r="F435" s="24" t="str" cm="1">
        <f t="array" aca="1" ref="F435" ca="1">INDEX({"Male","Female"}, RANDBETWEEN(1,2))</f>
        <v>Female</v>
      </c>
      <c r="G435" s="29" t="str">
        <f t="shared" ca="1" si="66"/>
        <v>North</v>
      </c>
      <c r="H435" s="48">
        <f t="shared" ca="1" si="68"/>
        <v>45094</v>
      </c>
      <c r="I435" s="24">
        <f t="shared" ca="1" si="69"/>
        <v>17</v>
      </c>
      <c r="J435" s="46" t="str">
        <f t="shared" ca="1" si="74"/>
        <v>June</v>
      </c>
      <c r="K435" s="24">
        <f t="shared" ca="1" si="70"/>
        <v>2023</v>
      </c>
      <c r="L435" s="24" t="str">
        <f t="shared" ca="1" si="71"/>
        <v>Gold</v>
      </c>
      <c r="M435" s="24">
        <v>435</v>
      </c>
      <c r="N435" s="24" t="s">
        <v>872</v>
      </c>
      <c r="O435" s="24" t="s">
        <v>1293</v>
      </c>
      <c r="P435" s="26">
        <v>68</v>
      </c>
      <c r="Q435" s="26">
        <v>95.88</v>
      </c>
      <c r="R435" s="24">
        <v>435</v>
      </c>
      <c r="S435" s="24" t="str">
        <f t="shared" si="72"/>
        <v>Sep</v>
      </c>
      <c r="T435" s="46">
        <v>45181</v>
      </c>
      <c r="U435" s="24">
        <v>3</v>
      </c>
      <c r="V435" s="37">
        <v>138</v>
      </c>
      <c r="W435" s="24">
        <v>66</v>
      </c>
      <c r="X435" s="24">
        <v>2</v>
      </c>
      <c r="Y435" s="26">
        <f>combined_tbl!$Q435*(1-combined_tbl!$Z435)</f>
        <v>91.085999999999999</v>
      </c>
      <c r="Z435" s="27">
        <f>IF(combined_tbl!$Q435&gt;=500,0.2, IF(combined_tbl!$Q435&gt;=200,0.05, IF(combined_tbl!$X435&gt;=2,0.05,0)))</f>
        <v>0.05</v>
      </c>
      <c r="AA435" s="26">
        <f>combined_tbl!$Y435*combined_tbl!$X435</f>
        <v>182.172</v>
      </c>
      <c r="AB435" s="28">
        <f>(combined_tbl!$Q435*(1+combined_tbl!$Z435)-combined_tbl!$P435)*combined_tbl!$X435</f>
        <v>65.347999999999985</v>
      </c>
    </row>
    <row r="436" spans="1:28" x14ac:dyDescent="0.3">
      <c r="A436" s="29">
        <v>435</v>
      </c>
      <c r="B436" s="25" cm="1">
        <f t="array" aca="1" ref="B436" ca="1">MIN(IF($E:$E=E436,$H:$H))</f>
        <v>45750</v>
      </c>
      <c r="C436" s="25">
        <f t="shared" ca="1" si="67"/>
        <v>8</v>
      </c>
      <c r="D436" s="43">
        <f ca="1">COUNTIF(E:E,combined_tbl!$E436)</f>
        <v>6</v>
      </c>
      <c r="E436" s="29" t="str">
        <f t="shared" ca="1" si="73"/>
        <v>Customer005</v>
      </c>
      <c r="F436" s="29" t="str" cm="1">
        <f t="array" aca="1" ref="F436" ca="1">INDEX({"Male","Female"}, RANDBETWEEN(1,2))</f>
        <v>Female</v>
      </c>
      <c r="G436" s="29" t="str">
        <f t="shared" ca="1" si="66"/>
        <v>East</v>
      </c>
      <c r="H436" s="48">
        <f t="shared" ca="1" si="68"/>
        <v>45750</v>
      </c>
      <c r="I436" s="24">
        <f t="shared" ca="1" si="69"/>
        <v>3</v>
      </c>
      <c r="J436" s="46" t="str">
        <f t="shared" ca="1" si="74"/>
        <v>April</v>
      </c>
      <c r="K436" s="24">
        <f t="shared" ca="1" si="70"/>
        <v>2025</v>
      </c>
      <c r="L436" s="24" t="str">
        <f t="shared" ca="1" si="71"/>
        <v>Bronze</v>
      </c>
      <c r="M436" s="29">
        <v>436</v>
      </c>
      <c r="N436" s="29" t="s">
        <v>851</v>
      </c>
      <c r="O436" s="29" t="s">
        <v>1294</v>
      </c>
      <c r="P436" s="30">
        <v>227</v>
      </c>
      <c r="Q436" s="30">
        <v>324.61</v>
      </c>
      <c r="R436" s="29">
        <v>436</v>
      </c>
      <c r="S436" s="24" t="str">
        <f t="shared" si="72"/>
        <v>Sep</v>
      </c>
      <c r="T436" s="47">
        <v>45549</v>
      </c>
      <c r="U436" s="29">
        <v>3</v>
      </c>
      <c r="V436" s="38">
        <v>150</v>
      </c>
      <c r="W436" s="29">
        <v>96</v>
      </c>
      <c r="X436" s="29">
        <v>1</v>
      </c>
      <c r="Y436" s="30">
        <f>combined_tbl!$Q436*(1-combined_tbl!$Z436)</f>
        <v>308.37950000000001</v>
      </c>
      <c r="Z436" s="31">
        <f>IF(combined_tbl!$Q436&gt;=500,0.2, IF(combined_tbl!$Q436&gt;=200,0.05, IF(combined_tbl!$X436&gt;=2,0.05,0)))</f>
        <v>0.05</v>
      </c>
      <c r="AA436" s="30">
        <f>combined_tbl!$Y436*combined_tbl!$X436</f>
        <v>308.37950000000001</v>
      </c>
      <c r="AB436" s="32">
        <f>(combined_tbl!$Q436*(1+combined_tbl!$Z436)-combined_tbl!$P436)*combined_tbl!$X436</f>
        <v>113.84050000000002</v>
      </c>
    </row>
    <row r="437" spans="1:28" x14ac:dyDescent="0.3">
      <c r="A437" s="29">
        <v>436</v>
      </c>
      <c r="B437" s="25" cm="1">
        <f t="array" aca="1" ref="B437" ca="1">MIN(IF($E:$E=E437,$H:$H))</f>
        <v>45492</v>
      </c>
      <c r="C437" s="25">
        <f t="shared" ca="1" si="67"/>
        <v>16</v>
      </c>
      <c r="D437" s="42">
        <f ca="1">COUNTIF(E:E,combined_tbl!$E437)</f>
        <v>5</v>
      </c>
      <c r="E437" s="24" t="str">
        <f t="shared" ca="1" si="73"/>
        <v>Customer047</v>
      </c>
      <c r="F437" s="24" t="str" cm="1">
        <f t="array" aca="1" ref="F437" ca="1">INDEX({"Male","Female"}, RANDBETWEEN(1,2))</f>
        <v>Male</v>
      </c>
      <c r="G437" s="29" t="str">
        <f t="shared" ca="1" si="66"/>
        <v>North</v>
      </c>
      <c r="H437" s="48">
        <f t="shared" ca="1" si="68"/>
        <v>45492</v>
      </c>
      <c r="I437" s="24">
        <f t="shared" ca="1" si="69"/>
        <v>19</v>
      </c>
      <c r="J437" s="46" t="str">
        <f t="shared" ca="1" si="74"/>
        <v>July</v>
      </c>
      <c r="K437" s="24">
        <f t="shared" ca="1" si="70"/>
        <v>2024</v>
      </c>
      <c r="L437" s="24" t="str">
        <f t="shared" ca="1" si="71"/>
        <v>Silver</v>
      </c>
      <c r="M437" s="24">
        <v>437</v>
      </c>
      <c r="N437" s="24" t="s">
        <v>837</v>
      </c>
      <c r="O437" s="24" t="s">
        <v>1295</v>
      </c>
      <c r="P437" s="26">
        <v>303</v>
      </c>
      <c r="Q437" s="26">
        <v>369.65999999999997</v>
      </c>
      <c r="R437" s="24">
        <v>437</v>
      </c>
      <c r="S437" s="24" t="str">
        <f t="shared" si="72"/>
        <v>Nov</v>
      </c>
      <c r="T437" s="46">
        <v>45258</v>
      </c>
      <c r="U437" s="24">
        <v>6</v>
      </c>
      <c r="V437" s="37">
        <v>193</v>
      </c>
      <c r="W437" s="24">
        <v>81</v>
      </c>
      <c r="X437" s="24">
        <v>1</v>
      </c>
      <c r="Y437" s="26">
        <f>combined_tbl!$Q437*(1-combined_tbl!$Z437)</f>
        <v>351.17699999999996</v>
      </c>
      <c r="Z437" s="27">
        <f>IF(combined_tbl!$Q437&gt;=500,0.2, IF(combined_tbl!$Q437&gt;=200,0.05, IF(combined_tbl!$X437&gt;=2,0.05,0)))</f>
        <v>0.05</v>
      </c>
      <c r="AA437" s="26">
        <f>combined_tbl!$Y437*combined_tbl!$X437</f>
        <v>351.17699999999996</v>
      </c>
      <c r="AB437" s="28">
        <f>(combined_tbl!$Q437*(1+combined_tbl!$Z437)-combined_tbl!$P437)*combined_tbl!$X437</f>
        <v>85.142999999999972</v>
      </c>
    </row>
    <row r="438" spans="1:28" x14ac:dyDescent="0.3">
      <c r="A438" s="29">
        <v>437</v>
      </c>
      <c r="B438" s="25" cm="1">
        <f t="array" aca="1" ref="B438" ca="1">MIN(IF($E:$E=E438,$H:$H))</f>
        <v>45826</v>
      </c>
      <c r="C438" s="25">
        <f t="shared" ca="1" si="67"/>
        <v>5</v>
      </c>
      <c r="D438" s="43">
        <f ca="1">COUNTIF(E:E,combined_tbl!$E438)</f>
        <v>7</v>
      </c>
      <c r="E438" s="29" t="str">
        <f t="shared" ca="1" si="73"/>
        <v>Customer049</v>
      </c>
      <c r="F438" s="29" t="str" cm="1">
        <f t="array" aca="1" ref="F438" ca="1">INDEX({"Male","Female"}, RANDBETWEEN(1,2))</f>
        <v>Male</v>
      </c>
      <c r="G438" s="29" t="str">
        <f t="shared" ca="1" si="66"/>
        <v>West</v>
      </c>
      <c r="H438" s="48">
        <f t="shared" ca="1" si="68"/>
        <v>45826</v>
      </c>
      <c r="I438" s="24">
        <f t="shared" ca="1" si="69"/>
        <v>18</v>
      </c>
      <c r="J438" s="46" t="str">
        <f t="shared" ca="1" si="74"/>
        <v>June</v>
      </c>
      <c r="K438" s="24">
        <f t="shared" ca="1" si="70"/>
        <v>2025</v>
      </c>
      <c r="L438" s="24" t="str">
        <f t="shared" ca="1" si="71"/>
        <v>Bronze</v>
      </c>
      <c r="M438" s="29">
        <v>438</v>
      </c>
      <c r="N438" s="29" t="s">
        <v>954</v>
      </c>
      <c r="O438" s="29" t="s">
        <v>1296</v>
      </c>
      <c r="P438" s="30">
        <v>732</v>
      </c>
      <c r="Q438" s="30">
        <v>1046.76</v>
      </c>
      <c r="R438" s="29">
        <v>438</v>
      </c>
      <c r="S438" s="24" t="str">
        <f t="shared" si="72"/>
        <v>Apr</v>
      </c>
      <c r="T438" s="47">
        <v>45388</v>
      </c>
      <c r="U438" s="29">
        <v>6</v>
      </c>
      <c r="V438" s="38">
        <v>91</v>
      </c>
      <c r="W438" s="29">
        <v>80</v>
      </c>
      <c r="X438" s="29">
        <v>1</v>
      </c>
      <c r="Y438" s="30">
        <f>combined_tbl!$Q438*(1-combined_tbl!$Z438)</f>
        <v>837.40800000000002</v>
      </c>
      <c r="Z438" s="31">
        <f>IF(combined_tbl!$Q438&gt;=500,0.2, IF(combined_tbl!$Q438&gt;=200,0.05, IF(combined_tbl!$X438&gt;=2,0.05,0)))</f>
        <v>0.2</v>
      </c>
      <c r="AA438" s="30">
        <f>combined_tbl!$Y438*combined_tbl!$X438</f>
        <v>837.40800000000002</v>
      </c>
      <c r="AB438" s="32">
        <f>(combined_tbl!$Q438*(1+combined_tbl!$Z438)-combined_tbl!$P438)*combined_tbl!$X438</f>
        <v>524.11199999999985</v>
      </c>
    </row>
    <row r="439" spans="1:28" x14ac:dyDescent="0.3">
      <c r="A439" s="29">
        <v>438</v>
      </c>
      <c r="B439" s="25" cm="1">
        <f t="array" aca="1" ref="B439" ca="1">MIN(IF($E:$E=E439,$H:$H))</f>
        <v>45400</v>
      </c>
      <c r="C439" s="25">
        <f t="shared" ca="1" si="67"/>
        <v>19</v>
      </c>
      <c r="D439" s="42">
        <f ca="1">COUNTIF(E:E,combined_tbl!$E439)</f>
        <v>5</v>
      </c>
      <c r="E439" s="24" t="str">
        <f t="shared" ca="1" si="73"/>
        <v>Customer071</v>
      </c>
      <c r="F439" s="24" t="str" cm="1">
        <f t="array" aca="1" ref="F439" ca="1">INDEX({"Male","Female"}, RANDBETWEEN(1,2))</f>
        <v>Male</v>
      </c>
      <c r="G439" s="29" t="str">
        <f t="shared" ref="G439:G500" ca="1" si="75">_xlfn.XLOOKUP(E439,AI$1:AI$139,AF$2:AF$140)</f>
        <v>West</v>
      </c>
      <c r="H439" s="48">
        <f t="shared" ca="1" si="68"/>
        <v>45400</v>
      </c>
      <c r="I439" s="24">
        <f t="shared" ca="1" si="69"/>
        <v>18</v>
      </c>
      <c r="J439" s="46" t="str">
        <f t="shared" ca="1" si="74"/>
        <v>April</v>
      </c>
      <c r="K439" s="24">
        <f t="shared" ca="1" si="70"/>
        <v>2024</v>
      </c>
      <c r="L439" s="24" t="str">
        <f t="shared" ca="1" si="71"/>
        <v>Silver</v>
      </c>
      <c r="M439" s="24">
        <v>439</v>
      </c>
      <c r="N439" s="24" t="s">
        <v>955</v>
      </c>
      <c r="O439" s="24" t="s">
        <v>1297</v>
      </c>
      <c r="P439" s="26">
        <v>512</v>
      </c>
      <c r="Q439" s="26">
        <v>752.64</v>
      </c>
      <c r="R439" s="24">
        <v>439</v>
      </c>
      <c r="S439" s="24" t="str">
        <f t="shared" si="72"/>
        <v>Aug</v>
      </c>
      <c r="T439" s="46">
        <v>45508</v>
      </c>
      <c r="U439" s="24">
        <v>2</v>
      </c>
      <c r="V439" s="37">
        <v>214</v>
      </c>
      <c r="W439" s="24">
        <v>92</v>
      </c>
      <c r="X439" s="24">
        <v>1</v>
      </c>
      <c r="Y439" s="26">
        <f>combined_tbl!$Q439*(1-combined_tbl!$Z439)</f>
        <v>602.11199999999997</v>
      </c>
      <c r="Z439" s="27">
        <f>IF(combined_tbl!$Q439&gt;=500,0.2, IF(combined_tbl!$Q439&gt;=200,0.05, IF(combined_tbl!$X439&gt;=2,0.05,0)))</f>
        <v>0.2</v>
      </c>
      <c r="AA439" s="26">
        <f>combined_tbl!$Y439*combined_tbl!$X439</f>
        <v>602.11199999999997</v>
      </c>
      <c r="AB439" s="28">
        <f>(combined_tbl!$Q439*(1+combined_tbl!$Z439)-combined_tbl!$P439)*combined_tbl!$X439</f>
        <v>391.16800000000001</v>
      </c>
    </row>
    <row r="440" spans="1:28" x14ac:dyDescent="0.3">
      <c r="A440" s="29">
        <v>439</v>
      </c>
      <c r="B440" s="25" cm="1">
        <f t="array" aca="1" ref="B440" ca="1">MIN(IF($E:$E=E440,$H:$H))</f>
        <v>45297</v>
      </c>
      <c r="C440" s="25">
        <f t="shared" ca="1" si="67"/>
        <v>22</v>
      </c>
      <c r="D440" s="43">
        <f ca="1">COUNTIF(E:E,combined_tbl!$E440)</f>
        <v>8</v>
      </c>
      <c r="E440" s="29" t="str">
        <f t="shared" ca="1" si="73"/>
        <v>Customer010</v>
      </c>
      <c r="F440" s="29" t="str" cm="1">
        <f t="array" aca="1" ref="F440" ca="1">INDEX({"Male","Female"}, RANDBETWEEN(1,2))</f>
        <v>Female</v>
      </c>
      <c r="G440" s="29" t="str">
        <f t="shared" ca="1" si="75"/>
        <v>East</v>
      </c>
      <c r="H440" s="48">
        <f t="shared" ca="1" si="68"/>
        <v>45297</v>
      </c>
      <c r="I440" s="24">
        <f t="shared" ca="1" si="69"/>
        <v>6</v>
      </c>
      <c r="J440" s="46" t="str">
        <f t="shared" ca="1" si="74"/>
        <v>January</v>
      </c>
      <c r="K440" s="24">
        <f t="shared" ca="1" si="70"/>
        <v>2024</v>
      </c>
      <c r="L440" s="24" t="str">
        <f t="shared" ca="1" si="71"/>
        <v>Gold</v>
      </c>
      <c r="M440" s="29">
        <v>440</v>
      </c>
      <c r="N440" s="29" t="s">
        <v>872</v>
      </c>
      <c r="O440" s="29" t="s">
        <v>1298</v>
      </c>
      <c r="P440" s="30">
        <v>105</v>
      </c>
      <c r="Q440" s="30">
        <v>134.4</v>
      </c>
      <c r="R440" s="29">
        <v>440</v>
      </c>
      <c r="S440" s="24" t="str">
        <f t="shared" si="72"/>
        <v>May</v>
      </c>
      <c r="T440" s="47">
        <v>45440</v>
      </c>
      <c r="U440" s="29">
        <v>4</v>
      </c>
      <c r="V440" s="38">
        <v>203</v>
      </c>
      <c r="W440" s="29">
        <v>79</v>
      </c>
      <c r="X440" s="29">
        <v>1</v>
      </c>
      <c r="Y440" s="30">
        <f>combined_tbl!$Q440*(1-combined_tbl!$Z440)</f>
        <v>134.4</v>
      </c>
      <c r="Z440" s="31">
        <f>IF(combined_tbl!$Q440&gt;=500,0.2, IF(combined_tbl!$Q440&gt;=200,0.05, IF(combined_tbl!$X440&gt;=2,0.05,0)))</f>
        <v>0</v>
      </c>
      <c r="AA440" s="30">
        <f>combined_tbl!$Y440*combined_tbl!$X440</f>
        <v>134.4</v>
      </c>
      <c r="AB440" s="32">
        <f>(combined_tbl!$Q440*(1+combined_tbl!$Z440)-combined_tbl!$P440)*combined_tbl!$X440</f>
        <v>29.400000000000006</v>
      </c>
    </row>
    <row r="441" spans="1:28" x14ac:dyDescent="0.3">
      <c r="A441" s="29">
        <v>440</v>
      </c>
      <c r="B441" s="25" cm="1">
        <f t="array" aca="1" ref="B441" ca="1">MIN(IF($E:$E=E441,$H:$H))</f>
        <v>45039</v>
      </c>
      <c r="C441" s="25">
        <f t="shared" ca="1" si="67"/>
        <v>31</v>
      </c>
      <c r="D441" s="42">
        <f ca="1">COUNTIF(E:E,combined_tbl!$E441)</f>
        <v>3</v>
      </c>
      <c r="E441" s="24" t="str">
        <f t="shared" ca="1" si="73"/>
        <v>Customer070</v>
      </c>
      <c r="F441" s="24" t="str" cm="1">
        <f t="array" aca="1" ref="F441" ca="1">INDEX({"Male","Female"}, RANDBETWEEN(1,2))</f>
        <v>Male</v>
      </c>
      <c r="G441" s="29" t="str">
        <f t="shared" ca="1" si="75"/>
        <v>North</v>
      </c>
      <c r="H441" s="48">
        <f t="shared" ca="1" si="68"/>
        <v>45039</v>
      </c>
      <c r="I441" s="24">
        <f t="shared" ca="1" si="69"/>
        <v>23</v>
      </c>
      <c r="J441" s="46" t="str">
        <f t="shared" ca="1" si="74"/>
        <v>April</v>
      </c>
      <c r="K441" s="24">
        <f t="shared" ca="1" si="70"/>
        <v>2023</v>
      </c>
      <c r="L441" s="24" t="str">
        <f t="shared" ca="1" si="71"/>
        <v>Silver</v>
      </c>
      <c r="M441" s="24">
        <v>441</v>
      </c>
      <c r="N441" s="24" t="s">
        <v>847</v>
      </c>
      <c r="O441" s="24" t="s">
        <v>1299</v>
      </c>
      <c r="P441" s="26">
        <v>147</v>
      </c>
      <c r="Q441" s="26">
        <v>208.73999999999998</v>
      </c>
      <c r="R441" s="24">
        <v>441</v>
      </c>
      <c r="S441" s="24" t="str">
        <f t="shared" si="72"/>
        <v>Jul</v>
      </c>
      <c r="T441" s="46">
        <v>45489</v>
      </c>
      <c r="U441" s="24">
        <v>3</v>
      </c>
      <c r="V441" s="37">
        <v>12</v>
      </c>
      <c r="W441" s="24">
        <v>82</v>
      </c>
      <c r="X441" s="24">
        <v>3</v>
      </c>
      <c r="Y441" s="26">
        <f>combined_tbl!$Q441*(1-combined_tbl!$Z441)</f>
        <v>198.30299999999997</v>
      </c>
      <c r="Z441" s="27">
        <f>IF(combined_tbl!$Q441&gt;=500,0.2, IF(combined_tbl!$Q441&gt;=200,0.05, IF(combined_tbl!$X441&gt;=2,0.05,0)))</f>
        <v>0.05</v>
      </c>
      <c r="AA441" s="26">
        <f>combined_tbl!$Y441*combined_tbl!$X441</f>
        <v>594.90899999999988</v>
      </c>
      <c r="AB441" s="28">
        <f>(combined_tbl!$Q441*(1+combined_tbl!$Z441)-combined_tbl!$P441)*combined_tbl!$X441</f>
        <v>216.53099999999998</v>
      </c>
    </row>
    <row r="442" spans="1:28" x14ac:dyDescent="0.3">
      <c r="A442" s="19">
        <v>441</v>
      </c>
      <c r="B442" s="25" cm="1">
        <f t="array" aca="1" ref="B442" ca="1">MIN(IF($E:$E=E442,$H:$H))</f>
        <v>45955</v>
      </c>
      <c r="C442" s="25">
        <f t="shared" ca="1" si="67"/>
        <v>1</v>
      </c>
      <c r="D442" s="43">
        <f ca="1">COUNTIF(E:E,combined_tbl!$E442)</f>
        <v>2</v>
      </c>
      <c r="E442" s="29" t="str">
        <f t="shared" ca="1" si="73"/>
        <v>Customer122</v>
      </c>
      <c r="F442" s="29" t="str" cm="1">
        <f t="array" aca="1" ref="F442" ca="1">INDEX({"Male","Female"}, RANDBETWEEN(1,2))</f>
        <v>Female</v>
      </c>
      <c r="G442" s="29" t="str">
        <f t="shared" ca="1" si="75"/>
        <v>North</v>
      </c>
      <c r="H442" s="48">
        <f t="shared" ca="1" si="68"/>
        <v>45955</v>
      </c>
      <c r="I442" s="24">
        <f t="shared" ca="1" si="69"/>
        <v>25</v>
      </c>
      <c r="J442" s="46" t="str">
        <f t="shared" ca="1" si="74"/>
        <v>October</v>
      </c>
      <c r="K442" s="24">
        <f t="shared" ca="1" si="70"/>
        <v>2025</v>
      </c>
      <c r="L442" s="24" t="str">
        <f t="shared" ca="1" si="71"/>
        <v>Bronze</v>
      </c>
      <c r="M442" s="29">
        <v>442</v>
      </c>
      <c r="N442" s="29" t="s">
        <v>957</v>
      </c>
      <c r="O442" s="29" t="s">
        <v>1300</v>
      </c>
      <c r="P442" s="30">
        <v>168</v>
      </c>
      <c r="Q442" s="30">
        <v>243.6</v>
      </c>
      <c r="R442" s="29">
        <v>442</v>
      </c>
      <c r="S442" s="24" t="str">
        <f t="shared" si="72"/>
        <v>Sep</v>
      </c>
      <c r="T442" s="47">
        <v>45547</v>
      </c>
      <c r="U442" s="29">
        <v>2</v>
      </c>
      <c r="V442" s="38">
        <v>133</v>
      </c>
      <c r="W442" s="29">
        <v>55</v>
      </c>
      <c r="X442" s="29">
        <v>2</v>
      </c>
      <c r="Y442" s="30">
        <f>combined_tbl!$Q442*(1-combined_tbl!$Z442)</f>
        <v>231.42</v>
      </c>
      <c r="Z442" s="31">
        <f>IF(combined_tbl!$Q442&gt;=500,0.2, IF(combined_tbl!$Q442&gt;=200,0.05, IF(combined_tbl!$X442&gt;=2,0.05,0)))</f>
        <v>0.05</v>
      </c>
      <c r="AA442" s="30">
        <f>combined_tbl!$Y442*combined_tbl!$X442</f>
        <v>462.84</v>
      </c>
      <c r="AB442" s="32">
        <f>(combined_tbl!$Q442*(1+combined_tbl!$Z442)-combined_tbl!$P442)*combined_tbl!$X442</f>
        <v>175.56</v>
      </c>
    </row>
    <row r="443" spans="1:28" x14ac:dyDescent="0.3">
      <c r="A443" s="24">
        <v>442</v>
      </c>
      <c r="B443" s="25" cm="1">
        <f t="array" aca="1" ref="B443" ca="1">MIN(IF($E:$E=E443,$H:$H))</f>
        <v>45039</v>
      </c>
      <c r="C443" s="25">
        <f t="shared" ca="1" si="67"/>
        <v>31</v>
      </c>
      <c r="D443" s="42">
        <f ca="1">COUNTIF(E:E,combined_tbl!$E443)</f>
        <v>3</v>
      </c>
      <c r="E443" s="24" t="str">
        <f t="shared" ca="1" si="73"/>
        <v>Customer070</v>
      </c>
      <c r="F443" s="24" t="str" cm="1">
        <f t="array" aca="1" ref="F443" ca="1">INDEX({"Male","Female"}, RANDBETWEEN(1,2))</f>
        <v>Male</v>
      </c>
      <c r="G443" s="29" t="str">
        <f t="shared" ca="1" si="75"/>
        <v>North</v>
      </c>
      <c r="H443" s="48">
        <f t="shared" ca="1" si="68"/>
        <v>45039</v>
      </c>
      <c r="I443" s="24">
        <f t="shared" ca="1" si="69"/>
        <v>23</v>
      </c>
      <c r="J443" s="46" t="str">
        <f t="shared" ca="1" si="74"/>
        <v>April</v>
      </c>
      <c r="K443" s="24">
        <f t="shared" ca="1" si="70"/>
        <v>2023</v>
      </c>
      <c r="L443" s="24" t="str">
        <f t="shared" ca="1" si="71"/>
        <v>Silver</v>
      </c>
      <c r="M443" s="24">
        <v>443</v>
      </c>
      <c r="N443" s="24" t="s">
        <v>954</v>
      </c>
      <c r="O443" s="24" t="s">
        <v>1301</v>
      </c>
      <c r="P443" s="26">
        <v>417</v>
      </c>
      <c r="Q443" s="26">
        <v>571.29000000000008</v>
      </c>
      <c r="R443" s="24">
        <v>443</v>
      </c>
      <c r="S443" s="24" t="str">
        <f t="shared" si="72"/>
        <v>Oct</v>
      </c>
      <c r="T443" s="46">
        <v>45956</v>
      </c>
      <c r="U443" s="24">
        <v>3</v>
      </c>
      <c r="V443" s="37">
        <v>49</v>
      </c>
      <c r="W443" s="24">
        <v>59</v>
      </c>
      <c r="X443" s="24">
        <v>1</v>
      </c>
      <c r="Y443" s="26">
        <f>combined_tbl!$Q443*(1-combined_tbl!$Z443)</f>
        <v>457.0320000000001</v>
      </c>
      <c r="Z443" s="27">
        <f>IF(combined_tbl!$Q443&gt;=500,0.2, IF(combined_tbl!$Q443&gt;=200,0.05, IF(combined_tbl!$X443&gt;=2,0.05,0)))</f>
        <v>0.2</v>
      </c>
      <c r="AA443" s="26">
        <f>combined_tbl!$Y443*combined_tbl!$X443</f>
        <v>457.0320000000001</v>
      </c>
      <c r="AB443" s="28">
        <f>(combined_tbl!$Q443*(1+combined_tbl!$Z443)-combined_tbl!$P443)*combined_tbl!$X443</f>
        <v>268.54800000000012</v>
      </c>
    </row>
    <row r="444" spans="1:28" x14ac:dyDescent="0.3">
      <c r="A444" s="29">
        <v>443</v>
      </c>
      <c r="B444" s="25" cm="1">
        <f t="array" aca="1" ref="B444" ca="1">MIN(IF($E:$E=E444,$H:$H))</f>
        <v>45821</v>
      </c>
      <c r="C444" s="25">
        <f t="shared" ca="1" si="67"/>
        <v>5</v>
      </c>
      <c r="D444" s="43">
        <f ca="1">COUNTIF(E:E,combined_tbl!$E444)</f>
        <v>1</v>
      </c>
      <c r="E444" s="29" t="str">
        <f t="shared" ca="1" si="73"/>
        <v>Customer104</v>
      </c>
      <c r="F444" s="29" t="str" cm="1">
        <f t="array" aca="1" ref="F444" ca="1">INDEX({"Male","Female"}, RANDBETWEEN(1,2))</f>
        <v>Male</v>
      </c>
      <c r="G444" s="29" t="str">
        <f t="shared" ca="1" si="75"/>
        <v>North</v>
      </c>
      <c r="H444" s="48">
        <f t="shared" ca="1" si="68"/>
        <v>45821</v>
      </c>
      <c r="I444" s="24">
        <f t="shared" ca="1" si="69"/>
        <v>13</v>
      </c>
      <c r="J444" s="46" t="str">
        <f t="shared" ca="1" si="74"/>
        <v>June</v>
      </c>
      <c r="K444" s="24">
        <f t="shared" ca="1" si="70"/>
        <v>2025</v>
      </c>
      <c r="L444" s="24" t="str">
        <f t="shared" ca="1" si="71"/>
        <v>Bronze</v>
      </c>
      <c r="M444" s="29">
        <v>444</v>
      </c>
      <c r="N444" s="29" t="s">
        <v>957</v>
      </c>
      <c r="O444" s="29" t="s">
        <v>1302</v>
      </c>
      <c r="P444" s="30">
        <v>198</v>
      </c>
      <c r="Q444" s="30">
        <v>217.8</v>
      </c>
      <c r="R444" s="29">
        <v>444</v>
      </c>
      <c r="S444" s="24" t="str">
        <f t="shared" si="72"/>
        <v>Nov</v>
      </c>
      <c r="T444" s="47">
        <v>45242</v>
      </c>
      <c r="U444" s="29">
        <v>3</v>
      </c>
      <c r="V444" s="38">
        <v>85</v>
      </c>
      <c r="W444" s="29">
        <v>54</v>
      </c>
      <c r="X444" s="29">
        <v>1</v>
      </c>
      <c r="Y444" s="30">
        <f>combined_tbl!$Q444*(1-combined_tbl!$Z444)</f>
        <v>206.91</v>
      </c>
      <c r="Z444" s="31">
        <f>IF(combined_tbl!$Q444&gt;=500,0.2, IF(combined_tbl!$Q444&gt;=200,0.05, IF(combined_tbl!$X444&gt;=2,0.05,0)))</f>
        <v>0.05</v>
      </c>
      <c r="AA444" s="30">
        <f>combined_tbl!$Y444*combined_tbl!$X444</f>
        <v>206.91</v>
      </c>
      <c r="AB444" s="32">
        <f>(combined_tbl!$Q444*(1+combined_tbl!$Z444)-combined_tbl!$P444)*combined_tbl!$X444</f>
        <v>30.690000000000026</v>
      </c>
    </row>
    <row r="445" spans="1:28" x14ac:dyDescent="0.3">
      <c r="A445" s="29">
        <v>444</v>
      </c>
      <c r="B445" s="25" cm="1">
        <f t="array" aca="1" ref="B445" ca="1">MIN(IF($E:$E=E445,$H:$H))</f>
        <v>45260</v>
      </c>
      <c r="C445" s="25">
        <f t="shared" ca="1" si="67"/>
        <v>24</v>
      </c>
      <c r="D445" s="42">
        <f ca="1">COUNTIF(E:E,combined_tbl!$E445)</f>
        <v>13</v>
      </c>
      <c r="E445" s="24" t="str">
        <f t="shared" ca="1" si="73"/>
        <v>Customer001</v>
      </c>
      <c r="F445" s="24" t="str" cm="1">
        <f t="array" aca="1" ref="F445" ca="1">INDEX({"Male","Female"}, RANDBETWEEN(1,2))</f>
        <v>Female</v>
      </c>
      <c r="G445" s="29" t="str">
        <f t="shared" ca="1" si="75"/>
        <v>South</v>
      </c>
      <c r="H445" s="48">
        <f t="shared" ca="1" si="68"/>
        <v>45260</v>
      </c>
      <c r="I445" s="24">
        <f t="shared" ca="1" si="69"/>
        <v>30</v>
      </c>
      <c r="J445" s="46" t="str">
        <f t="shared" ca="1" si="74"/>
        <v>November</v>
      </c>
      <c r="K445" s="24">
        <f t="shared" ca="1" si="70"/>
        <v>2023</v>
      </c>
      <c r="L445" s="24" t="str">
        <f t="shared" ca="1" si="71"/>
        <v>Platinum</v>
      </c>
      <c r="M445" s="24">
        <v>445</v>
      </c>
      <c r="N445" s="24" t="s">
        <v>954</v>
      </c>
      <c r="O445" s="24" t="s">
        <v>1303</v>
      </c>
      <c r="P445" s="26">
        <v>130</v>
      </c>
      <c r="Q445" s="26">
        <v>167.70000000000002</v>
      </c>
      <c r="R445" s="24">
        <v>445</v>
      </c>
      <c r="S445" s="24" t="str">
        <f t="shared" si="72"/>
        <v>Nov</v>
      </c>
      <c r="T445" s="46">
        <v>45618</v>
      </c>
      <c r="U445" s="24">
        <v>1</v>
      </c>
      <c r="V445" s="37">
        <v>148</v>
      </c>
      <c r="W445" s="24">
        <v>51</v>
      </c>
      <c r="X445" s="24">
        <v>4</v>
      </c>
      <c r="Y445" s="26">
        <f>combined_tbl!$Q445*(1-combined_tbl!$Z445)</f>
        <v>159.315</v>
      </c>
      <c r="Z445" s="27">
        <f>IF(combined_tbl!$Q445&gt;=500,0.2, IF(combined_tbl!$Q445&gt;=200,0.05, IF(combined_tbl!$X445&gt;=2,0.05,0)))</f>
        <v>0.05</v>
      </c>
      <c r="AA445" s="26">
        <f>combined_tbl!$Y445*combined_tbl!$X445</f>
        <v>637.26</v>
      </c>
      <c r="AB445" s="28">
        <f>(combined_tbl!$Q445*(1+combined_tbl!$Z445)-combined_tbl!$P445)*combined_tbl!$X445</f>
        <v>184.34000000000015</v>
      </c>
    </row>
    <row r="446" spans="1:28" x14ac:dyDescent="0.3">
      <c r="A446" s="29">
        <v>445</v>
      </c>
      <c r="B446" s="25" cm="1">
        <f t="array" aca="1" ref="B446" ca="1">MIN(IF($E:$E=E446,$H:$H))</f>
        <v>45622</v>
      </c>
      <c r="C446" s="25">
        <f t="shared" ca="1" si="67"/>
        <v>12</v>
      </c>
      <c r="D446" s="43">
        <f ca="1">COUNTIF(E:E,combined_tbl!$E446)</f>
        <v>8</v>
      </c>
      <c r="E446" s="29" t="str">
        <f t="shared" ca="1" si="73"/>
        <v>Customer023</v>
      </c>
      <c r="F446" s="29" t="str" cm="1">
        <f t="array" aca="1" ref="F446" ca="1">INDEX({"Male","Female"}, RANDBETWEEN(1,2))</f>
        <v>Female</v>
      </c>
      <c r="G446" s="29" t="str">
        <f t="shared" ca="1" si="75"/>
        <v>North</v>
      </c>
      <c r="H446" s="48">
        <f t="shared" ca="1" si="68"/>
        <v>45622</v>
      </c>
      <c r="I446" s="24">
        <f t="shared" ca="1" si="69"/>
        <v>26</v>
      </c>
      <c r="J446" s="46" t="str">
        <f t="shared" ca="1" si="74"/>
        <v>November</v>
      </c>
      <c r="K446" s="24">
        <f t="shared" ca="1" si="70"/>
        <v>2024</v>
      </c>
      <c r="L446" s="24" t="str">
        <f t="shared" ca="1" si="71"/>
        <v>Silver</v>
      </c>
      <c r="M446" s="29">
        <v>446</v>
      </c>
      <c r="N446" s="29" t="s">
        <v>955</v>
      </c>
      <c r="O446" s="29" t="s">
        <v>1304</v>
      </c>
      <c r="P446" s="30">
        <v>152</v>
      </c>
      <c r="Q446" s="30">
        <v>202.16000000000003</v>
      </c>
      <c r="R446" s="29">
        <v>446</v>
      </c>
      <c r="S446" s="24" t="str">
        <f t="shared" si="72"/>
        <v>Feb</v>
      </c>
      <c r="T446" s="47">
        <v>44985</v>
      </c>
      <c r="U446" s="29">
        <v>2</v>
      </c>
      <c r="V446" s="38">
        <v>51</v>
      </c>
      <c r="W446" s="29">
        <v>89</v>
      </c>
      <c r="X446" s="29">
        <v>1</v>
      </c>
      <c r="Y446" s="30">
        <f>combined_tbl!$Q446*(1-combined_tbl!$Z446)</f>
        <v>192.05200000000002</v>
      </c>
      <c r="Z446" s="31">
        <f>IF(combined_tbl!$Q446&gt;=500,0.2, IF(combined_tbl!$Q446&gt;=200,0.05, IF(combined_tbl!$X446&gt;=2,0.05,0)))</f>
        <v>0.05</v>
      </c>
      <c r="AA446" s="30">
        <f>combined_tbl!$Y446*combined_tbl!$X446</f>
        <v>192.05200000000002</v>
      </c>
      <c r="AB446" s="32">
        <f>(combined_tbl!$Q446*(1+combined_tbl!$Z446)-combined_tbl!$P446)*combined_tbl!$X446</f>
        <v>60.268000000000029</v>
      </c>
    </row>
    <row r="447" spans="1:28" x14ac:dyDescent="0.3">
      <c r="A447" s="29">
        <v>446</v>
      </c>
      <c r="B447" s="25" cm="1">
        <f t="array" aca="1" ref="B447" ca="1">MIN(IF($E:$E=E447,$H:$H))</f>
        <v>45537</v>
      </c>
      <c r="C447" s="25">
        <f t="shared" ca="1" si="67"/>
        <v>15</v>
      </c>
      <c r="D447" s="42">
        <f ca="1">COUNTIF(E:E,combined_tbl!$E447)</f>
        <v>5</v>
      </c>
      <c r="E447" s="24" t="str">
        <f t="shared" ca="1" si="73"/>
        <v>Customer073</v>
      </c>
      <c r="F447" s="24" t="str" cm="1">
        <f t="array" aca="1" ref="F447" ca="1">INDEX({"Male","Female"}, RANDBETWEEN(1,2))</f>
        <v>Female</v>
      </c>
      <c r="G447" s="29" t="str">
        <f t="shared" ca="1" si="75"/>
        <v>East</v>
      </c>
      <c r="H447" s="48">
        <f t="shared" ca="1" si="68"/>
        <v>45537</v>
      </c>
      <c r="I447" s="24">
        <f t="shared" ca="1" si="69"/>
        <v>2</v>
      </c>
      <c r="J447" s="46" t="str">
        <f t="shared" ca="1" si="74"/>
        <v>September</v>
      </c>
      <c r="K447" s="24">
        <f t="shared" ca="1" si="70"/>
        <v>2024</v>
      </c>
      <c r="L447" s="24" t="str">
        <f t="shared" ca="1" si="71"/>
        <v>Silver</v>
      </c>
      <c r="M447" s="24">
        <v>447</v>
      </c>
      <c r="N447" s="24" t="s">
        <v>847</v>
      </c>
      <c r="O447" s="24" t="s">
        <v>1305</v>
      </c>
      <c r="P447" s="26">
        <v>56</v>
      </c>
      <c r="Q447" s="26">
        <v>82.88</v>
      </c>
      <c r="R447" s="24">
        <v>447</v>
      </c>
      <c r="S447" s="24" t="str">
        <f t="shared" si="72"/>
        <v>Apr</v>
      </c>
      <c r="T447" s="46">
        <v>45020</v>
      </c>
      <c r="U447" s="24">
        <v>5</v>
      </c>
      <c r="V447" s="37">
        <v>203</v>
      </c>
      <c r="W447" s="24">
        <v>71</v>
      </c>
      <c r="X447" s="24">
        <v>1</v>
      </c>
      <c r="Y447" s="26">
        <f>combined_tbl!$Q447*(1-combined_tbl!$Z447)</f>
        <v>82.88</v>
      </c>
      <c r="Z447" s="27">
        <f>IF(combined_tbl!$Q447&gt;=500,0.2, IF(combined_tbl!$Q447&gt;=200,0.05, IF(combined_tbl!$X447&gt;=2,0.05,0)))</f>
        <v>0</v>
      </c>
      <c r="AA447" s="26">
        <f>combined_tbl!$Y447*combined_tbl!$X447</f>
        <v>82.88</v>
      </c>
      <c r="AB447" s="28">
        <f>(combined_tbl!$Q447*(1+combined_tbl!$Z447)-combined_tbl!$P447)*combined_tbl!$X447</f>
        <v>26.879999999999995</v>
      </c>
    </row>
    <row r="448" spans="1:28" x14ac:dyDescent="0.3">
      <c r="A448" s="29">
        <v>447</v>
      </c>
      <c r="B448" s="25" cm="1">
        <f t="array" aca="1" ref="B448" ca="1">MIN(IF($E:$E=E448,$H:$H))</f>
        <v>45299</v>
      </c>
      <c r="C448" s="25">
        <f t="shared" ca="1" si="67"/>
        <v>22</v>
      </c>
      <c r="D448" s="43">
        <f ca="1">COUNTIF(E:E,combined_tbl!$E448)</f>
        <v>1</v>
      </c>
      <c r="E448" s="29" t="str">
        <f t="shared" ca="1" si="73"/>
        <v>Customer134</v>
      </c>
      <c r="F448" s="29" t="str" cm="1">
        <f t="array" aca="1" ref="F448" ca="1">INDEX({"Male","Female"}, RANDBETWEEN(1,2))</f>
        <v>Male</v>
      </c>
      <c r="G448" s="29" t="str">
        <f t="shared" ca="1" si="75"/>
        <v>East</v>
      </c>
      <c r="H448" s="48">
        <f t="shared" ca="1" si="68"/>
        <v>45299</v>
      </c>
      <c r="I448" s="24">
        <f t="shared" ca="1" si="69"/>
        <v>8</v>
      </c>
      <c r="J448" s="46" t="str">
        <f t="shared" ca="1" si="74"/>
        <v>January</v>
      </c>
      <c r="K448" s="24">
        <f t="shared" ca="1" si="70"/>
        <v>2024</v>
      </c>
      <c r="L448" s="24" t="str">
        <f t="shared" ca="1" si="71"/>
        <v>Bronze</v>
      </c>
      <c r="M448" s="29">
        <v>448</v>
      </c>
      <c r="N448" s="29" t="s">
        <v>847</v>
      </c>
      <c r="O448" s="29" t="s">
        <v>1306</v>
      </c>
      <c r="P448" s="30">
        <v>137</v>
      </c>
      <c r="Q448" s="30">
        <v>197.28</v>
      </c>
      <c r="R448" s="29">
        <v>448</v>
      </c>
      <c r="S448" s="24" t="str">
        <f t="shared" si="72"/>
        <v>Mar</v>
      </c>
      <c r="T448" s="47">
        <v>45358</v>
      </c>
      <c r="U448" s="29">
        <v>7</v>
      </c>
      <c r="V448" s="38">
        <v>144</v>
      </c>
      <c r="W448" s="29">
        <v>97</v>
      </c>
      <c r="X448" s="29">
        <v>1</v>
      </c>
      <c r="Y448" s="30">
        <f>combined_tbl!$Q448*(1-combined_tbl!$Z448)</f>
        <v>197.28</v>
      </c>
      <c r="Z448" s="31">
        <f>IF(combined_tbl!$Q448&gt;=500,0.2, IF(combined_tbl!$Q448&gt;=200,0.05, IF(combined_tbl!$X448&gt;=2,0.05,0)))</f>
        <v>0</v>
      </c>
      <c r="AA448" s="30">
        <f>combined_tbl!$Y448*combined_tbl!$X448</f>
        <v>197.28</v>
      </c>
      <c r="AB448" s="32">
        <f>(combined_tbl!$Q448*(1+combined_tbl!$Z448)-combined_tbl!$P448)*combined_tbl!$X448</f>
        <v>60.28</v>
      </c>
    </row>
    <row r="449" spans="1:28" x14ac:dyDescent="0.3">
      <c r="A449" s="29">
        <v>448</v>
      </c>
      <c r="B449" s="25" cm="1">
        <f t="array" aca="1" ref="B449" ca="1">MIN(IF($E:$E=E449,$H:$H))</f>
        <v>45948</v>
      </c>
      <c r="C449" s="25">
        <f t="shared" ca="1" si="67"/>
        <v>1</v>
      </c>
      <c r="D449" s="42">
        <f ca="1">COUNTIF(E:E,combined_tbl!$E449)</f>
        <v>2</v>
      </c>
      <c r="E449" s="24" t="str">
        <f t="shared" ca="1" si="73"/>
        <v>Customer092</v>
      </c>
      <c r="F449" s="24" t="str" cm="1">
        <f t="array" aca="1" ref="F449" ca="1">INDEX({"Male","Female"}, RANDBETWEEN(1,2))</f>
        <v>Male</v>
      </c>
      <c r="G449" s="29" t="str">
        <f t="shared" ca="1" si="75"/>
        <v>East</v>
      </c>
      <c r="H449" s="48">
        <f t="shared" ca="1" si="68"/>
        <v>45948</v>
      </c>
      <c r="I449" s="24">
        <f t="shared" ca="1" si="69"/>
        <v>18</v>
      </c>
      <c r="J449" s="46" t="str">
        <f t="shared" ca="1" si="74"/>
        <v>October</v>
      </c>
      <c r="K449" s="24">
        <f t="shared" ca="1" si="70"/>
        <v>2025</v>
      </c>
      <c r="L449" s="24" t="str">
        <f t="shared" ca="1" si="71"/>
        <v>Bronze</v>
      </c>
      <c r="M449" s="24">
        <v>449</v>
      </c>
      <c r="N449" s="24" t="s">
        <v>837</v>
      </c>
      <c r="O449" s="24" t="s">
        <v>1307</v>
      </c>
      <c r="P449" s="26">
        <v>113</v>
      </c>
      <c r="Q449" s="26">
        <v>137.85999999999999</v>
      </c>
      <c r="R449" s="24">
        <v>449</v>
      </c>
      <c r="S449" s="24" t="str">
        <f t="shared" si="72"/>
        <v>Mar</v>
      </c>
      <c r="T449" s="46">
        <v>44989</v>
      </c>
      <c r="U449" s="24">
        <v>8</v>
      </c>
      <c r="V449" s="37">
        <v>135</v>
      </c>
      <c r="W449" s="24">
        <v>75</v>
      </c>
      <c r="X449" s="24">
        <v>1</v>
      </c>
      <c r="Y449" s="26">
        <f>combined_tbl!$Q449*(1-combined_tbl!$Z449)</f>
        <v>137.85999999999999</v>
      </c>
      <c r="Z449" s="27">
        <f>IF(combined_tbl!$Q449&gt;=500,0.2, IF(combined_tbl!$Q449&gt;=200,0.05, IF(combined_tbl!$X449&gt;=2,0.05,0)))</f>
        <v>0</v>
      </c>
      <c r="AA449" s="26">
        <f>combined_tbl!$Y449*combined_tbl!$X449</f>
        <v>137.85999999999999</v>
      </c>
      <c r="AB449" s="28">
        <f>(combined_tbl!$Q449*(1+combined_tbl!$Z449)-combined_tbl!$P449)*combined_tbl!$X449</f>
        <v>24.859999999999985</v>
      </c>
    </row>
    <row r="450" spans="1:28" x14ac:dyDescent="0.3">
      <c r="A450" s="19">
        <v>449</v>
      </c>
      <c r="B450" s="25" cm="1">
        <f t="array" aca="1" ref="B450" ca="1">MIN(IF($E:$E=E450,$H:$H))</f>
        <v>45495</v>
      </c>
      <c r="C450" s="25">
        <f t="shared" ref="C450:C513" ca="1" si="76">DATEDIF(B450,MAX($H:$H),"m")</f>
        <v>16</v>
      </c>
      <c r="D450" s="43">
        <f ca="1">COUNTIF(E:E,combined_tbl!$E450)</f>
        <v>8</v>
      </c>
      <c r="E450" s="29" t="str">
        <f t="shared" ca="1" si="73"/>
        <v>Customer003</v>
      </c>
      <c r="F450" s="29" t="str" cm="1">
        <f t="array" aca="1" ref="F450" ca="1">INDEX({"Male","Female"}, RANDBETWEEN(1,2))</f>
        <v>Female</v>
      </c>
      <c r="G450" s="29" t="str">
        <f t="shared" ca="1" si="75"/>
        <v>East</v>
      </c>
      <c r="H450" s="48">
        <f t="shared" ref="H450:H500" ca="1" si="77">_xlfn.XLOOKUP(E450,AI$1:AI$139,AJ$1:AJ$139)</f>
        <v>45495</v>
      </c>
      <c r="I450" s="24">
        <f t="shared" ref="I450:I500" ca="1" si="78">DAY(H450)</f>
        <v>22</v>
      </c>
      <c r="J450" s="46" t="str">
        <f t="shared" ca="1" si="74"/>
        <v>July</v>
      </c>
      <c r="K450" s="24">
        <f t="shared" ref="K450:K500" ca="1" si="79">YEAR(H450)</f>
        <v>2024</v>
      </c>
      <c r="L450" s="24" t="str">
        <f t="shared" ref="L450:L500" ca="1" si="80">IF(AND(D450&gt;=10,C450&gt;=24),"Platinum",IF(AND(D450&gt;=7,C450&gt;=18),"Gold",IF(AND(D450&gt;=3,C450&gt;=12),"Silver","Bronze")))</f>
        <v>Silver</v>
      </c>
      <c r="M450" s="29">
        <v>450</v>
      </c>
      <c r="N450" s="29" t="s">
        <v>837</v>
      </c>
      <c r="O450" s="29" t="s">
        <v>1308</v>
      </c>
      <c r="P450" s="30">
        <v>130</v>
      </c>
      <c r="Q450" s="30">
        <v>176.79999999999998</v>
      </c>
      <c r="R450" s="29">
        <v>450</v>
      </c>
      <c r="S450" s="24" t="str">
        <f t="shared" ref="S450:S500" si="81">TEXT(T450,"MMM")</f>
        <v>Aug</v>
      </c>
      <c r="T450" s="47">
        <v>45520</v>
      </c>
      <c r="U450" s="29">
        <v>5</v>
      </c>
      <c r="V450" s="38">
        <v>129</v>
      </c>
      <c r="W450" s="29">
        <v>9</v>
      </c>
      <c r="X450" s="29">
        <v>1</v>
      </c>
      <c r="Y450" s="30">
        <f>combined_tbl!$Q450*(1-combined_tbl!$Z450)</f>
        <v>176.79999999999998</v>
      </c>
      <c r="Z450" s="31">
        <f>IF(combined_tbl!$Q450&gt;=500,0.2, IF(combined_tbl!$Q450&gt;=200,0.05, IF(combined_tbl!$X450&gt;=2,0.05,0)))</f>
        <v>0</v>
      </c>
      <c r="AA450" s="30">
        <f>combined_tbl!$Y450*combined_tbl!$X450</f>
        <v>176.79999999999998</v>
      </c>
      <c r="AB450" s="32">
        <f>(combined_tbl!$Q450*(1+combined_tbl!$Z450)-combined_tbl!$P450)*combined_tbl!$X450</f>
        <v>46.799999999999983</v>
      </c>
    </row>
    <row r="451" spans="1:28" x14ac:dyDescent="0.3">
      <c r="A451" s="24">
        <v>450</v>
      </c>
      <c r="B451" s="25" cm="1">
        <f t="array" aca="1" ref="B451" ca="1">MIN(IF($E:$E=E451,$H:$H))</f>
        <v>45896</v>
      </c>
      <c r="C451" s="25">
        <f t="shared" ca="1" si="76"/>
        <v>3</v>
      </c>
      <c r="D451" s="42">
        <f ca="1">COUNTIF(E:E,combined_tbl!$E451)</f>
        <v>10</v>
      </c>
      <c r="E451" s="24" t="str">
        <f t="shared" ref="E451:E500" ca="1" si="82">IF(RAND()&lt;=0.5,
   "Customer"&amp;TEXT(RANDBETWEEN(1,30),"000"),
IF(RAND()&lt;=0.8,
   "Customer"&amp;TEXT(RANDBETWEEN(31,80),"000"),
   "Customer"&amp;TEXT(RANDBETWEEN(81,139),"000")))</f>
        <v>Customer004</v>
      </c>
      <c r="F451" s="24" t="str" cm="1">
        <f t="array" aca="1" ref="F451" ca="1">INDEX({"Male","Female"}, RANDBETWEEN(1,2))</f>
        <v>Female</v>
      </c>
      <c r="G451" s="29" t="str">
        <f t="shared" ca="1" si="75"/>
        <v>West</v>
      </c>
      <c r="H451" s="48">
        <f t="shared" ca="1" si="77"/>
        <v>45896</v>
      </c>
      <c r="I451" s="24">
        <f t="shared" ca="1" si="78"/>
        <v>27</v>
      </c>
      <c r="J451" s="46" t="str">
        <f t="shared" ref="J451:J500" ca="1" si="83">TEXT(H451,"mmmm")</f>
        <v>August</v>
      </c>
      <c r="K451" s="24">
        <f t="shared" ca="1" si="79"/>
        <v>2025</v>
      </c>
      <c r="L451" s="24" t="str">
        <f t="shared" ca="1" si="80"/>
        <v>Bronze</v>
      </c>
      <c r="M451" s="24">
        <v>451</v>
      </c>
      <c r="N451" s="24" t="s">
        <v>847</v>
      </c>
      <c r="O451" s="24" t="s">
        <v>1309</v>
      </c>
      <c r="P451" s="26">
        <v>110</v>
      </c>
      <c r="Q451" s="26">
        <v>129.79999999999998</v>
      </c>
      <c r="R451" s="24">
        <v>451</v>
      </c>
      <c r="S451" s="24" t="str">
        <f t="shared" si="81"/>
        <v>Sep</v>
      </c>
      <c r="T451" s="46">
        <v>45916</v>
      </c>
      <c r="U451" s="24">
        <v>4</v>
      </c>
      <c r="V451" s="37">
        <v>199</v>
      </c>
      <c r="W451" s="24">
        <v>3</v>
      </c>
      <c r="X451" s="24">
        <v>1</v>
      </c>
      <c r="Y451" s="26">
        <f>combined_tbl!$Q451*(1-combined_tbl!$Z451)</f>
        <v>129.79999999999998</v>
      </c>
      <c r="Z451" s="27">
        <f>IF(combined_tbl!$Q451&gt;=500,0.2, IF(combined_tbl!$Q451&gt;=200,0.05, IF(combined_tbl!$X451&gt;=2,0.05,0)))</f>
        <v>0</v>
      </c>
      <c r="AA451" s="26">
        <f>combined_tbl!$Y451*combined_tbl!$X451</f>
        <v>129.79999999999998</v>
      </c>
      <c r="AB451" s="28">
        <f>(combined_tbl!$Q451*(1+combined_tbl!$Z451)-combined_tbl!$P451)*combined_tbl!$X451</f>
        <v>19.799999999999983</v>
      </c>
    </row>
    <row r="452" spans="1:28" x14ac:dyDescent="0.3">
      <c r="A452" s="29">
        <v>451</v>
      </c>
      <c r="B452" s="25" cm="1">
        <f t="array" aca="1" ref="B452" ca="1">MIN(IF($E:$E=E452,$H:$H))</f>
        <v>45103</v>
      </c>
      <c r="C452" s="25">
        <f t="shared" ca="1" si="76"/>
        <v>29</v>
      </c>
      <c r="D452" s="43">
        <f ca="1">COUNTIF(E:E,combined_tbl!$E452)</f>
        <v>8</v>
      </c>
      <c r="E452" s="29" t="str">
        <f t="shared" ca="1" si="82"/>
        <v>Customer014</v>
      </c>
      <c r="F452" s="29" t="str" cm="1">
        <f t="array" aca="1" ref="F452" ca="1">INDEX({"Male","Female"}, RANDBETWEEN(1,2))</f>
        <v>Female</v>
      </c>
      <c r="G452" s="29" t="str">
        <f t="shared" ca="1" si="75"/>
        <v>West</v>
      </c>
      <c r="H452" s="48">
        <f t="shared" ca="1" si="77"/>
        <v>45103</v>
      </c>
      <c r="I452" s="24">
        <f t="shared" ca="1" si="78"/>
        <v>26</v>
      </c>
      <c r="J452" s="46" t="str">
        <f t="shared" ca="1" si="83"/>
        <v>June</v>
      </c>
      <c r="K452" s="24">
        <f t="shared" ca="1" si="79"/>
        <v>2023</v>
      </c>
      <c r="L452" s="24" t="str">
        <f t="shared" ca="1" si="80"/>
        <v>Gold</v>
      </c>
      <c r="M452" s="29">
        <v>452</v>
      </c>
      <c r="N452" s="29" t="s">
        <v>1359</v>
      </c>
      <c r="O452" s="29" t="s">
        <v>1310</v>
      </c>
      <c r="P452" s="30">
        <v>687</v>
      </c>
      <c r="Q452" s="30">
        <v>879.36</v>
      </c>
      <c r="R452" s="29">
        <v>452</v>
      </c>
      <c r="S452" s="24" t="str">
        <f t="shared" si="81"/>
        <v>Apr</v>
      </c>
      <c r="T452" s="47">
        <v>45758</v>
      </c>
      <c r="U452" s="29">
        <v>5</v>
      </c>
      <c r="V452" s="38">
        <v>180</v>
      </c>
      <c r="W452" s="29">
        <v>62</v>
      </c>
      <c r="X452" s="29">
        <v>1</v>
      </c>
      <c r="Y452" s="30">
        <f>combined_tbl!$Q452*(1-combined_tbl!$Z452)</f>
        <v>703.48800000000006</v>
      </c>
      <c r="Z452" s="31">
        <f>IF(combined_tbl!$Q452&gt;=500,0.2, IF(combined_tbl!$Q452&gt;=200,0.05, IF(combined_tbl!$X452&gt;=2,0.05,0)))</f>
        <v>0.2</v>
      </c>
      <c r="AA452" s="30">
        <f>combined_tbl!$Y452*combined_tbl!$X452</f>
        <v>703.48800000000006</v>
      </c>
      <c r="AB452" s="32">
        <f>(combined_tbl!$Q452*(1+combined_tbl!$Z452)-combined_tbl!$P452)*combined_tbl!$X452</f>
        <v>368.23199999999997</v>
      </c>
    </row>
    <row r="453" spans="1:28" x14ac:dyDescent="0.3">
      <c r="A453" s="29">
        <v>452</v>
      </c>
      <c r="B453" s="25" cm="1">
        <f t="array" aca="1" ref="B453" ca="1">MIN(IF($E:$E=E453,$H:$H))</f>
        <v>45205</v>
      </c>
      <c r="C453" s="25">
        <f t="shared" ca="1" si="76"/>
        <v>25</v>
      </c>
      <c r="D453" s="42">
        <f ca="1">COUNTIF(E:E,combined_tbl!$E453)</f>
        <v>5</v>
      </c>
      <c r="E453" s="24" t="str">
        <f t="shared" ca="1" si="82"/>
        <v>Customer051</v>
      </c>
      <c r="F453" s="24" t="str" cm="1">
        <f t="array" aca="1" ref="F453" ca="1">INDEX({"Male","Female"}, RANDBETWEEN(1,2))</f>
        <v>Female</v>
      </c>
      <c r="G453" s="29" t="str">
        <f t="shared" ca="1" si="75"/>
        <v>East</v>
      </c>
      <c r="H453" s="48">
        <f t="shared" ca="1" si="77"/>
        <v>45205</v>
      </c>
      <c r="I453" s="24">
        <f t="shared" ca="1" si="78"/>
        <v>6</v>
      </c>
      <c r="J453" s="46" t="str">
        <f t="shared" ca="1" si="83"/>
        <v>October</v>
      </c>
      <c r="K453" s="24">
        <f t="shared" ca="1" si="79"/>
        <v>2023</v>
      </c>
      <c r="L453" s="24" t="str">
        <f t="shared" ca="1" si="80"/>
        <v>Silver</v>
      </c>
      <c r="M453" s="24">
        <v>453</v>
      </c>
      <c r="N453" s="24" t="s">
        <v>847</v>
      </c>
      <c r="O453" s="24" t="s">
        <v>1311</v>
      </c>
      <c r="P453" s="26">
        <v>146</v>
      </c>
      <c r="Q453" s="26">
        <v>207.32</v>
      </c>
      <c r="R453" s="24">
        <v>453</v>
      </c>
      <c r="S453" s="24" t="str">
        <f t="shared" si="81"/>
        <v>Jul</v>
      </c>
      <c r="T453" s="46">
        <v>45855</v>
      </c>
      <c r="U453" s="24">
        <v>2</v>
      </c>
      <c r="V453" s="37">
        <v>81</v>
      </c>
      <c r="W453" s="24">
        <v>90</v>
      </c>
      <c r="X453" s="24">
        <v>5</v>
      </c>
      <c r="Y453" s="26">
        <f>combined_tbl!$Q453*(1-combined_tbl!$Z453)</f>
        <v>196.95399999999998</v>
      </c>
      <c r="Z453" s="27">
        <f>IF(combined_tbl!$Q453&gt;=500,0.2, IF(combined_tbl!$Q453&gt;=200,0.05, IF(combined_tbl!$X453&gt;=2,0.05,0)))</f>
        <v>0.05</v>
      </c>
      <c r="AA453" s="26">
        <f>combined_tbl!$Y453*combined_tbl!$X453</f>
        <v>984.76999999999987</v>
      </c>
      <c r="AB453" s="28">
        <f>(combined_tbl!$Q453*(1+combined_tbl!$Z453)-combined_tbl!$P453)*combined_tbl!$X453</f>
        <v>358.43000000000006</v>
      </c>
    </row>
    <row r="454" spans="1:28" x14ac:dyDescent="0.3">
      <c r="A454" s="29">
        <v>453</v>
      </c>
      <c r="B454" s="25" cm="1">
        <f t="array" aca="1" ref="B454" ca="1">MIN(IF($E:$E=E454,$H:$H))</f>
        <v>45260</v>
      </c>
      <c r="C454" s="25">
        <f t="shared" ca="1" si="76"/>
        <v>24</v>
      </c>
      <c r="D454" s="43">
        <f ca="1">COUNTIF(E:E,combined_tbl!$E454)</f>
        <v>13</v>
      </c>
      <c r="E454" s="29" t="str">
        <f t="shared" ca="1" si="82"/>
        <v>Customer001</v>
      </c>
      <c r="F454" s="29" t="str" cm="1">
        <f t="array" aca="1" ref="F454" ca="1">INDEX({"Male","Female"}, RANDBETWEEN(1,2))</f>
        <v>Male</v>
      </c>
      <c r="G454" s="29" t="str">
        <f t="shared" ca="1" si="75"/>
        <v>South</v>
      </c>
      <c r="H454" s="48">
        <f t="shared" ca="1" si="77"/>
        <v>45260</v>
      </c>
      <c r="I454" s="24">
        <f t="shared" ca="1" si="78"/>
        <v>30</v>
      </c>
      <c r="J454" s="46" t="str">
        <f t="shared" ca="1" si="83"/>
        <v>November</v>
      </c>
      <c r="K454" s="24">
        <f t="shared" ca="1" si="79"/>
        <v>2023</v>
      </c>
      <c r="L454" s="24" t="str">
        <f t="shared" ca="1" si="80"/>
        <v>Platinum</v>
      </c>
      <c r="M454" s="29">
        <v>454</v>
      </c>
      <c r="N454" s="29" t="s">
        <v>954</v>
      </c>
      <c r="O454" s="29" t="s">
        <v>1312</v>
      </c>
      <c r="P454" s="30">
        <v>490</v>
      </c>
      <c r="Q454" s="30">
        <v>612.5</v>
      </c>
      <c r="R454" s="29">
        <v>454</v>
      </c>
      <c r="S454" s="24" t="str">
        <f t="shared" si="81"/>
        <v>May</v>
      </c>
      <c r="T454" s="47">
        <v>45049</v>
      </c>
      <c r="U454" s="29">
        <v>3</v>
      </c>
      <c r="V454" s="38">
        <v>139</v>
      </c>
      <c r="W454" s="29">
        <v>11</v>
      </c>
      <c r="X454" s="29">
        <v>1</v>
      </c>
      <c r="Y454" s="30">
        <f>combined_tbl!$Q454*(1-combined_tbl!$Z454)</f>
        <v>490</v>
      </c>
      <c r="Z454" s="31">
        <f>IF(combined_tbl!$Q454&gt;=500,0.2, IF(combined_tbl!$Q454&gt;=200,0.05, IF(combined_tbl!$X454&gt;=2,0.05,0)))</f>
        <v>0.2</v>
      </c>
      <c r="AA454" s="30">
        <f>combined_tbl!$Y454*combined_tbl!$X454</f>
        <v>490</v>
      </c>
      <c r="AB454" s="32">
        <f>(combined_tbl!$Q454*(1+combined_tbl!$Z454)-combined_tbl!$P454)*combined_tbl!$X454</f>
        <v>245</v>
      </c>
    </row>
    <row r="455" spans="1:28" x14ac:dyDescent="0.3">
      <c r="A455" s="29">
        <v>454</v>
      </c>
      <c r="B455" s="25" cm="1">
        <f t="array" aca="1" ref="B455" ca="1">MIN(IF($E:$E=E455,$H:$H))</f>
        <v>45209</v>
      </c>
      <c r="C455" s="25">
        <f t="shared" ca="1" si="76"/>
        <v>25</v>
      </c>
      <c r="D455" s="42">
        <f ca="1">COUNTIF(E:E,combined_tbl!$E455)</f>
        <v>2</v>
      </c>
      <c r="E455" s="24" t="str">
        <f t="shared" ca="1" si="82"/>
        <v>Customer093</v>
      </c>
      <c r="F455" s="24" t="str" cm="1">
        <f t="array" aca="1" ref="F455" ca="1">INDEX({"Male","Female"}, RANDBETWEEN(1,2))</f>
        <v>Male</v>
      </c>
      <c r="G455" s="29" t="str">
        <f t="shared" ca="1" si="75"/>
        <v>North</v>
      </c>
      <c r="H455" s="48">
        <f t="shared" ca="1" si="77"/>
        <v>45209</v>
      </c>
      <c r="I455" s="24">
        <f t="shared" ca="1" si="78"/>
        <v>10</v>
      </c>
      <c r="J455" s="46" t="str">
        <f t="shared" ca="1" si="83"/>
        <v>October</v>
      </c>
      <c r="K455" s="24">
        <f t="shared" ca="1" si="79"/>
        <v>2023</v>
      </c>
      <c r="L455" s="24" t="str">
        <f t="shared" ca="1" si="80"/>
        <v>Bronze</v>
      </c>
      <c r="M455" s="24">
        <v>455</v>
      </c>
      <c r="N455" s="24" t="s">
        <v>1359</v>
      </c>
      <c r="O455" s="24" t="s">
        <v>1313</v>
      </c>
      <c r="P455" s="26">
        <v>631</v>
      </c>
      <c r="Q455" s="26">
        <v>757.19999999999993</v>
      </c>
      <c r="R455" s="24">
        <v>455</v>
      </c>
      <c r="S455" s="24" t="str">
        <f t="shared" si="81"/>
        <v>Jun</v>
      </c>
      <c r="T455" s="46">
        <v>45827</v>
      </c>
      <c r="U455" s="24">
        <v>7</v>
      </c>
      <c r="V455" s="37">
        <v>195</v>
      </c>
      <c r="W455" s="24">
        <v>40</v>
      </c>
      <c r="X455" s="24">
        <v>1</v>
      </c>
      <c r="Y455" s="26">
        <f>combined_tbl!$Q455*(1-combined_tbl!$Z455)</f>
        <v>605.76</v>
      </c>
      <c r="Z455" s="27">
        <f>IF(combined_tbl!$Q455&gt;=500,0.2, IF(combined_tbl!$Q455&gt;=200,0.05, IF(combined_tbl!$X455&gt;=2,0.05,0)))</f>
        <v>0.2</v>
      </c>
      <c r="AA455" s="26">
        <f>combined_tbl!$Y455*combined_tbl!$X455</f>
        <v>605.76</v>
      </c>
      <c r="AB455" s="28">
        <f>(combined_tbl!$Q455*(1+combined_tbl!$Z455)-combined_tbl!$P455)*combined_tbl!$X455</f>
        <v>277.63999999999987</v>
      </c>
    </row>
    <row r="456" spans="1:28" x14ac:dyDescent="0.3">
      <c r="A456" s="29">
        <v>455</v>
      </c>
      <c r="B456" s="25" cm="1">
        <f t="array" aca="1" ref="B456" ca="1">MIN(IF($E:$E=E456,$H:$H))</f>
        <v>45809</v>
      </c>
      <c r="C456" s="25">
        <f t="shared" ca="1" si="76"/>
        <v>6</v>
      </c>
      <c r="D456" s="43">
        <f ca="1">COUNTIF(E:E,combined_tbl!$E456)</f>
        <v>10</v>
      </c>
      <c r="E456" s="29" t="str">
        <f t="shared" ca="1" si="82"/>
        <v>Customer019</v>
      </c>
      <c r="F456" s="29" t="str" cm="1">
        <f t="array" aca="1" ref="F456" ca="1">INDEX({"Male","Female"}, RANDBETWEEN(1,2))</f>
        <v>Male</v>
      </c>
      <c r="G456" s="29" t="str">
        <f t="shared" ca="1" si="75"/>
        <v>North</v>
      </c>
      <c r="H456" s="48">
        <f t="shared" ca="1" si="77"/>
        <v>45809</v>
      </c>
      <c r="I456" s="24">
        <f t="shared" ca="1" si="78"/>
        <v>1</v>
      </c>
      <c r="J456" s="46" t="str">
        <f t="shared" ca="1" si="83"/>
        <v>June</v>
      </c>
      <c r="K456" s="24">
        <f t="shared" ca="1" si="79"/>
        <v>2025</v>
      </c>
      <c r="L456" s="24" t="str">
        <f t="shared" ca="1" si="80"/>
        <v>Bronze</v>
      </c>
      <c r="M456" s="29">
        <v>456</v>
      </c>
      <c r="N456" s="29" t="s">
        <v>1359</v>
      </c>
      <c r="O456" s="29" t="s">
        <v>1314</v>
      </c>
      <c r="P456" s="30">
        <v>76</v>
      </c>
      <c r="Q456" s="30">
        <v>103.35999999999999</v>
      </c>
      <c r="R456" s="29">
        <v>456</v>
      </c>
      <c r="S456" s="24" t="str">
        <f t="shared" si="81"/>
        <v>Sep</v>
      </c>
      <c r="T456" s="47">
        <v>45918</v>
      </c>
      <c r="U456" s="29">
        <v>8</v>
      </c>
      <c r="V456" s="38">
        <v>14</v>
      </c>
      <c r="W456" s="29">
        <v>43</v>
      </c>
      <c r="X456" s="29">
        <v>2</v>
      </c>
      <c r="Y456" s="30">
        <f>combined_tbl!$Q456*(1-combined_tbl!$Z456)</f>
        <v>98.191999999999979</v>
      </c>
      <c r="Z456" s="31">
        <f>IF(combined_tbl!$Q456&gt;=500,0.2, IF(combined_tbl!$Q456&gt;=200,0.05, IF(combined_tbl!$X456&gt;=2,0.05,0)))</f>
        <v>0.05</v>
      </c>
      <c r="AA456" s="30">
        <f>combined_tbl!$Y456*combined_tbl!$X456</f>
        <v>196.38399999999996</v>
      </c>
      <c r="AB456" s="32">
        <f>(combined_tbl!$Q456*(1+combined_tbl!$Z456)-combined_tbl!$P456)*combined_tbl!$X456</f>
        <v>65.055999999999983</v>
      </c>
    </row>
    <row r="457" spans="1:28" x14ac:dyDescent="0.3">
      <c r="A457" s="29">
        <v>456</v>
      </c>
      <c r="B457" s="25" cm="1">
        <f t="array" aca="1" ref="B457" ca="1">MIN(IF($E:$E=E457,$H:$H))</f>
        <v>45744</v>
      </c>
      <c r="C457" s="25">
        <f t="shared" ca="1" si="76"/>
        <v>8</v>
      </c>
      <c r="D457" s="42">
        <f ca="1">COUNTIF(E:E,combined_tbl!$E457)</f>
        <v>5</v>
      </c>
      <c r="E457" s="24" t="str">
        <f t="shared" ca="1" si="82"/>
        <v>Customer016</v>
      </c>
      <c r="F457" s="24" t="str" cm="1">
        <f t="array" aca="1" ref="F457" ca="1">INDEX({"Male","Female"}, RANDBETWEEN(1,2))</f>
        <v>Female</v>
      </c>
      <c r="G457" s="29" t="str">
        <f t="shared" ca="1" si="75"/>
        <v>North</v>
      </c>
      <c r="H457" s="48">
        <f t="shared" ca="1" si="77"/>
        <v>45744</v>
      </c>
      <c r="I457" s="24">
        <f t="shared" ca="1" si="78"/>
        <v>28</v>
      </c>
      <c r="J457" s="46" t="str">
        <f t="shared" ca="1" si="83"/>
        <v>March</v>
      </c>
      <c r="K457" s="24">
        <f t="shared" ca="1" si="79"/>
        <v>2025</v>
      </c>
      <c r="L457" s="24" t="str">
        <f t="shared" ca="1" si="80"/>
        <v>Bronze</v>
      </c>
      <c r="M457" s="24">
        <v>457</v>
      </c>
      <c r="N457" s="24" t="s">
        <v>954</v>
      </c>
      <c r="O457" s="24" t="s">
        <v>1315</v>
      </c>
      <c r="P457" s="26">
        <v>609</v>
      </c>
      <c r="Q457" s="26">
        <v>822.15000000000009</v>
      </c>
      <c r="R457" s="24">
        <v>457</v>
      </c>
      <c r="S457" s="24" t="str">
        <f t="shared" si="81"/>
        <v>Feb</v>
      </c>
      <c r="T457" s="46">
        <v>45344</v>
      </c>
      <c r="U457" s="24">
        <v>6</v>
      </c>
      <c r="V457" s="37">
        <v>220</v>
      </c>
      <c r="W457" s="24">
        <v>36</v>
      </c>
      <c r="X457" s="24">
        <v>1</v>
      </c>
      <c r="Y457" s="26">
        <f>combined_tbl!$Q457*(1-combined_tbl!$Z457)</f>
        <v>657.72000000000014</v>
      </c>
      <c r="Z457" s="27">
        <f>IF(combined_tbl!$Q457&gt;=500,0.2, IF(combined_tbl!$Q457&gt;=200,0.05, IF(combined_tbl!$X457&gt;=2,0.05,0)))</f>
        <v>0.2</v>
      </c>
      <c r="AA457" s="26">
        <f>combined_tbl!$Y457*combined_tbl!$X457</f>
        <v>657.72000000000014</v>
      </c>
      <c r="AB457" s="28">
        <f>(combined_tbl!$Q457*(1+combined_tbl!$Z457)-combined_tbl!$P457)*combined_tbl!$X457</f>
        <v>377.58000000000004</v>
      </c>
    </row>
    <row r="458" spans="1:28" x14ac:dyDescent="0.3">
      <c r="A458" s="19">
        <v>457</v>
      </c>
      <c r="B458" s="25" cm="1">
        <f t="array" aca="1" ref="B458" ca="1">MIN(IF($E:$E=E458,$H:$H))</f>
        <v>45537</v>
      </c>
      <c r="C458" s="25">
        <f t="shared" ca="1" si="76"/>
        <v>15</v>
      </c>
      <c r="D458" s="43">
        <f ca="1">COUNTIF(E:E,combined_tbl!$E458)</f>
        <v>5</v>
      </c>
      <c r="E458" s="29" t="str">
        <f t="shared" ca="1" si="82"/>
        <v>Customer073</v>
      </c>
      <c r="F458" s="29" t="str" cm="1">
        <f t="array" aca="1" ref="F458" ca="1">INDEX({"Male","Female"}, RANDBETWEEN(1,2))</f>
        <v>Male</v>
      </c>
      <c r="G458" s="29" t="str">
        <f t="shared" ca="1" si="75"/>
        <v>East</v>
      </c>
      <c r="H458" s="48">
        <f t="shared" ca="1" si="77"/>
        <v>45537</v>
      </c>
      <c r="I458" s="24">
        <f t="shared" ca="1" si="78"/>
        <v>2</v>
      </c>
      <c r="J458" s="46" t="str">
        <f t="shared" ca="1" si="83"/>
        <v>September</v>
      </c>
      <c r="K458" s="24">
        <f t="shared" ca="1" si="79"/>
        <v>2024</v>
      </c>
      <c r="L458" s="24" t="str">
        <f t="shared" ca="1" si="80"/>
        <v>Silver</v>
      </c>
      <c r="M458" s="29">
        <v>458</v>
      </c>
      <c r="N458" s="29" t="s">
        <v>847</v>
      </c>
      <c r="O458" s="29" t="s">
        <v>1316</v>
      </c>
      <c r="P458" s="30">
        <v>48</v>
      </c>
      <c r="Q458" s="30">
        <v>69.12</v>
      </c>
      <c r="R458" s="29">
        <v>458</v>
      </c>
      <c r="S458" s="24" t="str">
        <f t="shared" si="81"/>
        <v>Oct</v>
      </c>
      <c r="T458" s="47">
        <v>45221</v>
      </c>
      <c r="U458" s="29">
        <v>6</v>
      </c>
      <c r="V458" s="38">
        <v>83</v>
      </c>
      <c r="W458" s="29">
        <v>46</v>
      </c>
      <c r="X458" s="29">
        <v>1</v>
      </c>
      <c r="Y458" s="30">
        <f>combined_tbl!$Q458*(1-combined_tbl!$Z458)</f>
        <v>69.12</v>
      </c>
      <c r="Z458" s="31">
        <f>IF(combined_tbl!$Q458&gt;=500,0.2, IF(combined_tbl!$Q458&gt;=200,0.05, IF(combined_tbl!$X458&gt;=2,0.05,0)))</f>
        <v>0</v>
      </c>
      <c r="AA458" s="30">
        <f>combined_tbl!$Y458*combined_tbl!$X458</f>
        <v>69.12</v>
      </c>
      <c r="AB458" s="32">
        <f>(combined_tbl!$Q458*(1+combined_tbl!$Z458)-combined_tbl!$P458)*combined_tbl!$X458</f>
        <v>21.120000000000005</v>
      </c>
    </row>
    <row r="459" spans="1:28" x14ac:dyDescent="0.3">
      <c r="A459" s="24">
        <v>458</v>
      </c>
      <c r="B459" s="25" cm="1">
        <f t="array" aca="1" ref="B459" ca="1">MIN(IF($E:$E=E459,$H:$H))</f>
        <v>45307</v>
      </c>
      <c r="C459" s="25">
        <f t="shared" ca="1" si="76"/>
        <v>22</v>
      </c>
      <c r="D459" s="42">
        <f ca="1">COUNTIF(E:E,combined_tbl!$E459)</f>
        <v>5</v>
      </c>
      <c r="E459" s="24" t="str">
        <f t="shared" ca="1" si="82"/>
        <v>Customer063</v>
      </c>
      <c r="F459" s="24" t="str" cm="1">
        <f t="array" aca="1" ref="F459" ca="1">INDEX({"Male","Female"}, RANDBETWEEN(1,2))</f>
        <v>Male</v>
      </c>
      <c r="G459" s="29" t="str">
        <f t="shared" ca="1" si="75"/>
        <v>North</v>
      </c>
      <c r="H459" s="48">
        <f t="shared" ca="1" si="77"/>
        <v>45307</v>
      </c>
      <c r="I459" s="24">
        <f t="shared" ca="1" si="78"/>
        <v>16</v>
      </c>
      <c r="J459" s="46" t="str">
        <f t="shared" ca="1" si="83"/>
        <v>January</v>
      </c>
      <c r="K459" s="24">
        <f t="shared" ca="1" si="79"/>
        <v>2024</v>
      </c>
      <c r="L459" s="24" t="str">
        <f t="shared" ca="1" si="80"/>
        <v>Silver</v>
      </c>
      <c r="M459" s="24">
        <v>459</v>
      </c>
      <c r="N459" s="24" t="s">
        <v>1359</v>
      </c>
      <c r="O459" s="24" t="s">
        <v>1317</v>
      </c>
      <c r="P459" s="26">
        <v>428</v>
      </c>
      <c r="Q459" s="26">
        <v>513.6</v>
      </c>
      <c r="R459" s="24">
        <v>459</v>
      </c>
      <c r="S459" s="24" t="str">
        <f t="shared" si="81"/>
        <v>Oct</v>
      </c>
      <c r="T459" s="46">
        <v>45580</v>
      </c>
      <c r="U459" s="24">
        <v>6</v>
      </c>
      <c r="V459" s="37">
        <v>21</v>
      </c>
      <c r="W459" s="24">
        <v>46</v>
      </c>
      <c r="X459" s="24">
        <v>1</v>
      </c>
      <c r="Y459" s="26">
        <f>combined_tbl!$Q459*(1-combined_tbl!$Z459)</f>
        <v>410.88000000000005</v>
      </c>
      <c r="Z459" s="27">
        <f>IF(combined_tbl!$Q459&gt;=500,0.2, IF(combined_tbl!$Q459&gt;=200,0.05, IF(combined_tbl!$X459&gt;=2,0.05,0)))</f>
        <v>0.2</v>
      </c>
      <c r="AA459" s="26">
        <f>combined_tbl!$Y459*combined_tbl!$X459</f>
        <v>410.88000000000005</v>
      </c>
      <c r="AB459" s="28">
        <f>(combined_tbl!$Q459*(1+combined_tbl!$Z459)-combined_tbl!$P459)*combined_tbl!$X459</f>
        <v>188.32000000000005</v>
      </c>
    </row>
    <row r="460" spans="1:28" x14ac:dyDescent="0.3">
      <c r="A460" s="29">
        <v>459</v>
      </c>
      <c r="B460" s="25" cm="1">
        <f t="array" aca="1" ref="B460" ca="1">MIN(IF($E:$E=E460,$H:$H))</f>
        <v>45955</v>
      </c>
      <c r="C460" s="25">
        <f t="shared" ca="1" si="76"/>
        <v>1</v>
      </c>
      <c r="D460" s="43">
        <f ca="1">COUNTIF(E:E,combined_tbl!$E460)</f>
        <v>9</v>
      </c>
      <c r="E460" s="29" t="str">
        <f t="shared" ca="1" si="82"/>
        <v>Customer080</v>
      </c>
      <c r="F460" s="29" t="str" cm="1">
        <f t="array" aca="1" ref="F460" ca="1">INDEX({"Male","Female"}, RANDBETWEEN(1,2))</f>
        <v>Female</v>
      </c>
      <c r="G460" s="29" t="str">
        <f t="shared" ca="1" si="75"/>
        <v>West</v>
      </c>
      <c r="H460" s="48">
        <f t="shared" ca="1" si="77"/>
        <v>45955</v>
      </c>
      <c r="I460" s="24">
        <f t="shared" ca="1" si="78"/>
        <v>25</v>
      </c>
      <c r="J460" s="46" t="str">
        <f t="shared" ca="1" si="83"/>
        <v>October</v>
      </c>
      <c r="K460" s="24">
        <f t="shared" ca="1" si="79"/>
        <v>2025</v>
      </c>
      <c r="L460" s="24" t="str">
        <f t="shared" ca="1" si="80"/>
        <v>Bronze</v>
      </c>
      <c r="M460" s="29">
        <v>460</v>
      </c>
      <c r="N460" s="29" t="s">
        <v>957</v>
      </c>
      <c r="O460" s="29" t="s">
        <v>1318</v>
      </c>
      <c r="P460" s="30">
        <v>31</v>
      </c>
      <c r="Q460" s="30">
        <v>36.58</v>
      </c>
      <c r="R460" s="29">
        <v>460</v>
      </c>
      <c r="S460" s="24" t="str">
        <f t="shared" si="81"/>
        <v>Mar</v>
      </c>
      <c r="T460" s="47">
        <v>45743</v>
      </c>
      <c r="U460" s="29">
        <v>3</v>
      </c>
      <c r="V460" s="38">
        <v>97</v>
      </c>
      <c r="W460" s="29">
        <v>45</v>
      </c>
      <c r="X460" s="29">
        <v>1</v>
      </c>
      <c r="Y460" s="30">
        <f>combined_tbl!$Q460*(1-combined_tbl!$Z460)</f>
        <v>36.58</v>
      </c>
      <c r="Z460" s="31">
        <f>IF(combined_tbl!$Q460&gt;=500,0.2, IF(combined_tbl!$Q460&gt;=200,0.05, IF(combined_tbl!$X460&gt;=2,0.05,0)))</f>
        <v>0</v>
      </c>
      <c r="AA460" s="30">
        <f>combined_tbl!$Y460*combined_tbl!$X460</f>
        <v>36.58</v>
      </c>
      <c r="AB460" s="32">
        <f>(combined_tbl!$Q460*(1+combined_tbl!$Z460)-combined_tbl!$P460)*combined_tbl!$X460</f>
        <v>5.5799999999999983</v>
      </c>
    </row>
    <row r="461" spans="1:28" x14ac:dyDescent="0.3">
      <c r="A461" s="29">
        <v>460</v>
      </c>
      <c r="B461" s="25" cm="1">
        <f t="array" aca="1" ref="B461" ca="1">MIN(IF($E:$E=E461,$H:$H))</f>
        <v>45631</v>
      </c>
      <c r="C461" s="25">
        <f t="shared" ca="1" si="76"/>
        <v>11</v>
      </c>
      <c r="D461" s="42">
        <f ca="1">COUNTIF(E:E,combined_tbl!$E461)</f>
        <v>6</v>
      </c>
      <c r="E461" s="24" t="str">
        <f t="shared" ca="1" si="82"/>
        <v>Customer017</v>
      </c>
      <c r="F461" s="24" t="str" cm="1">
        <f t="array" aca="1" ref="F461" ca="1">INDEX({"Male","Female"}, RANDBETWEEN(1,2))</f>
        <v>Female</v>
      </c>
      <c r="G461" s="29" t="str">
        <f t="shared" ca="1" si="75"/>
        <v>West</v>
      </c>
      <c r="H461" s="48">
        <f t="shared" ca="1" si="77"/>
        <v>45631</v>
      </c>
      <c r="I461" s="24">
        <f t="shared" ca="1" si="78"/>
        <v>5</v>
      </c>
      <c r="J461" s="46" t="str">
        <f t="shared" ca="1" si="83"/>
        <v>December</v>
      </c>
      <c r="K461" s="24">
        <f t="shared" ca="1" si="79"/>
        <v>2024</v>
      </c>
      <c r="L461" s="24" t="str">
        <f t="shared" ca="1" si="80"/>
        <v>Bronze</v>
      </c>
      <c r="M461" s="24">
        <v>461</v>
      </c>
      <c r="N461" s="24" t="s">
        <v>837</v>
      </c>
      <c r="O461" s="24" t="s">
        <v>1319</v>
      </c>
      <c r="P461" s="26">
        <v>291</v>
      </c>
      <c r="Q461" s="26">
        <v>421.95</v>
      </c>
      <c r="R461" s="24">
        <v>461</v>
      </c>
      <c r="S461" s="24" t="str">
        <f t="shared" si="81"/>
        <v>Jan</v>
      </c>
      <c r="T461" s="46">
        <v>45685</v>
      </c>
      <c r="U461" s="24">
        <v>2</v>
      </c>
      <c r="V461" s="37">
        <v>129</v>
      </c>
      <c r="W461" s="24">
        <v>98</v>
      </c>
      <c r="X461" s="24">
        <v>2</v>
      </c>
      <c r="Y461" s="26">
        <f>combined_tbl!$Q461*(1-combined_tbl!$Z461)</f>
        <v>400.85249999999996</v>
      </c>
      <c r="Z461" s="27">
        <f>IF(combined_tbl!$Q461&gt;=500,0.2, IF(combined_tbl!$Q461&gt;=200,0.05, IF(combined_tbl!$X461&gt;=2,0.05,0)))</f>
        <v>0.05</v>
      </c>
      <c r="AA461" s="26">
        <f>combined_tbl!$Y461*combined_tbl!$X461</f>
        <v>801.70499999999993</v>
      </c>
      <c r="AB461" s="28">
        <f>(combined_tbl!$Q461*(1+combined_tbl!$Z461)-combined_tbl!$P461)*combined_tbl!$X461</f>
        <v>304.09500000000003</v>
      </c>
    </row>
    <row r="462" spans="1:28" x14ac:dyDescent="0.3">
      <c r="A462" s="29">
        <v>461</v>
      </c>
      <c r="B462" s="25" cm="1">
        <f t="array" aca="1" ref="B462" ca="1">MIN(IF($E:$E=E462,$H:$H))</f>
        <v>45812</v>
      </c>
      <c r="C462" s="25">
        <f t="shared" ca="1" si="76"/>
        <v>6</v>
      </c>
      <c r="D462" s="43">
        <f ca="1">COUNTIF(E:E,combined_tbl!$E462)</f>
        <v>10</v>
      </c>
      <c r="E462" s="29" t="str">
        <f t="shared" ca="1" si="82"/>
        <v>Customer026</v>
      </c>
      <c r="F462" s="29" t="str" cm="1">
        <f t="array" aca="1" ref="F462" ca="1">INDEX({"Male","Female"}, RANDBETWEEN(1,2))</f>
        <v>Female</v>
      </c>
      <c r="G462" s="29" t="str">
        <f t="shared" ca="1" si="75"/>
        <v>North</v>
      </c>
      <c r="H462" s="48">
        <f t="shared" ca="1" si="77"/>
        <v>45812</v>
      </c>
      <c r="I462" s="24">
        <f t="shared" ca="1" si="78"/>
        <v>4</v>
      </c>
      <c r="J462" s="46" t="str">
        <f t="shared" ca="1" si="83"/>
        <v>June</v>
      </c>
      <c r="K462" s="24">
        <f t="shared" ca="1" si="79"/>
        <v>2025</v>
      </c>
      <c r="L462" s="24" t="str">
        <f t="shared" ca="1" si="80"/>
        <v>Bronze</v>
      </c>
      <c r="M462" s="29">
        <v>462</v>
      </c>
      <c r="N462" s="29" t="s">
        <v>837</v>
      </c>
      <c r="O462" s="29" t="s">
        <v>1320</v>
      </c>
      <c r="P462" s="30">
        <v>278</v>
      </c>
      <c r="Q462" s="30">
        <v>308.58000000000004</v>
      </c>
      <c r="R462" s="29">
        <v>462</v>
      </c>
      <c r="S462" s="24" t="str">
        <f t="shared" si="81"/>
        <v>Oct</v>
      </c>
      <c r="T462" s="47">
        <v>45580</v>
      </c>
      <c r="U462" s="29">
        <v>4</v>
      </c>
      <c r="V462" s="38">
        <v>182</v>
      </c>
      <c r="W462" s="29">
        <v>23</v>
      </c>
      <c r="X462" s="29">
        <v>1</v>
      </c>
      <c r="Y462" s="30">
        <f>combined_tbl!$Q462*(1-combined_tbl!$Z462)</f>
        <v>293.15100000000001</v>
      </c>
      <c r="Z462" s="31">
        <f>IF(combined_tbl!$Q462&gt;=500,0.2, IF(combined_tbl!$Q462&gt;=200,0.05, IF(combined_tbl!$X462&gt;=2,0.05,0)))</f>
        <v>0.05</v>
      </c>
      <c r="AA462" s="30">
        <f>combined_tbl!$Y462*combined_tbl!$X462</f>
        <v>293.15100000000001</v>
      </c>
      <c r="AB462" s="32">
        <f>(combined_tbl!$Q462*(1+combined_tbl!$Z462)-combined_tbl!$P462)*combined_tbl!$X462</f>
        <v>46.009000000000071</v>
      </c>
    </row>
    <row r="463" spans="1:28" x14ac:dyDescent="0.3">
      <c r="A463" s="29">
        <v>462</v>
      </c>
      <c r="B463" s="25" cm="1">
        <f t="array" aca="1" ref="B463" ca="1">MIN(IF($E:$E=E463,$H:$H))</f>
        <v>45955</v>
      </c>
      <c r="C463" s="25">
        <f t="shared" ca="1" si="76"/>
        <v>1</v>
      </c>
      <c r="D463" s="42">
        <f ca="1">COUNTIF(E:E,combined_tbl!$E463)</f>
        <v>9</v>
      </c>
      <c r="E463" s="24" t="str">
        <f t="shared" ca="1" si="82"/>
        <v>Customer080</v>
      </c>
      <c r="F463" s="24" t="str" cm="1">
        <f t="array" aca="1" ref="F463" ca="1">INDEX({"Male","Female"}, RANDBETWEEN(1,2))</f>
        <v>Male</v>
      </c>
      <c r="G463" s="29" t="str">
        <f t="shared" ca="1" si="75"/>
        <v>West</v>
      </c>
      <c r="H463" s="48">
        <f t="shared" ca="1" si="77"/>
        <v>45955</v>
      </c>
      <c r="I463" s="24">
        <f t="shared" ca="1" si="78"/>
        <v>25</v>
      </c>
      <c r="J463" s="46" t="str">
        <f t="shared" ca="1" si="83"/>
        <v>October</v>
      </c>
      <c r="K463" s="24">
        <f t="shared" ca="1" si="79"/>
        <v>2025</v>
      </c>
      <c r="L463" s="24" t="str">
        <f t="shared" ca="1" si="80"/>
        <v>Bronze</v>
      </c>
      <c r="M463" s="24">
        <v>463</v>
      </c>
      <c r="N463" s="24" t="s">
        <v>955</v>
      </c>
      <c r="O463" s="24" t="s">
        <v>1321</v>
      </c>
      <c r="P463" s="26">
        <v>301</v>
      </c>
      <c r="Q463" s="26">
        <v>385.28000000000003</v>
      </c>
      <c r="R463" s="24">
        <v>463</v>
      </c>
      <c r="S463" s="24" t="str">
        <f t="shared" si="81"/>
        <v>Aug</v>
      </c>
      <c r="T463" s="46">
        <v>45882</v>
      </c>
      <c r="U463" s="24">
        <v>2</v>
      </c>
      <c r="V463" s="37">
        <v>65</v>
      </c>
      <c r="W463" s="24">
        <v>83</v>
      </c>
      <c r="X463" s="24">
        <v>1</v>
      </c>
      <c r="Y463" s="26">
        <f>combined_tbl!$Q463*(1-combined_tbl!$Z463)</f>
        <v>366.01600000000002</v>
      </c>
      <c r="Z463" s="27">
        <f>IF(combined_tbl!$Q463&gt;=500,0.2, IF(combined_tbl!$Q463&gt;=200,0.05, IF(combined_tbl!$X463&gt;=2,0.05,0)))</f>
        <v>0.05</v>
      </c>
      <c r="AA463" s="26">
        <f>combined_tbl!$Y463*combined_tbl!$X463</f>
        <v>366.01600000000002</v>
      </c>
      <c r="AB463" s="28">
        <f>(combined_tbl!$Q463*(1+combined_tbl!$Z463)-combined_tbl!$P463)*combined_tbl!$X463</f>
        <v>103.54400000000004</v>
      </c>
    </row>
    <row r="464" spans="1:28" x14ac:dyDescent="0.3">
      <c r="A464" s="29">
        <v>463</v>
      </c>
      <c r="B464" s="25" cm="1">
        <f t="array" aca="1" ref="B464" ca="1">MIN(IF($E:$E=E464,$H:$H))</f>
        <v>45182</v>
      </c>
      <c r="C464" s="25">
        <f t="shared" ca="1" si="76"/>
        <v>26</v>
      </c>
      <c r="D464" s="43">
        <f ca="1">COUNTIF(E:E,combined_tbl!$E464)</f>
        <v>13</v>
      </c>
      <c r="E464" s="29" t="str">
        <f t="shared" ca="1" si="82"/>
        <v>Customer024</v>
      </c>
      <c r="F464" s="29" t="str" cm="1">
        <f t="array" aca="1" ref="F464" ca="1">INDEX({"Male","Female"}, RANDBETWEEN(1,2))</f>
        <v>Male</v>
      </c>
      <c r="G464" s="29" t="str">
        <f t="shared" ca="1" si="75"/>
        <v>East</v>
      </c>
      <c r="H464" s="48">
        <f t="shared" ca="1" si="77"/>
        <v>45182</v>
      </c>
      <c r="I464" s="24">
        <f t="shared" ca="1" si="78"/>
        <v>13</v>
      </c>
      <c r="J464" s="46" t="str">
        <f t="shared" ca="1" si="83"/>
        <v>September</v>
      </c>
      <c r="K464" s="24">
        <f t="shared" ca="1" si="79"/>
        <v>2023</v>
      </c>
      <c r="L464" s="24" t="str">
        <f t="shared" ca="1" si="80"/>
        <v>Platinum</v>
      </c>
      <c r="M464" s="29">
        <v>464</v>
      </c>
      <c r="N464" s="29" t="s">
        <v>955</v>
      </c>
      <c r="O464" s="29" t="s">
        <v>1322</v>
      </c>
      <c r="P464" s="30">
        <v>197</v>
      </c>
      <c r="Q464" s="30">
        <v>285.64999999999998</v>
      </c>
      <c r="R464" s="29">
        <v>464</v>
      </c>
      <c r="S464" s="24" t="str">
        <f t="shared" si="81"/>
        <v>Jul</v>
      </c>
      <c r="T464" s="47">
        <v>45474</v>
      </c>
      <c r="U464" s="29">
        <v>8</v>
      </c>
      <c r="V464" s="38">
        <v>103</v>
      </c>
      <c r="W464" s="29">
        <v>48</v>
      </c>
      <c r="X464" s="29">
        <v>1</v>
      </c>
      <c r="Y464" s="30">
        <f>combined_tbl!$Q464*(1-combined_tbl!$Z464)</f>
        <v>271.36749999999995</v>
      </c>
      <c r="Z464" s="31">
        <f>IF(combined_tbl!$Q464&gt;=500,0.2, IF(combined_tbl!$Q464&gt;=200,0.05, IF(combined_tbl!$X464&gt;=2,0.05,0)))</f>
        <v>0.05</v>
      </c>
      <c r="AA464" s="30">
        <f>combined_tbl!$Y464*combined_tbl!$X464</f>
        <v>271.36749999999995</v>
      </c>
      <c r="AB464" s="32">
        <f>(combined_tbl!$Q464*(1+combined_tbl!$Z464)-combined_tbl!$P464)*combined_tbl!$X464</f>
        <v>102.9325</v>
      </c>
    </row>
    <row r="465" spans="1:28" x14ac:dyDescent="0.3">
      <c r="A465" s="29">
        <v>464</v>
      </c>
      <c r="B465" s="25" cm="1">
        <f t="array" aca="1" ref="B465" ca="1">MIN(IF($E:$E=E465,$H:$H))</f>
        <v>45922</v>
      </c>
      <c r="C465" s="25">
        <f t="shared" ca="1" si="76"/>
        <v>2</v>
      </c>
      <c r="D465" s="42">
        <f ca="1">COUNTIF(E:E,combined_tbl!$E465)</f>
        <v>4</v>
      </c>
      <c r="E465" s="24" t="str">
        <f t="shared" ca="1" si="82"/>
        <v>Customer055</v>
      </c>
      <c r="F465" s="24" t="str" cm="1">
        <f t="array" aca="1" ref="F465" ca="1">INDEX({"Male","Female"}, RANDBETWEEN(1,2))</f>
        <v>Female</v>
      </c>
      <c r="G465" s="29" t="str">
        <f t="shared" ca="1" si="75"/>
        <v>North</v>
      </c>
      <c r="H465" s="48">
        <f t="shared" ca="1" si="77"/>
        <v>45922</v>
      </c>
      <c r="I465" s="24">
        <f t="shared" ca="1" si="78"/>
        <v>22</v>
      </c>
      <c r="J465" s="46" t="str">
        <f t="shared" ca="1" si="83"/>
        <v>September</v>
      </c>
      <c r="K465" s="24">
        <f t="shared" ca="1" si="79"/>
        <v>2025</v>
      </c>
      <c r="L465" s="24" t="str">
        <f t="shared" ca="1" si="80"/>
        <v>Bronze</v>
      </c>
      <c r="M465" s="24">
        <v>465</v>
      </c>
      <c r="N465" s="24" t="s">
        <v>954</v>
      </c>
      <c r="O465" s="24" t="s">
        <v>1323</v>
      </c>
      <c r="P465" s="26">
        <v>309</v>
      </c>
      <c r="Q465" s="26">
        <v>448.05</v>
      </c>
      <c r="R465" s="24">
        <v>465</v>
      </c>
      <c r="S465" s="24" t="str">
        <f t="shared" si="81"/>
        <v>May</v>
      </c>
      <c r="T465" s="46">
        <v>45434</v>
      </c>
      <c r="U465" s="24">
        <v>3</v>
      </c>
      <c r="V465" s="37">
        <v>11</v>
      </c>
      <c r="W465" s="24">
        <v>99</v>
      </c>
      <c r="X465" s="24">
        <v>1</v>
      </c>
      <c r="Y465" s="26">
        <f>combined_tbl!$Q465*(1-combined_tbl!$Z465)</f>
        <v>425.64749999999998</v>
      </c>
      <c r="Z465" s="27">
        <f>IF(combined_tbl!$Q465&gt;=500,0.2, IF(combined_tbl!$Q465&gt;=200,0.05, IF(combined_tbl!$X465&gt;=2,0.05,0)))</f>
        <v>0.05</v>
      </c>
      <c r="AA465" s="26">
        <f>combined_tbl!$Y465*combined_tbl!$X465</f>
        <v>425.64749999999998</v>
      </c>
      <c r="AB465" s="28">
        <f>(combined_tbl!$Q465*(1+combined_tbl!$Z465)-combined_tbl!$P465)*combined_tbl!$X465</f>
        <v>161.45250000000004</v>
      </c>
    </row>
    <row r="466" spans="1:28" x14ac:dyDescent="0.3">
      <c r="A466" s="19">
        <v>465</v>
      </c>
      <c r="B466" s="25" cm="1">
        <f t="array" aca="1" ref="B466" ca="1">MIN(IF($E:$E=E466,$H:$H))</f>
        <v>45625</v>
      </c>
      <c r="C466" s="25">
        <f t="shared" ca="1" si="76"/>
        <v>12</v>
      </c>
      <c r="D466" s="43">
        <f ca="1">COUNTIF(E:E,combined_tbl!$E466)</f>
        <v>7</v>
      </c>
      <c r="E466" s="29" t="str">
        <f t="shared" ca="1" si="82"/>
        <v>Customer038</v>
      </c>
      <c r="F466" s="29" t="str" cm="1">
        <f t="array" aca="1" ref="F466" ca="1">INDEX({"Male","Female"}, RANDBETWEEN(1,2))</f>
        <v>Male</v>
      </c>
      <c r="G466" s="29" t="str">
        <f t="shared" ca="1" si="75"/>
        <v>West</v>
      </c>
      <c r="H466" s="48">
        <f t="shared" ca="1" si="77"/>
        <v>45625</v>
      </c>
      <c r="I466" s="24">
        <f t="shared" ca="1" si="78"/>
        <v>29</v>
      </c>
      <c r="J466" s="46" t="str">
        <f t="shared" ca="1" si="83"/>
        <v>November</v>
      </c>
      <c r="K466" s="24">
        <f t="shared" ca="1" si="79"/>
        <v>2024</v>
      </c>
      <c r="L466" s="24" t="str">
        <f t="shared" ca="1" si="80"/>
        <v>Silver</v>
      </c>
      <c r="M466" s="29">
        <v>466</v>
      </c>
      <c r="N466" s="29" t="s">
        <v>955</v>
      </c>
      <c r="O466" s="29" t="s">
        <v>1324</v>
      </c>
      <c r="P466" s="30">
        <v>244</v>
      </c>
      <c r="Q466" s="30">
        <v>344.03999999999996</v>
      </c>
      <c r="R466" s="29">
        <v>466</v>
      </c>
      <c r="S466" s="24" t="str">
        <f t="shared" si="81"/>
        <v>Jul</v>
      </c>
      <c r="T466" s="47">
        <v>45125</v>
      </c>
      <c r="U466" s="29">
        <v>1</v>
      </c>
      <c r="V466" s="38">
        <v>155</v>
      </c>
      <c r="W466" s="29">
        <v>79</v>
      </c>
      <c r="X466" s="29">
        <v>1</v>
      </c>
      <c r="Y466" s="30">
        <f>combined_tbl!$Q466*(1-combined_tbl!$Z466)</f>
        <v>326.83799999999997</v>
      </c>
      <c r="Z466" s="31">
        <f>IF(combined_tbl!$Q466&gt;=500,0.2, IF(combined_tbl!$Q466&gt;=200,0.05, IF(combined_tbl!$X466&gt;=2,0.05,0)))</f>
        <v>0.05</v>
      </c>
      <c r="AA466" s="30">
        <f>combined_tbl!$Y466*combined_tbl!$X466</f>
        <v>326.83799999999997</v>
      </c>
      <c r="AB466" s="32">
        <f>(combined_tbl!$Q466*(1+combined_tbl!$Z466)-combined_tbl!$P466)*combined_tbl!$X466</f>
        <v>117.24199999999996</v>
      </c>
    </row>
    <row r="467" spans="1:28" x14ac:dyDescent="0.3">
      <c r="A467" s="24">
        <v>466</v>
      </c>
      <c r="B467" s="25" cm="1">
        <f t="array" aca="1" ref="B467" ca="1">MIN(IF($E:$E=E467,$H:$H))</f>
        <v>45182</v>
      </c>
      <c r="C467" s="25">
        <f t="shared" ca="1" si="76"/>
        <v>26</v>
      </c>
      <c r="D467" s="42">
        <f ca="1">COUNTIF(E:E,combined_tbl!$E467)</f>
        <v>13</v>
      </c>
      <c r="E467" s="24" t="str">
        <f t="shared" ca="1" si="82"/>
        <v>Customer024</v>
      </c>
      <c r="F467" s="24" t="str" cm="1">
        <f t="array" aca="1" ref="F467" ca="1">INDEX({"Male","Female"}, RANDBETWEEN(1,2))</f>
        <v>Male</v>
      </c>
      <c r="G467" s="29" t="str">
        <f t="shared" ca="1" si="75"/>
        <v>East</v>
      </c>
      <c r="H467" s="48">
        <f t="shared" ca="1" si="77"/>
        <v>45182</v>
      </c>
      <c r="I467" s="24">
        <f t="shared" ca="1" si="78"/>
        <v>13</v>
      </c>
      <c r="J467" s="46" t="str">
        <f t="shared" ca="1" si="83"/>
        <v>September</v>
      </c>
      <c r="K467" s="24">
        <f t="shared" ca="1" si="79"/>
        <v>2023</v>
      </c>
      <c r="L467" s="24" t="str">
        <f t="shared" ca="1" si="80"/>
        <v>Platinum</v>
      </c>
      <c r="M467" s="24">
        <v>467</v>
      </c>
      <c r="N467" s="24" t="s">
        <v>957</v>
      </c>
      <c r="O467" s="24" t="s">
        <v>1325</v>
      </c>
      <c r="P467" s="26">
        <v>30</v>
      </c>
      <c r="Q467" s="26">
        <v>35.099999999999994</v>
      </c>
      <c r="R467" s="24">
        <v>467</v>
      </c>
      <c r="S467" s="24" t="str">
        <f t="shared" si="81"/>
        <v>Aug</v>
      </c>
      <c r="T467" s="46">
        <v>45521</v>
      </c>
      <c r="U467" s="24">
        <v>7</v>
      </c>
      <c r="V467" s="37">
        <v>1</v>
      </c>
      <c r="W467" s="24">
        <v>85</v>
      </c>
      <c r="X467" s="24">
        <v>1</v>
      </c>
      <c r="Y467" s="26">
        <f>combined_tbl!$Q467*(1-combined_tbl!$Z467)</f>
        <v>35.099999999999994</v>
      </c>
      <c r="Z467" s="27">
        <f>IF(combined_tbl!$Q467&gt;=500,0.2, IF(combined_tbl!$Q467&gt;=200,0.05, IF(combined_tbl!$X467&gt;=2,0.05,0)))</f>
        <v>0</v>
      </c>
      <c r="AA467" s="26">
        <f>combined_tbl!$Y467*combined_tbl!$X467</f>
        <v>35.099999999999994</v>
      </c>
      <c r="AB467" s="28">
        <f>(combined_tbl!$Q467*(1+combined_tbl!$Z467)-combined_tbl!$P467)*combined_tbl!$X467</f>
        <v>5.0999999999999943</v>
      </c>
    </row>
    <row r="468" spans="1:28" x14ac:dyDescent="0.3">
      <c r="A468" s="29">
        <v>467</v>
      </c>
      <c r="B468" s="25" cm="1">
        <f t="array" aca="1" ref="B468" ca="1">MIN(IF($E:$E=E468,$H:$H))</f>
        <v>45853</v>
      </c>
      <c r="C468" s="25">
        <f t="shared" ca="1" si="76"/>
        <v>4</v>
      </c>
      <c r="D468" s="43">
        <f ca="1">COUNTIF(E:E,combined_tbl!$E468)</f>
        <v>5</v>
      </c>
      <c r="E468" s="29" t="str">
        <f t="shared" ca="1" si="82"/>
        <v>Customer033</v>
      </c>
      <c r="F468" s="29" t="str" cm="1">
        <f t="array" aca="1" ref="F468" ca="1">INDEX({"Male","Female"}, RANDBETWEEN(1,2))</f>
        <v>Male</v>
      </c>
      <c r="G468" s="29" t="str">
        <f t="shared" ca="1" si="75"/>
        <v>West</v>
      </c>
      <c r="H468" s="48">
        <f t="shared" ca="1" si="77"/>
        <v>45853</v>
      </c>
      <c r="I468" s="24">
        <f t="shared" ca="1" si="78"/>
        <v>15</v>
      </c>
      <c r="J468" s="46" t="str">
        <f t="shared" ca="1" si="83"/>
        <v>July</v>
      </c>
      <c r="K468" s="24">
        <f t="shared" ca="1" si="79"/>
        <v>2025</v>
      </c>
      <c r="L468" s="24" t="str">
        <f t="shared" ca="1" si="80"/>
        <v>Bronze</v>
      </c>
      <c r="M468" s="29">
        <v>468</v>
      </c>
      <c r="N468" s="29" t="s">
        <v>954</v>
      </c>
      <c r="O468" s="29" t="s">
        <v>1326</v>
      </c>
      <c r="P468" s="30">
        <v>405</v>
      </c>
      <c r="Q468" s="30">
        <v>522.45000000000005</v>
      </c>
      <c r="R468" s="29">
        <v>468</v>
      </c>
      <c r="S468" s="24" t="str">
        <f t="shared" si="81"/>
        <v>May</v>
      </c>
      <c r="T468" s="47">
        <v>45783</v>
      </c>
      <c r="U468" s="29">
        <v>4</v>
      </c>
      <c r="V468" s="38">
        <v>182</v>
      </c>
      <c r="W468" s="29">
        <v>46</v>
      </c>
      <c r="X468" s="29">
        <v>1</v>
      </c>
      <c r="Y468" s="30">
        <f>combined_tbl!$Q468*(1-combined_tbl!$Z468)</f>
        <v>417.96000000000004</v>
      </c>
      <c r="Z468" s="31">
        <f>IF(combined_tbl!$Q468&gt;=500,0.2, IF(combined_tbl!$Q468&gt;=200,0.05, IF(combined_tbl!$X468&gt;=2,0.05,0)))</f>
        <v>0.2</v>
      </c>
      <c r="AA468" s="30">
        <f>combined_tbl!$Y468*combined_tbl!$X468</f>
        <v>417.96000000000004</v>
      </c>
      <c r="AB468" s="32">
        <f>(combined_tbl!$Q468*(1+combined_tbl!$Z468)-combined_tbl!$P468)*combined_tbl!$X468</f>
        <v>221.94000000000005</v>
      </c>
    </row>
    <row r="469" spans="1:28" x14ac:dyDescent="0.3">
      <c r="A469" s="29">
        <v>468</v>
      </c>
      <c r="B469" s="25" cm="1">
        <f t="array" aca="1" ref="B469" ca="1">MIN(IF($E:$E=E469,$H:$H))</f>
        <v>45631</v>
      </c>
      <c r="C469" s="25">
        <f t="shared" ca="1" si="76"/>
        <v>11</v>
      </c>
      <c r="D469" s="42">
        <f ca="1">COUNTIF(E:E,combined_tbl!$E469)</f>
        <v>6</v>
      </c>
      <c r="E469" s="24" t="str">
        <f t="shared" ca="1" si="82"/>
        <v>Customer017</v>
      </c>
      <c r="F469" s="24" t="str" cm="1">
        <f t="array" aca="1" ref="F469" ca="1">INDEX({"Male","Female"}, RANDBETWEEN(1,2))</f>
        <v>Female</v>
      </c>
      <c r="G469" s="29" t="str">
        <f t="shared" ca="1" si="75"/>
        <v>West</v>
      </c>
      <c r="H469" s="48">
        <f t="shared" ca="1" si="77"/>
        <v>45631</v>
      </c>
      <c r="I469" s="24">
        <f t="shared" ca="1" si="78"/>
        <v>5</v>
      </c>
      <c r="J469" s="46" t="str">
        <f t="shared" ca="1" si="83"/>
        <v>December</v>
      </c>
      <c r="K469" s="24">
        <f t="shared" ca="1" si="79"/>
        <v>2024</v>
      </c>
      <c r="L469" s="24" t="str">
        <f t="shared" ca="1" si="80"/>
        <v>Bronze</v>
      </c>
      <c r="M469" s="24">
        <v>469</v>
      </c>
      <c r="N469" s="24" t="s">
        <v>957</v>
      </c>
      <c r="O469" s="24" t="s">
        <v>1327</v>
      </c>
      <c r="P469" s="26">
        <v>125</v>
      </c>
      <c r="Q469" s="26">
        <v>157.5</v>
      </c>
      <c r="R469" s="24">
        <v>469</v>
      </c>
      <c r="S469" s="24" t="str">
        <f t="shared" si="81"/>
        <v>Nov</v>
      </c>
      <c r="T469" s="46">
        <v>45254</v>
      </c>
      <c r="U469" s="24">
        <v>6</v>
      </c>
      <c r="V469" s="37">
        <v>134</v>
      </c>
      <c r="W469" s="24">
        <v>63</v>
      </c>
      <c r="X469" s="24">
        <v>1</v>
      </c>
      <c r="Y469" s="26">
        <f>combined_tbl!$Q469*(1-combined_tbl!$Z469)</f>
        <v>157.5</v>
      </c>
      <c r="Z469" s="27">
        <f>IF(combined_tbl!$Q469&gt;=500,0.2, IF(combined_tbl!$Q469&gt;=200,0.05, IF(combined_tbl!$X469&gt;=2,0.05,0)))</f>
        <v>0</v>
      </c>
      <c r="AA469" s="26">
        <f>combined_tbl!$Y469*combined_tbl!$X469</f>
        <v>157.5</v>
      </c>
      <c r="AB469" s="28">
        <f>(combined_tbl!$Q469*(1+combined_tbl!$Z469)-combined_tbl!$P469)*combined_tbl!$X469</f>
        <v>32.5</v>
      </c>
    </row>
    <row r="470" spans="1:28" x14ac:dyDescent="0.3">
      <c r="A470" s="29">
        <v>469</v>
      </c>
      <c r="B470" s="25" cm="1">
        <f t="array" aca="1" ref="B470" ca="1">MIN(IF($E:$E=E470,$H:$H))</f>
        <v>44980</v>
      </c>
      <c r="C470" s="25">
        <f t="shared" ca="1" si="76"/>
        <v>33</v>
      </c>
      <c r="D470" s="43">
        <f ca="1">COUNTIF(E:E,combined_tbl!$E470)</f>
        <v>4</v>
      </c>
      <c r="E470" s="29" t="str">
        <f t="shared" ca="1" si="82"/>
        <v>Customer040</v>
      </c>
      <c r="F470" s="29" t="str" cm="1">
        <f t="array" aca="1" ref="F470" ca="1">INDEX({"Male","Female"}, RANDBETWEEN(1,2))</f>
        <v>Male</v>
      </c>
      <c r="G470" s="29" t="str">
        <f t="shared" ca="1" si="75"/>
        <v>West</v>
      </c>
      <c r="H470" s="48">
        <f t="shared" ca="1" si="77"/>
        <v>44980</v>
      </c>
      <c r="I470" s="24">
        <f t="shared" ca="1" si="78"/>
        <v>23</v>
      </c>
      <c r="J470" s="46" t="str">
        <f t="shared" ca="1" si="83"/>
        <v>February</v>
      </c>
      <c r="K470" s="24">
        <f t="shared" ca="1" si="79"/>
        <v>2023</v>
      </c>
      <c r="L470" s="24" t="str">
        <f t="shared" ca="1" si="80"/>
        <v>Silver</v>
      </c>
      <c r="M470" s="29">
        <v>470</v>
      </c>
      <c r="N470" s="29" t="s">
        <v>847</v>
      </c>
      <c r="O470" s="29" t="s">
        <v>1328</v>
      </c>
      <c r="P470" s="30">
        <v>47</v>
      </c>
      <c r="Q470" s="30">
        <v>57.81</v>
      </c>
      <c r="R470" s="29">
        <v>470</v>
      </c>
      <c r="S470" s="24" t="str">
        <f t="shared" si="81"/>
        <v>Oct</v>
      </c>
      <c r="T470" s="47">
        <v>45567</v>
      </c>
      <c r="U470" s="29">
        <v>4</v>
      </c>
      <c r="V470" s="38">
        <v>20</v>
      </c>
      <c r="W470" s="29">
        <v>21</v>
      </c>
      <c r="X470" s="29">
        <v>2</v>
      </c>
      <c r="Y470" s="30">
        <f>combined_tbl!$Q470*(1-combined_tbl!$Z470)</f>
        <v>54.919499999999999</v>
      </c>
      <c r="Z470" s="31">
        <f>IF(combined_tbl!$Q470&gt;=500,0.2, IF(combined_tbl!$Q470&gt;=200,0.05, IF(combined_tbl!$X470&gt;=2,0.05,0)))</f>
        <v>0.05</v>
      </c>
      <c r="AA470" s="30">
        <f>combined_tbl!$Y470*combined_tbl!$X470</f>
        <v>109.839</v>
      </c>
      <c r="AB470" s="32">
        <f>(combined_tbl!$Q470*(1+combined_tbl!$Z470)-combined_tbl!$P470)*combined_tbl!$X470</f>
        <v>27.40100000000001</v>
      </c>
    </row>
    <row r="471" spans="1:28" x14ac:dyDescent="0.3">
      <c r="A471" s="29">
        <v>470</v>
      </c>
      <c r="B471" s="25" cm="1">
        <f t="array" aca="1" ref="B471" ca="1">MIN(IF($E:$E=E471,$H:$H))</f>
        <v>45995</v>
      </c>
      <c r="C471" s="25">
        <f t="shared" ca="1" si="76"/>
        <v>0</v>
      </c>
      <c r="D471" s="42">
        <f ca="1">COUNTIF(E:E,combined_tbl!$E471)</f>
        <v>8</v>
      </c>
      <c r="E471" s="24" t="str">
        <f t="shared" ca="1" si="82"/>
        <v>Customer013</v>
      </c>
      <c r="F471" s="24" t="str" cm="1">
        <f t="array" aca="1" ref="F471" ca="1">INDEX({"Male","Female"}, RANDBETWEEN(1,2))</f>
        <v>Male</v>
      </c>
      <c r="G471" s="29" t="str">
        <f t="shared" ca="1" si="75"/>
        <v>North</v>
      </c>
      <c r="H471" s="48">
        <f t="shared" ca="1" si="77"/>
        <v>45995</v>
      </c>
      <c r="I471" s="24">
        <f t="shared" ca="1" si="78"/>
        <v>4</v>
      </c>
      <c r="J471" s="46" t="str">
        <f t="shared" ca="1" si="83"/>
        <v>December</v>
      </c>
      <c r="K471" s="24">
        <f t="shared" ca="1" si="79"/>
        <v>2025</v>
      </c>
      <c r="L471" s="24" t="str">
        <f t="shared" ca="1" si="80"/>
        <v>Bronze</v>
      </c>
      <c r="M471" s="24">
        <v>471</v>
      </c>
      <c r="N471" s="24" t="s">
        <v>1359</v>
      </c>
      <c r="O471" s="24" t="s">
        <v>1329</v>
      </c>
      <c r="P471" s="26">
        <v>52</v>
      </c>
      <c r="Q471" s="26">
        <v>64.48</v>
      </c>
      <c r="R471" s="24">
        <v>471</v>
      </c>
      <c r="S471" s="24" t="str">
        <f t="shared" si="81"/>
        <v>Nov</v>
      </c>
      <c r="T471" s="46">
        <v>45253</v>
      </c>
      <c r="U471" s="24">
        <v>8</v>
      </c>
      <c r="V471" s="37">
        <v>92</v>
      </c>
      <c r="W471" s="24">
        <v>48</v>
      </c>
      <c r="X471" s="24">
        <v>1</v>
      </c>
      <c r="Y471" s="26">
        <f>combined_tbl!$Q471*(1-combined_tbl!$Z471)</f>
        <v>64.48</v>
      </c>
      <c r="Z471" s="27">
        <f>IF(combined_tbl!$Q471&gt;=500,0.2, IF(combined_tbl!$Q471&gt;=200,0.05, IF(combined_tbl!$X471&gt;=2,0.05,0)))</f>
        <v>0</v>
      </c>
      <c r="AA471" s="26">
        <f>combined_tbl!$Y471*combined_tbl!$X471</f>
        <v>64.48</v>
      </c>
      <c r="AB471" s="28">
        <f>(combined_tbl!$Q471*(1+combined_tbl!$Z471)-combined_tbl!$P471)*combined_tbl!$X471</f>
        <v>12.480000000000004</v>
      </c>
    </row>
    <row r="472" spans="1:28" x14ac:dyDescent="0.3">
      <c r="A472" s="29">
        <v>471</v>
      </c>
      <c r="B472" s="25" cm="1">
        <f t="array" aca="1" ref="B472" ca="1">MIN(IF($E:$E=E472,$H:$H))</f>
        <v>45955</v>
      </c>
      <c r="C472" s="25">
        <f t="shared" ca="1" si="76"/>
        <v>1</v>
      </c>
      <c r="D472" s="43">
        <f ca="1">COUNTIF(E:E,combined_tbl!$E472)</f>
        <v>2</v>
      </c>
      <c r="E472" s="29" t="str">
        <f t="shared" ca="1" si="82"/>
        <v>Customer122</v>
      </c>
      <c r="F472" s="29" t="str" cm="1">
        <f t="array" aca="1" ref="F472" ca="1">INDEX({"Male","Female"}, RANDBETWEEN(1,2))</f>
        <v>Female</v>
      </c>
      <c r="G472" s="29" t="str">
        <f t="shared" ca="1" si="75"/>
        <v>North</v>
      </c>
      <c r="H472" s="48">
        <f t="shared" ca="1" si="77"/>
        <v>45955</v>
      </c>
      <c r="I472" s="24">
        <f t="shared" ca="1" si="78"/>
        <v>25</v>
      </c>
      <c r="J472" s="46" t="str">
        <f t="shared" ca="1" si="83"/>
        <v>October</v>
      </c>
      <c r="K472" s="24">
        <f t="shared" ca="1" si="79"/>
        <v>2025</v>
      </c>
      <c r="L472" s="24" t="str">
        <f t="shared" ca="1" si="80"/>
        <v>Bronze</v>
      </c>
      <c r="M472" s="29">
        <v>472</v>
      </c>
      <c r="N472" s="29" t="s">
        <v>872</v>
      </c>
      <c r="O472" s="29" t="s">
        <v>1330</v>
      </c>
      <c r="P472" s="30">
        <v>15</v>
      </c>
      <c r="Q472" s="30">
        <v>20.399999999999999</v>
      </c>
      <c r="R472" s="29">
        <v>472</v>
      </c>
      <c r="S472" s="24" t="str">
        <f t="shared" si="81"/>
        <v>Aug</v>
      </c>
      <c r="T472" s="47">
        <v>45883</v>
      </c>
      <c r="U472" s="29">
        <v>8</v>
      </c>
      <c r="V472" s="38">
        <v>25</v>
      </c>
      <c r="W472" s="29">
        <v>16</v>
      </c>
      <c r="X472" s="29">
        <v>2</v>
      </c>
      <c r="Y472" s="30">
        <f>combined_tbl!$Q472*(1-combined_tbl!$Z472)</f>
        <v>19.38</v>
      </c>
      <c r="Z472" s="31">
        <f>IF(combined_tbl!$Q472&gt;=500,0.2, IF(combined_tbl!$Q472&gt;=200,0.05, IF(combined_tbl!$X472&gt;=2,0.05,0)))</f>
        <v>0.05</v>
      </c>
      <c r="AA472" s="30">
        <f>combined_tbl!$Y472*combined_tbl!$X472</f>
        <v>38.76</v>
      </c>
      <c r="AB472" s="32">
        <f>(combined_tbl!$Q472*(1+combined_tbl!$Z472)-combined_tbl!$P472)*combined_tbl!$X472</f>
        <v>12.839999999999996</v>
      </c>
    </row>
    <row r="473" spans="1:28" x14ac:dyDescent="0.3">
      <c r="A473" s="29">
        <v>472</v>
      </c>
      <c r="B473" s="25" cm="1">
        <f t="array" aca="1" ref="B473" ca="1">MIN(IF($E:$E=E473,$H:$H))</f>
        <v>44939</v>
      </c>
      <c r="C473" s="25">
        <f t="shared" ca="1" si="76"/>
        <v>34</v>
      </c>
      <c r="D473" s="42">
        <f ca="1">COUNTIF(E:E,combined_tbl!$E473)</f>
        <v>4</v>
      </c>
      <c r="E473" s="24" t="str">
        <f t="shared" ca="1" si="82"/>
        <v>Customer079</v>
      </c>
      <c r="F473" s="24" t="str" cm="1">
        <f t="array" aca="1" ref="F473" ca="1">INDEX({"Male","Female"}, RANDBETWEEN(1,2))</f>
        <v>Female</v>
      </c>
      <c r="G473" s="29" t="str">
        <f t="shared" ca="1" si="75"/>
        <v>South</v>
      </c>
      <c r="H473" s="48">
        <f t="shared" ca="1" si="77"/>
        <v>44939</v>
      </c>
      <c r="I473" s="24">
        <f t="shared" ca="1" si="78"/>
        <v>13</v>
      </c>
      <c r="J473" s="46" t="str">
        <f t="shared" ca="1" si="83"/>
        <v>January</v>
      </c>
      <c r="K473" s="24">
        <f t="shared" ca="1" si="79"/>
        <v>2023</v>
      </c>
      <c r="L473" s="24" t="str">
        <f t="shared" ca="1" si="80"/>
        <v>Silver</v>
      </c>
      <c r="M473" s="24">
        <v>473</v>
      </c>
      <c r="N473" s="24" t="s">
        <v>872</v>
      </c>
      <c r="O473" s="24" t="s">
        <v>1331</v>
      </c>
      <c r="P473" s="26">
        <v>54</v>
      </c>
      <c r="Q473" s="26">
        <v>75.06</v>
      </c>
      <c r="R473" s="24">
        <v>473</v>
      </c>
      <c r="S473" s="24" t="str">
        <f t="shared" si="81"/>
        <v>Sep</v>
      </c>
      <c r="T473" s="46">
        <v>45558</v>
      </c>
      <c r="U473" s="24">
        <v>8</v>
      </c>
      <c r="V473" s="37">
        <v>96</v>
      </c>
      <c r="W473" s="24">
        <v>65</v>
      </c>
      <c r="X473" s="24">
        <v>1</v>
      </c>
      <c r="Y473" s="26">
        <f>combined_tbl!$Q473*(1-combined_tbl!$Z473)</f>
        <v>75.06</v>
      </c>
      <c r="Z473" s="27">
        <f>IF(combined_tbl!$Q473&gt;=500,0.2, IF(combined_tbl!$Q473&gt;=200,0.05, IF(combined_tbl!$X473&gt;=2,0.05,0)))</f>
        <v>0</v>
      </c>
      <c r="AA473" s="26">
        <f>combined_tbl!$Y473*combined_tbl!$X473</f>
        <v>75.06</v>
      </c>
      <c r="AB473" s="28">
        <f>(combined_tbl!$Q473*(1+combined_tbl!$Z473)-combined_tbl!$P473)*combined_tbl!$X473</f>
        <v>21.060000000000002</v>
      </c>
    </row>
    <row r="474" spans="1:28" x14ac:dyDescent="0.3">
      <c r="A474" s="19">
        <v>473</v>
      </c>
      <c r="B474" s="25" cm="1">
        <f t="array" aca="1" ref="B474" ca="1">MIN(IF($E:$E=E474,$H:$H))</f>
        <v>45148</v>
      </c>
      <c r="C474" s="25">
        <f t="shared" ca="1" si="76"/>
        <v>27</v>
      </c>
      <c r="D474" s="43">
        <f ca="1">COUNTIF(E:E,combined_tbl!$E474)</f>
        <v>3</v>
      </c>
      <c r="E474" s="29" t="str">
        <f t="shared" ca="1" si="82"/>
        <v>Customer036</v>
      </c>
      <c r="F474" s="29" t="str" cm="1">
        <f t="array" aca="1" ref="F474" ca="1">INDEX({"Male","Female"}, RANDBETWEEN(1,2))</f>
        <v>Female</v>
      </c>
      <c r="G474" s="29" t="str">
        <f t="shared" ca="1" si="75"/>
        <v>North</v>
      </c>
      <c r="H474" s="48">
        <f t="shared" ca="1" si="77"/>
        <v>45148</v>
      </c>
      <c r="I474" s="24">
        <f t="shared" ca="1" si="78"/>
        <v>10</v>
      </c>
      <c r="J474" s="46" t="str">
        <f t="shared" ca="1" si="83"/>
        <v>August</v>
      </c>
      <c r="K474" s="24">
        <f t="shared" ca="1" si="79"/>
        <v>2023</v>
      </c>
      <c r="L474" s="24" t="str">
        <f t="shared" ca="1" si="80"/>
        <v>Silver</v>
      </c>
      <c r="M474" s="29">
        <v>474</v>
      </c>
      <c r="N474" s="29" t="s">
        <v>831</v>
      </c>
      <c r="O474" s="29" t="s">
        <v>1332</v>
      </c>
      <c r="P474" s="30">
        <v>15</v>
      </c>
      <c r="Q474" s="30">
        <v>19.2</v>
      </c>
      <c r="R474" s="29">
        <v>474</v>
      </c>
      <c r="S474" s="24" t="str">
        <f t="shared" si="81"/>
        <v>Feb</v>
      </c>
      <c r="T474" s="47">
        <v>44974</v>
      </c>
      <c r="U474" s="29">
        <v>2</v>
      </c>
      <c r="V474" s="38">
        <v>157</v>
      </c>
      <c r="W474" s="29">
        <v>23</v>
      </c>
      <c r="X474" s="29">
        <v>1</v>
      </c>
      <c r="Y474" s="30">
        <f>combined_tbl!$Q474*(1-combined_tbl!$Z474)</f>
        <v>19.2</v>
      </c>
      <c r="Z474" s="31">
        <f>IF(combined_tbl!$Q474&gt;=500,0.2, IF(combined_tbl!$Q474&gt;=200,0.05, IF(combined_tbl!$X474&gt;=2,0.05,0)))</f>
        <v>0</v>
      </c>
      <c r="AA474" s="30">
        <f>combined_tbl!$Y474*combined_tbl!$X474</f>
        <v>19.2</v>
      </c>
      <c r="AB474" s="32">
        <f>(combined_tbl!$Q474*(1+combined_tbl!$Z474)-combined_tbl!$P474)*combined_tbl!$X474</f>
        <v>4.1999999999999993</v>
      </c>
    </row>
    <row r="475" spans="1:28" x14ac:dyDescent="0.3">
      <c r="A475" s="24">
        <v>474</v>
      </c>
      <c r="B475" s="25" cm="1">
        <f t="array" aca="1" ref="B475" ca="1">MIN(IF($E:$E=E475,$H:$H))</f>
        <v>45582</v>
      </c>
      <c r="C475" s="25">
        <f t="shared" ca="1" si="76"/>
        <v>13</v>
      </c>
      <c r="D475" s="42">
        <f ca="1">COUNTIF(E:E,combined_tbl!$E475)</f>
        <v>11</v>
      </c>
      <c r="E475" s="24" t="str">
        <f t="shared" ca="1" si="82"/>
        <v>Customer002</v>
      </c>
      <c r="F475" s="24" t="str" cm="1">
        <f t="array" aca="1" ref="F475" ca="1">INDEX({"Male","Female"}, RANDBETWEEN(1,2))</f>
        <v>Male</v>
      </c>
      <c r="G475" s="29" t="str">
        <f t="shared" ca="1" si="75"/>
        <v>East</v>
      </c>
      <c r="H475" s="48">
        <f t="shared" ca="1" si="77"/>
        <v>45582</v>
      </c>
      <c r="I475" s="24">
        <f t="shared" ca="1" si="78"/>
        <v>17</v>
      </c>
      <c r="J475" s="46" t="str">
        <f t="shared" ca="1" si="83"/>
        <v>October</v>
      </c>
      <c r="K475" s="24">
        <f t="shared" ca="1" si="79"/>
        <v>2024</v>
      </c>
      <c r="L475" s="24" t="str">
        <f t="shared" ca="1" si="80"/>
        <v>Silver</v>
      </c>
      <c r="M475" s="24">
        <v>475</v>
      </c>
      <c r="N475" s="24" t="s">
        <v>872</v>
      </c>
      <c r="O475" s="24" t="s">
        <v>1333</v>
      </c>
      <c r="P475" s="26">
        <v>104</v>
      </c>
      <c r="Q475" s="26">
        <v>136.24</v>
      </c>
      <c r="R475" s="24">
        <v>475</v>
      </c>
      <c r="S475" s="24" t="str">
        <f t="shared" si="81"/>
        <v>Mar</v>
      </c>
      <c r="T475" s="46">
        <v>45732</v>
      </c>
      <c r="U475" s="24">
        <v>8</v>
      </c>
      <c r="V475" s="37">
        <v>195</v>
      </c>
      <c r="W475" s="24">
        <v>45</v>
      </c>
      <c r="X475" s="24">
        <v>1</v>
      </c>
      <c r="Y475" s="26">
        <f>combined_tbl!$Q475*(1-combined_tbl!$Z475)</f>
        <v>136.24</v>
      </c>
      <c r="Z475" s="27">
        <f>IF(combined_tbl!$Q475&gt;=500,0.2, IF(combined_tbl!$Q475&gt;=200,0.05, IF(combined_tbl!$X475&gt;=2,0.05,0)))</f>
        <v>0</v>
      </c>
      <c r="AA475" s="26">
        <f>combined_tbl!$Y475*combined_tbl!$X475</f>
        <v>136.24</v>
      </c>
      <c r="AB475" s="28">
        <f>(combined_tbl!$Q475*(1+combined_tbl!$Z475)-combined_tbl!$P475)*combined_tbl!$X475</f>
        <v>32.240000000000009</v>
      </c>
    </row>
    <row r="476" spans="1:28" x14ac:dyDescent="0.3">
      <c r="A476" s="29">
        <v>475</v>
      </c>
      <c r="B476" s="25" cm="1">
        <f t="array" aca="1" ref="B476" ca="1">MIN(IF($E:$E=E476,$H:$H))</f>
        <v>45474</v>
      </c>
      <c r="C476" s="25">
        <f t="shared" ca="1" si="76"/>
        <v>17</v>
      </c>
      <c r="D476" s="43">
        <f ca="1">COUNTIF(E:E,combined_tbl!$E476)</f>
        <v>2</v>
      </c>
      <c r="E476" s="29" t="str">
        <f t="shared" ca="1" si="82"/>
        <v>Customer139</v>
      </c>
      <c r="F476" s="29" t="str" cm="1">
        <f t="array" aca="1" ref="F476" ca="1">INDEX({"Male","Female"}, RANDBETWEEN(1,2))</f>
        <v>Male</v>
      </c>
      <c r="G476" s="29">
        <f t="shared" ca="1" si="75"/>
        <v>0</v>
      </c>
      <c r="H476" s="48">
        <f t="shared" ca="1" si="77"/>
        <v>45474</v>
      </c>
      <c r="I476" s="24">
        <f t="shared" ca="1" si="78"/>
        <v>1</v>
      </c>
      <c r="J476" s="46" t="str">
        <f t="shared" ca="1" si="83"/>
        <v>July</v>
      </c>
      <c r="K476" s="24">
        <f t="shared" ca="1" si="79"/>
        <v>2024</v>
      </c>
      <c r="L476" s="24" t="str">
        <f t="shared" ca="1" si="80"/>
        <v>Bronze</v>
      </c>
      <c r="M476" s="29">
        <v>476</v>
      </c>
      <c r="N476" s="29" t="s">
        <v>872</v>
      </c>
      <c r="O476" s="29" t="s">
        <v>1334</v>
      </c>
      <c r="P476" s="30">
        <v>88</v>
      </c>
      <c r="Q476" s="30">
        <v>122.32000000000001</v>
      </c>
      <c r="R476" s="29">
        <v>476</v>
      </c>
      <c r="S476" s="24" t="str">
        <f t="shared" si="81"/>
        <v>May</v>
      </c>
      <c r="T476" s="47">
        <v>45420</v>
      </c>
      <c r="U476" s="29">
        <v>4</v>
      </c>
      <c r="V476" s="38">
        <v>208</v>
      </c>
      <c r="W476" s="29">
        <v>46</v>
      </c>
      <c r="X476" s="29">
        <v>1</v>
      </c>
      <c r="Y476" s="30">
        <f>combined_tbl!$Q476*(1-combined_tbl!$Z476)</f>
        <v>122.32000000000001</v>
      </c>
      <c r="Z476" s="31">
        <f>IF(combined_tbl!$Q476&gt;=500,0.2, IF(combined_tbl!$Q476&gt;=200,0.05, IF(combined_tbl!$X476&gt;=2,0.05,0)))</f>
        <v>0</v>
      </c>
      <c r="AA476" s="30">
        <f>combined_tbl!$Y476*combined_tbl!$X476</f>
        <v>122.32000000000001</v>
      </c>
      <c r="AB476" s="32">
        <f>(combined_tbl!$Q476*(1+combined_tbl!$Z476)-combined_tbl!$P476)*combined_tbl!$X476</f>
        <v>34.320000000000007</v>
      </c>
    </row>
    <row r="477" spans="1:28" x14ac:dyDescent="0.3">
      <c r="A477" s="29">
        <v>476</v>
      </c>
      <c r="B477" s="25" cm="1">
        <f t="array" aca="1" ref="B477" ca="1">MIN(IF($E:$E=E477,$H:$H))</f>
        <v>45027</v>
      </c>
      <c r="C477" s="25">
        <f t="shared" ca="1" si="76"/>
        <v>31</v>
      </c>
      <c r="D477" s="42">
        <f ca="1">COUNTIF(E:E,combined_tbl!$E477)</f>
        <v>4</v>
      </c>
      <c r="E477" s="24" t="str">
        <f t="shared" ca="1" si="82"/>
        <v>Customer027</v>
      </c>
      <c r="F477" s="24" t="str" cm="1">
        <f t="array" aca="1" ref="F477" ca="1">INDEX({"Male","Female"}, RANDBETWEEN(1,2))</f>
        <v>Male</v>
      </c>
      <c r="G477" s="29" t="str">
        <f t="shared" ca="1" si="75"/>
        <v>East</v>
      </c>
      <c r="H477" s="48">
        <f t="shared" ca="1" si="77"/>
        <v>45027</v>
      </c>
      <c r="I477" s="24">
        <f t="shared" ca="1" si="78"/>
        <v>11</v>
      </c>
      <c r="J477" s="46" t="str">
        <f t="shared" ca="1" si="83"/>
        <v>April</v>
      </c>
      <c r="K477" s="24">
        <f t="shared" ca="1" si="79"/>
        <v>2023</v>
      </c>
      <c r="L477" s="24" t="str">
        <f t="shared" ca="1" si="80"/>
        <v>Silver</v>
      </c>
      <c r="M477" s="24">
        <v>477</v>
      </c>
      <c r="N477" s="24" t="s">
        <v>1359</v>
      </c>
      <c r="O477" s="24" t="s">
        <v>1335</v>
      </c>
      <c r="P477" s="26">
        <v>307</v>
      </c>
      <c r="Q477" s="26">
        <v>426.73</v>
      </c>
      <c r="R477" s="24">
        <v>477</v>
      </c>
      <c r="S477" s="24" t="str">
        <f t="shared" si="81"/>
        <v>Dec</v>
      </c>
      <c r="T477" s="46">
        <v>45649</v>
      </c>
      <c r="U477" s="24">
        <v>1</v>
      </c>
      <c r="V477" s="37">
        <v>78</v>
      </c>
      <c r="W477" s="24">
        <v>30</v>
      </c>
      <c r="X477" s="24">
        <v>1</v>
      </c>
      <c r="Y477" s="26">
        <f>combined_tbl!$Q477*(1-combined_tbl!$Z477)</f>
        <v>405.39350000000002</v>
      </c>
      <c r="Z477" s="27">
        <f>IF(combined_tbl!$Q477&gt;=500,0.2, IF(combined_tbl!$Q477&gt;=200,0.05, IF(combined_tbl!$X477&gt;=2,0.05,0)))</f>
        <v>0.05</v>
      </c>
      <c r="AA477" s="26">
        <f>combined_tbl!$Y477*combined_tbl!$X477</f>
        <v>405.39350000000002</v>
      </c>
      <c r="AB477" s="28">
        <f>(combined_tbl!$Q477*(1+combined_tbl!$Z477)-combined_tbl!$P477)*combined_tbl!$X477</f>
        <v>141.06650000000002</v>
      </c>
    </row>
    <row r="478" spans="1:28" x14ac:dyDescent="0.3">
      <c r="A478" s="29">
        <v>477</v>
      </c>
      <c r="B478" s="25" cm="1">
        <f t="array" aca="1" ref="B478" ca="1">MIN(IF($E:$E=E478,$H:$H))</f>
        <v>45812</v>
      </c>
      <c r="C478" s="25">
        <f t="shared" ca="1" si="76"/>
        <v>6</v>
      </c>
      <c r="D478" s="43">
        <f ca="1">COUNTIF(E:E,combined_tbl!$E478)</f>
        <v>10</v>
      </c>
      <c r="E478" s="29" t="str">
        <f t="shared" ca="1" si="82"/>
        <v>Customer026</v>
      </c>
      <c r="F478" s="29" t="str" cm="1">
        <f t="array" aca="1" ref="F478" ca="1">INDEX({"Male","Female"}, RANDBETWEEN(1,2))</f>
        <v>Male</v>
      </c>
      <c r="G478" s="29" t="str">
        <f t="shared" ca="1" si="75"/>
        <v>North</v>
      </c>
      <c r="H478" s="48">
        <f t="shared" ca="1" si="77"/>
        <v>45812</v>
      </c>
      <c r="I478" s="24">
        <f t="shared" ca="1" si="78"/>
        <v>4</v>
      </c>
      <c r="J478" s="46" t="str">
        <f t="shared" ca="1" si="83"/>
        <v>June</v>
      </c>
      <c r="K478" s="24">
        <f t="shared" ca="1" si="79"/>
        <v>2025</v>
      </c>
      <c r="L478" s="24" t="str">
        <f t="shared" ca="1" si="80"/>
        <v>Bronze</v>
      </c>
      <c r="M478" s="29">
        <v>478</v>
      </c>
      <c r="N478" s="29" t="s">
        <v>1359</v>
      </c>
      <c r="O478" s="29" t="s">
        <v>1336</v>
      </c>
      <c r="P478" s="30">
        <v>630</v>
      </c>
      <c r="Q478" s="30">
        <v>693</v>
      </c>
      <c r="R478" s="29">
        <v>478</v>
      </c>
      <c r="S478" s="24" t="str">
        <f t="shared" si="81"/>
        <v>Apr</v>
      </c>
      <c r="T478" s="47">
        <v>45030</v>
      </c>
      <c r="U478" s="29">
        <v>5</v>
      </c>
      <c r="V478" s="38">
        <v>175</v>
      </c>
      <c r="W478" s="29">
        <v>39</v>
      </c>
      <c r="X478" s="29">
        <v>1</v>
      </c>
      <c r="Y478" s="30">
        <f>combined_tbl!$Q478*(1-combined_tbl!$Z478)</f>
        <v>554.4</v>
      </c>
      <c r="Z478" s="31">
        <f>IF(combined_tbl!$Q478&gt;=500,0.2, IF(combined_tbl!$Q478&gt;=200,0.05, IF(combined_tbl!$X478&gt;=2,0.05,0)))</f>
        <v>0.2</v>
      </c>
      <c r="AA478" s="30">
        <f>combined_tbl!$Y478*combined_tbl!$X478</f>
        <v>554.4</v>
      </c>
      <c r="AB478" s="32">
        <f>(combined_tbl!$Q478*(1+combined_tbl!$Z478)-combined_tbl!$P478)*combined_tbl!$X478</f>
        <v>201.60000000000002</v>
      </c>
    </row>
    <row r="479" spans="1:28" x14ac:dyDescent="0.3">
      <c r="A479" s="29">
        <v>478</v>
      </c>
      <c r="B479" s="25" cm="1">
        <f t="array" aca="1" ref="B479" ca="1">MIN(IF($E:$E=E479,$H:$H))</f>
        <v>45537</v>
      </c>
      <c r="C479" s="25">
        <f t="shared" ca="1" si="76"/>
        <v>15</v>
      </c>
      <c r="D479" s="42">
        <f ca="1">COUNTIF(E:E,combined_tbl!$E479)</f>
        <v>5</v>
      </c>
      <c r="E479" s="24" t="str">
        <f t="shared" ca="1" si="82"/>
        <v>Customer073</v>
      </c>
      <c r="F479" s="24" t="str" cm="1">
        <f t="array" aca="1" ref="F479" ca="1">INDEX({"Male","Female"}, RANDBETWEEN(1,2))</f>
        <v>Female</v>
      </c>
      <c r="G479" s="29" t="str">
        <f t="shared" ca="1" si="75"/>
        <v>East</v>
      </c>
      <c r="H479" s="48">
        <f t="shared" ca="1" si="77"/>
        <v>45537</v>
      </c>
      <c r="I479" s="24">
        <f t="shared" ca="1" si="78"/>
        <v>2</v>
      </c>
      <c r="J479" s="46" t="str">
        <f t="shared" ca="1" si="83"/>
        <v>September</v>
      </c>
      <c r="K479" s="24">
        <f t="shared" ca="1" si="79"/>
        <v>2024</v>
      </c>
      <c r="L479" s="24" t="str">
        <f t="shared" ca="1" si="80"/>
        <v>Silver</v>
      </c>
      <c r="M479" s="24">
        <v>479</v>
      </c>
      <c r="N479" s="24" t="s">
        <v>954</v>
      </c>
      <c r="O479" s="24" t="s">
        <v>1337</v>
      </c>
      <c r="P479" s="26">
        <v>118</v>
      </c>
      <c r="Q479" s="26">
        <v>175.82</v>
      </c>
      <c r="R479" s="24">
        <v>479</v>
      </c>
      <c r="S479" s="24" t="str">
        <f t="shared" si="81"/>
        <v>Oct</v>
      </c>
      <c r="T479" s="46">
        <v>45940</v>
      </c>
      <c r="U479" s="24">
        <v>8</v>
      </c>
      <c r="V479" s="37">
        <v>76</v>
      </c>
      <c r="W479" s="24">
        <v>60</v>
      </c>
      <c r="X479" s="24">
        <v>3</v>
      </c>
      <c r="Y479" s="26">
        <f>combined_tbl!$Q479*(1-combined_tbl!$Z479)</f>
        <v>167.029</v>
      </c>
      <c r="Z479" s="27">
        <f>IF(combined_tbl!$Q479&gt;=500,0.2, IF(combined_tbl!$Q479&gt;=200,0.05, IF(combined_tbl!$X479&gt;=2,0.05,0)))</f>
        <v>0.05</v>
      </c>
      <c r="AA479" s="26">
        <f>combined_tbl!$Y479*combined_tbl!$X479</f>
        <v>501.08699999999999</v>
      </c>
      <c r="AB479" s="28">
        <f>(combined_tbl!$Q479*(1+combined_tbl!$Z479)-combined_tbl!$P479)*combined_tbl!$X479</f>
        <v>199.83299999999997</v>
      </c>
    </row>
    <row r="480" spans="1:28" x14ac:dyDescent="0.3">
      <c r="A480" s="29">
        <v>479</v>
      </c>
      <c r="B480" s="25" cm="1">
        <f t="array" aca="1" ref="B480" ca="1">MIN(IF($E:$E=E480,$H:$H))</f>
        <v>45761</v>
      </c>
      <c r="C480" s="25">
        <f t="shared" ca="1" si="76"/>
        <v>7</v>
      </c>
      <c r="D480" s="43">
        <f ca="1">COUNTIF(E:E,combined_tbl!$E480)</f>
        <v>7</v>
      </c>
      <c r="E480" s="29" t="str">
        <f t="shared" ca="1" si="82"/>
        <v>Customer009</v>
      </c>
      <c r="F480" s="29" t="str" cm="1">
        <f t="array" aca="1" ref="F480" ca="1">INDEX({"Male","Female"}, RANDBETWEEN(1,2))</f>
        <v>Male</v>
      </c>
      <c r="G480" s="29" t="str">
        <f t="shared" ca="1" si="75"/>
        <v>East</v>
      </c>
      <c r="H480" s="48">
        <f t="shared" ca="1" si="77"/>
        <v>45761</v>
      </c>
      <c r="I480" s="24">
        <f t="shared" ca="1" si="78"/>
        <v>14</v>
      </c>
      <c r="J480" s="46" t="str">
        <f t="shared" ca="1" si="83"/>
        <v>April</v>
      </c>
      <c r="K480" s="24">
        <f t="shared" ca="1" si="79"/>
        <v>2025</v>
      </c>
      <c r="L480" s="24" t="str">
        <f t="shared" ca="1" si="80"/>
        <v>Bronze</v>
      </c>
      <c r="M480" s="29">
        <v>480</v>
      </c>
      <c r="N480" s="29" t="s">
        <v>847</v>
      </c>
      <c r="O480" s="29" t="s">
        <v>1338</v>
      </c>
      <c r="P480" s="30">
        <v>90</v>
      </c>
      <c r="Q480" s="30">
        <v>109.8</v>
      </c>
      <c r="R480" s="29">
        <v>480</v>
      </c>
      <c r="S480" s="24" t="str">
        <f t="shared" si="81"/>
        <v>Aug</v>
      </c>
      <c r="T480" s="47">
        <v>45512</v>
      </c>
      <c r="U480" s="29">
        <v>1</v>
      </c>
      <c r="V480" s="38">
        <v>138</v>
      </c>
      <c r="W480" s="29">
        <v>88</v>
      </c>
      <c r="X480" s="29">
        <v>1</v>
      </c>
      <c r="Y480" s="30">
        <f>combined_tbl!$Q480*(1-combined_tbl!$Z480)</f>
        <v>109.8</v>
      </c>
      <c r="Z480" s="31">
        <f>IF(combined_tbl!$Q480&gt;=500,0.2, IF(combined_tbl!$Q480&gt;=200,0.05, IF(combined_tbl!$X480&gt;=2,0.05,0)))</f>
        <v>0</v>
      </c>
      <c r="AA480" s="30">
        <f>combined_tbl!$Y480*combined_tbl!$X480</f>
        <v>109.8</v>
      </c>
      <c r="AB480" s="32">
        <f>(combined_tbl!$Q480*(1+combined_tbl!$Z480)-combined_tbl!$P480)*combined_tbl!$X480</f>
        <v>19.799999999999997</v>
      </c>
    </row>
    <row r="481" spans="1:28" x14ac:dyDescent="0.3">
      <c r="A481" s="29">
        <v>480</v>
      </c>
      <c r="B481" s="25" cm="1">
        <f t="array" aca="1" ref="B481" ca="1">MIN(IF($E:$E=E481,$H:$H))</f>
        <v>45400</v>
      </c>
      <c r="C481" s="25">
        <f t="shared" ca="1" si="76"/>
        <v>19</v>
      </c>
      <c r="D481" s="42">
        <f ca="1">COUNTIF(E:E,combined_tbl!$E481)</f>
        <v>8</v>
      </c>
      <c r="E481" s="24" t="str">
        <f t="shared" ca="1" si="82"/>
        <v>Customer030</v>
      </c>
      <c r="F481" s="24" t="str" cm="1">
        <f t="array" aca="1" ref="F481" ca="1">INDEX({"Male","Female"}, RANDBETWEEN(1,2))</f>
        <v>Male</v>
      </c>
      <c r="G481" s="29" t="str">
        <f t="shared" ca="1" si="75"/>
        <v>South</v>
      </c>
      <c r="H481" s="48">
        <f t="shared" ca="1" si="77"/>
        <v>45400</v>
      </c>
      <c r="I481" s="24">
        <f t="shared" ca="1" si="78"/>
        <v>18</v>
      </c>
      <c r="J481" s="46" t="str">
        <f t="shared" ca="1" si="83"/>
        <v>April</v>
      </c>
      <c r="K481" s="24">
        <f t="shared" ca="1" si="79"/>
        <v>2024</v>
      </c>
      <c r="L481" s="24" t="str">
        <f t="shared" ca="1" si="80"/>
        <v>Gold</v>
      </c>
      <c r="M481" s="24">
        <v>481</v>
      </c>
      <c r="N481" s="24" t="s">
        <v>957</v>
      </c>
      <c r="O481" s="24" t="s">
        <v>1339</v>
      </c>
      <c r="P481" s="26">
        <v>175</v>
      </c>
      <c r="Q481" s="26">
        <v>244.99999999999997</v>
      </c>
      <c r="R481" s="24">
        <v>481</v>
      </c>
      <c r="S481" s="24" t="str">
        <f t="shared" si="81"/>
        <v>Aug</v>
      </c>
      <c r="T481" s="46">
        <v>45147</v>
      </c>
      <c r="U481" s="24">
        <v>7</v>
      </c>
      <c r="V481" s="37">
        <v>152</v>
      </c>
      <c r="W481" s="24">
        <v>27</v>
      </c>
      <c r="X481" s="24">
        <v>2</v>
      </c>
      <c r="Y481" s="26">
        <f>combined_tbl!$Q481*(1-combined_tbl!$Z481)</f>
        <v>232.74999999999997</v>
      </c>
      <c r="Z481" s="27">
        <f>IF(combined_tbl!$Q481&gt;=500,0.2, IF(combined_tbl!$Q481&gt;=200,0.05, IF(combined_tbl!$X481&gt;=2,0.05,0)))</f>
        <v>0.05</v>
      </c>
      <c r="AA481" s="26">
        <f>combined_tbl!$Y481*combined_tbl!$X481</f>
        <v>465.49999999999994</v>
      </c>
      <c r="AB481" s="28">
        <f>(combined_tbl!$Q481*(1+combined_tbl!$Z481)-combined_tbl!$P481)*combined_tbl!$X481</f>
        <v>164.5</v>
      </c>
    </row>
    <row r="482" spans="1:28" x14ac:dyDescent="0.3">
      <c r="A482" s="19">
        <v>481</v>
      </c>
      <c r="B482" s="25" cm="1">
        <f t="array" aca="1" ref="B482" ca="1">MIN(IF($E:$E=E482,$H:$H))</f>
        <v>44966</v>
      </c>
      <c r="C482" s="25">
        <f t="shared" ca="1" si="76"/>
        <v>33</v>
      </c>
      <c r="D482" s="43">
        <f ca="1">COUNTIF(E:E,combined_tbl!$E482)</f>
        <v>5</v>
      </c>
      <c r="E482" s="29" t="str">
        <f t="shared" ca="1" si="82"/>
        <v>Customer091</v>
      </c>
      <c r="F482" s="29" t="str" cm="1">
        <f t="array" aca="1" ref="F482" ca="1">INDEX({"Male","Female"}, RANDBETWEEN(1,2))</f>
        <v>Male</v>
      </c>
      <c r="G482" s="29" t="str">
        <f t="shared" ca="1" si="75"/>
        <v>East</v>
      </c>
      <c r="H482" s="48">
        <f t="shared" ca="1" si="77"/>
        <v>44966</v>
      </c>
      <c r="I482" s="24">
        <f t="shared" ca="1" si="78"/>
        <v>9</v>
      </c>
      <c r="J482" s="46" t="str">
        <f t="shared" ca="1" si="83"/>
        <v>February</v>
      </c>
      <c r="K482" s="24">
        <f t="shared" ca="1" si="79"/>
        <v>2023</v>
      </c>
      <c r="L482" s="24" t="str">
        <f t="shared" ca="1" si="80"/>
        <v>Silver</v>
      </c>
      <c r="M482" s="29">
        <v>482</v>
      </c>
      <c r="N482" s="29" t="s">
        <v>957</v>
      </c>
      <c r="O482" s="29" t="s">
        <v>1340</v>
      </c>
      <c r="P482" s="30">
        <v>48</v>
      </c>
      <c r="Q482" s="30">
        <v>58.56</v>
      </c>
      <c r="R482" s="29">
        <v>482</v>
      </c>
      <c r="S482" s="24" t="str">
        <f t="shared" si="81"/>
        <v>Oct</v>
      </c>
      <c r="T482" s="47">
        <v>45201</v>
      </c>
      <c r="U482" s="29">
        <v>5</v>
      </c>
      <c r="V482" s="38">
        <v>97</v>
      </c>
      <c r="W482" s="29">
        <v>42</v>
      </c>
      <c r="X482" s="29">
        <v>1</v>
      </c>
      <c r="Y482" s="30">
        <f>combined_tbl!$Q482*(1-combined_tbl!$Z482)</f>
        <v>58.56</v>
      </c>
      <c r="Z482" s="31">
        <f>IF(combined_tbl!$Q482&gt;=500,0.2, IF(combined_tbl!$Q482&gt;=200,0.05, IF(combined_tbl!$X482&gt;=2,0.05,0)))</f>
        <v>0</v>
      </c>
      <c r="AA482" s="30">
        <f>combined_tbl!$Y482*combined_tbl!$X482</f>
        <v>58.56</v>
      </c>
      <c r="AB482" s="32">
        <f>(combined_tbl!$Q482*(1+combined_tbl!$Z482)-combined_tbl!$P482)*combined_tbl!$X482</f>
        <v>10.560000000000002</v>
      </c>
    </row>
    <row r="483" spans="1:28" x14ac:dyDescent="0.3">
      <c r="A483" s="24">
        <v>482</v>
      </c>
      <c r="B483" s="25" cm="1">
        <f t="array" aca="1" ref="B483" ca="1">MIN(IF($E:$E=E483,$H:$H))</f>
        <v>45991</v>
      </c>
      <c r="C483" s="25">
        <f t="shared" ca="1" si="76"/>
        <v>0</v>
      </c>
      <c r="D483" s="42">
        <f ca="1">COUNTIF(E:E,combined_tbl!$E483)</f>
        <v>9</v>
      </c>
      <c r="E483" s="24" t="str">
        <f t="shared" ca="1" si="82"/>
        <v>Customer029</v>
      </c>
      <c r="F483" s="24" t="str" cm="1">
        <f t="array" aca="1" ref="F483" ca="1">INDEX({"Male","Female"}, RANDBETWEEN(1,2))</f>
        <v>Female</v>
      </c>
      <c r="G483" s="29" t="str">
        <f t="shared" ca="1" si="75"/>
        <v>East</v>
      </c>
      <c r="H483" s="48">
        <f t="shared" ca="1" si="77"/>
        <v>45991</v>
      </c>
      <c r="I483" s="24">
        <f t="shared" ca="1" si="78"/>
        <v>30</v>
      </c>
      <c r="J483" s="46" t="str">
        <f t="shared" ca="1" si="83"/>
        <v>November</v>
      </c>
      <c r="K483" s="24">
        <f t="shared" ca="1" si="79"/>
        <v>2025</v>
      </c>
      <c r="L483" s="24" t="str">
        <f t="shared" ca="1" si="80"/>
        <v>Bronze</v>
      </c>
      <c r="M483" s="24">
        <v>483</v>
      </c>
      <c r="N483" s="24" t="s">
        <v>847</v>
      </c>
      <c r="O483" s="24" t="s">
        <v>1341</v>
      </c>
      <c r="P483" s="26">
        <v>121</v>
      </c>
      <c r="Q483" s="26">
        <v>175.45</v>
      </c>
      <c r="R483" s="24">
        <v>483</v>
      </c>
      <c r="S483" s="24" t="str">
        <f t="shared" si="81"/>
        <v>Jan</v>
      </c>
      <c r="T483" s="46">
        <v>45676</v>
      </c>
      <c r="U483" s="24">
        <v>7</v>
      </c>
      <c r="V483" s="37">
        <v>186</v>
      </c>
      <c r="W483" s="24">
        <v>19</v>
      </c>
      <c r="X483" s="24">
        <v>1</v>
      </c>
      <c r="Y483" s="26">
        <f>combined_tbl!$Q483*(1-combined_tbl!$Z483)</f>
        <v>175.45</v>
      </c>
      <c r="Z483" s="27">
        <f>IF(combined_tbl!$Q483&gt;=500,0.2, IF(combined_tbl!$Q483&gt;=200,0.05, IF(combined_tbl!$X483&gt;=2,0.05,0)))</f>
        <v>0</v>
      </c>
      <c r="AA483" s="26">
        <f>combined_tbl!$Y483*combined_tbl!$X483</f>
        <v>175.45</v>
      </c>
      <c r="AB483" s="28">
        <f>(combined_tbl!$Q483*(1+combined_tbl!$Z483)-combined_tbl!$P483)*combined_tbl!$X483</f>
        <v>54.449999999999989</v>
      </c>
    </row>
    <row r="484" spans="1:28" x14ac:dyDescent="0.3">
      <c r="A484" s="29">
        <v>483</v>
      </c>
      <c r="B484" s="25" cm="1">
        <f t="array" aca="1" ref="B484" ca="1">MIN(IF($E:$E=E484,$H:$H))</f>
        <v>45826</v>
      </c>
      <c r="C484" s="25">
        <f t="shared" ca="1" si="76"/>
        <v>5</v>
      </c>
      <c r="D484" s="43">
        <f ca="1">COUNTIF(E:E,combined_tbl!$E484)</f>
        <v>7</v>
      </c>
      <c r="E484" s="29" t="str">
        <f t="shared" ca="1" si="82"/>
        <v>Customer049</v>
      </c>
      <c r="F484" s="29" t="str" cm="1">
        <f t="array" aca="1" ref="F484" ca="1">INDEX({"Male","Female"}, RANDBETWEEN(1,2))</f>
        <v>Female</v>
      </c>
      <c r="G484" s="29" t="str">
        <f t="shared" ca="1" si="75"/>
        <v>West</v>
      </c>
      <c r="H484" s="48">
        <f t="shared" ca="1" si="77"/>
        <v>45826</v>
      </c>
      <c r="I484" s="24">
        <f t="shared" ca="1" si="78"/>
        <v>18</v>
      </c>
      <c r="J484" s="46" t="str">
        <f t="shared" ca="1" si="83"/>
        <v>June</v>
      </c>
      <c r="K484" s="24">
        <f t="shared" ca="1" si="79"/>
        <v>2025</v>
      </c>
      <c r="L484" s="24" t="str">
        <f t="shared" ca="1" si="80"/>
        <v>Bronze</v>
      </c>
      <c r="M484" s="29">
        <v>484</v>
      </c>
      <c r="N484" s="29" t="s">
        <v>837</v>
      </c>
      <c r="O484" s="29" t="s">
        <v>1342</v>
      </c>
      <c r="P484" s="30">
        <v>125</v>
      </c>
      <c r="Q484" s="30">
        <v>140</v>
      </c>
      <c r="R484" s="29">
        <v>484</v>
      </c>
      <c r="S484" s="24" t="str">
        <f t="shared" si="81"/>
        <v>Jan</v>
      </c>
      <c r="T484" s="47">
        <v>45676</v>
      </c>
      <c r="U484" s="29">
        <v>1</v>
      </c>
      <c r="V484" s="38">
        <v>175</v>
      </c>
      <c r="W484" s="29">
        <v>80</v>
      </c>
      <c r="X484" s="29">
        <v>1</v>
      </c>
      <c r="Y484" s="30">
        <f>combined_tbl!$Q484*(1-combined_tbl!$Z484)</f>
        <v>140</v>
      </c>
      <c r="Z484" s="31">
        <f>IF(combined_tbl!$Q484&gt;=500,0.2, IF(combined_tbl!$Q484&gt;=200,0.05, IF(combined_tbl!$X484&gt;=2,0.05,0)))</f>
        <v>0</v>
      </c>
      <c r="AA484" s="30">
        <f>combined_tbl!$Y484*combined_tbl!$X484</f>
        <v>140</v>
      </c>
      <c r="AB484" s="32">
        <f>(combined_tbl!$Q484*(1+combined_tbl!$Z484)-combined_tbl!$P484)*combined_tbl!$X484</f>
        <v>15</v>
      </c>
    </row>
    <row r="485" spans="1:28" x14ac:dyDescent="0.3">
      <c r="A485" s="29">
        <v>484</v>
      </c>
      <c r="B485" s="25" cm="1">
        <f t="array" aca="1" ref="B485" ca="1">MIN(IF($E:$E=E485,$H:$H))</f>
        <v>45148</v>
      </c>
      <c r="C485" s="25">
        <f t="shared" ca="1" si="76"/>
        <v>27</v>
      </c>
      <c r="D485" s="42">
        <f ca="1">COUNTIF(E:E,combined_tbl!$E485)</f>
        <v>3</v>
      </c>
      <c r="E485" s="24" t="str">
        <f t="shared" ca="1" si="82"/>
        <v>Customer036</v>
      </c>
      <c r="F485" s="24" t="str" cm="1">
        <f t="array" aca="1" ref="F485" ca="1">INDEX({"Male","Female"}, RANDBETWEEN(1,2))</f>
        <v>Female</v>
      </c>
      <c r="G485" s="29" t="str">
        <f t="shared" ca="1" si="75"/>
        <v>North</v>
      </c>
      <c r="H485" s="48">
        <f t="shared" ca="1" si="77"/>
        <v>45148</v>
      </c>
      <c r="I485" s="24">
        <f t="shared" ca="1" si="78"/>
        <v>10</v>
      </c>
      <c r="J485" s="46" t="str">
        <f t="shared" ca="1" si="83"/>
        <v>August</v>
      </c>
      <c r="K485" s="24">
        <f t="shared" ca="1" si="79"/>
        <v>2023</v>
      </c>
      <c r="L485" s="24" t="str">
        <f t="shared" ca="1" si="80"/>
        <v>Silver</v>
      </c>
      <c r="M485" s="24">
        <v>485</v>
      </c>
      <c r="N485" s="24" t="s">
        <v>957</v>
      </c>
      <c r="O485" s="24" t="s">
        <v>1343</v>
      </c>
      <c r="P485" s="26">
        <v>191</v>
      </c>
      <c r="Q485" s="26">
        <v>265.49</v>
      </c>
      <c r="R485" s="24">
        <v>485</v>
      </c>
      <c r="S485" s="24" t="str">
        <f t="shared" si="81"/>
        <v>Mar</v>
      </c>
      <c r="T485" s="46">
        <v>45747</v>
      </c>
      <c r="U485" s="24">
        <v>1</v>
      </c>
      <c r="V485" s="37">
        <v>172</v>
      </c>
      <c r="W485" s="24">
        <v>21</v>
      </c>
      <c r="X485" s="24">
        <v>1</v>
      </c>
      <c r="Y485" s="26">
        <f>combined_tbl!$Q485*(1-combined_tbl!$Z485)</f>
        <v>252.21549999999999</v>
      </c>
      <c r="Z485" s="27">
        <f>IF(combined_tbl!$Q485&gt;=500,0.2, IF(combined_tbl!$Q485&gt;=200,0.05, IF(combined_tbl!$X485&gt;=2,0.05,0)))</f>
        <v>0.05</v>
      </c>
      <c r="AA485" s="26">
        <f>combined_tbl!$Y485*combined_tbl!$X485</f>
        <v>252.21549999999999</v>
      </c>
      <c r="AB485" s="28">
        <f>(combined_tbl!$Q485*(1+combined_tbl!$Z485)-combined_tbl!$P485)*combined_tbl!$X485</f>
        <v>87.764499999999998</v>
      </c>
    </row>
    <row r="486" spans="1:28" x14ac:dyDescent="0.3">
      <c r="A486" s="29">
        <v>485</v>
      </c>
      <c r="B486" s="25" cm="1">
        <f t="array" aca="1" ref="B486" ca="1">MIN(IF($E:$E=E486,$H:$H))</f>
        <v>45826</v>
      </c>
      <c r="C486" s="25">
        <f t="shared" ca="1" si="76"/>
        <v>5</v>
      </c>
      <c r="D486" s="43">
        <f ca="1">COUNTIF(E:E,combined_tbl!$E486)</f>
        <v>7</v>
      </c>
      <c r="E486" s="29" t="str">
        <f t="shared" ca="1" si="82"/>
        <v>Customer049</v>
      </c>
      <c r="F486" s="29" t="str" cm="1">
        <f t="array" aca="1" ref="F486" ca="1">INDEX({"Male","Female"}, RANDBETWEEN(1,2))</f>
        <v>Female</v>
      </c>
      <c r="G486" s="29" t="str">
        <f t="shared" ca="1" si="75"/>
        <v>West</v>
      </c>
      <c r="H486" s="48">
        <f t="shared" ca="1" si="77"/>
        <v>45826</v>
      </c>
      <c r="I486" s="24">
        <f t="shared" ca="1" si="78"/>
        <v>18</v>
      </c>
      <c r="J486" s="46" t="str">
        <f t="shared" ca="1" si="83"/>
        <v>June</v>
      </c>
      <c r="K486" s="24">
        <f t="shared" ca="1" si="79"/>
        <v>2025</v>
      </c>
      <c r="L486" s="24" t="str">
        <f t="shared" ca="1" si="80"/>
        <v>Bronze</v>
      </c>
      <c r="M486" s="29">
        <v>486</v>
      </c>
      <c r="N486" s="29" t="s">
        <v>955</v>
      </c>
      <c r="O486" s="29" t="s">
        <v>1344</v>
      </c>
      <c r="P486" s="30">
        <v>491</v>
      </c>
      <c r="Q486" s="30">
        <v>584.29</v>
      </c>
      <c r="R486" s="29">
        <v>486</v>
      </c>
      <c r="S486" s="24" t="str">
        <f t="shared" si="81"/>
        <v>Feb</v>
      </c>
      <c r="T486" s="47">
        <v>45325</v>
      </c>
      <c r="U486" s="29">
        <v>6</v>
      </c>
      <c r="V486" s="38">
        <v>83</v>
      </c>
      <c r="W486" s="29">
        <v>39</v>
      </c>
      <c r="X486" s="29">
        <v>1</v>
      </c>
      <c r="Y486" s="30">
        <f>combined_tbl!$Q486*(1-combined_tbl!$Z486)</f>
        <v>467.43200000000002</v>
      </c>
      <c r="Z486" s="31">
        <f>IF(combined_tbl!$Q486&gt;=500,0.2, IF(combined_tbl!$Q486&gt;=200,0.05, IF(combined_tbl!$X486&gt;=2,0.05,0)))</f>
        <v>0.2</v>
      </c>
      <c r="AA486" s="30">
        <f>combined_tbl!$Y486*combined_tbl!$X486</f>
        <v>467.43200000000002</v>
      </c>
      <c r="AB486" s="32">
        <f>(combined_tbl!$Q486*(1+combined_tbl!$Z486)-combined_tbl!$P486)*combined_tbl!$X486</f>
        <v>210.14799999999991</v>
      </c>
    </row>
    <row r="487" spans="1:28" x14ac:dyDescent="0.3">
      <c r="A487" s="29">
        <v>486</v>
      </c>
      <c r="B487" s="25" cm="1">
        <f t="array" aca="1" ref="B487" ca="1">MIN(IF($E:$E=E487,$H:$H))</f>
        <v>45433</v>
      </c>
      <c r="C487" s="25">
        <f t="shared" ca="1" si="76"/>
        <v>18</v>
      </c>
      <c r="D487" s="42">
        <f ca="1">COUNTIF(E:E,combined_tbl!$E487)</f>
        <v>6</v>
      </c>
      <c r="E487" s="24" t="str">
        <f t="shared" ca="1" si="82"/>
        <v>Customer066</v>
      </c>
      <c r="F487" s="24" t="str" cm="1">
        <f t="array" aca="1" ref="F487" ca="1">INDEX({"Male","Female"}, RANDBETWEEN(1,2))</f>
        <v>Male</v>
      </c>
      <c r="G487" s="29" t="str">
        <f t="shared" ca="1" si="75"/>
        <v>West</v>
      </c>
      <c r="H487" s="48">
        <f t="shared" ca="1" si="77"/>
        <v>45433</v>
      </c>
      <c r="I487" s="24">
        <f t="shared" ca="1" si="78"/>
        <v>21</v>
      </c>
      <c r="J487" s="46" t="str">
        <f t="shared" ca="1" si="83"/>
        <v>May</v>
      </c>
      <c r="K487" s="24">
        <f t="shared" ca="1" si="79"/>
        <v>2024</v>
      </c>
      <c r="L487" s="24" t="str">
        <f t="shared" ca="1" si="80"/>
        <v>Silver</v>
      </c>
      <c r="M487" s="24">
        <v>487</v>
      </c>
      <c r="N487" s="24" t="s">
        <v>851</v>
      </c>
      <c r="O487" s="24" t="s">
        <v>1345</v>
      </c>
      <c r="P487" s="26">
        <v>179</v>
      </c>
      <c r="Q487" s="26">
        <v>236.28</v>
      </c>
      <c r="R487" s="24">
        <v>487</v>
      </c>
      <c r="S487" s="24" t="str">
        <f t="shared" si="81"/>
        <v>Aug</v>
      </c>
      <c r="T487" s="46">
        <v>45518</v>
      </c>
      <c r="U487" s="24">
        <v>2</v>
      </c>
      <c r="V487" s="37">
        <v>35</v>
      </c>
      <c r="W487" s="24">
        <v>57</v>
      </c>
      <c r="X487" s="24">
        <v>1</v>
      </c>
      <c r="Y487" s="26">
        <f>combined_tbl!$Q487*(1-combined_tbl!$Z487)</f>
        <v>224.46599999999998</v>
      </c>
      <c r="Z487" s="27">
        <f>IF(combined_tbl!$Q487&gt;=500,0.2, IF(combined_tbl!$Q487&gt;=200,0.05, IF(combined_tbl!$X487&gt;=2,0.05,0)))</f>
        <v>0.05</v>
      </c>
      <c r="AA487" s="26">
        <f>combined_tbl!$Y487*combined_tbl!$X487</f>
        <v>224.46599999999998</v>
      </c>
      <c r="AB487" s="28">
        <f>(combined_tbl!$Q487*(1+combined_tbl!$Z487)-combined_tbl!$P487)*combined_tbl!$X487</f>
        <v>69.094000000000023</v>
      </c>
    </row>
    <row r="488" spans="1:28" x14ac:dyDescent="0.3">
      <c r="A488" s="29">
        <v>487</v>
      </c>
      <c r="B488" s="25" cm="1">
        <f t="array" aca="1" ref="B488" ca="1">MIN(IF($E:$E=E488,$H:$H))</f>
        <v>45492</v>
      </c>
      <c r="C488" s="25">
        <f t="shared" ca="1" si="76"/>
        <v>16</v>
      </c>
      <c r="D488" s="43">
        <f ca="1">COUNTIF(E:E,combined_tbl!$E488)</f>
        <v>5</v>
      </c>
      <c r="E488" s="29" t="str">
        <f t="shared" ca="1" si="82"/>
        <v>Customer047</v>
      </c>
      <c r="F488" s="29" t="str" cm="1">
        <f t="array" aca="1" ref="F488" ca="1">INDEX({"Male","Female"}, RANDBETWEEN(1,2))</f>
        <v>Male</v>
      </c>
      <c r="G488" s="29" t="str">
        <f t="shared" ca="1" si="75"/>
        <v>North</v>
      </c>
      <c r="H488" s="48">
        <f t="shared" ca="1" si="77"/>
        <v>45492</v>
      </c>
      <c r="I488" s="24">
        <f t="shared" ca="1" si="78"/>
        <v>19</v>
      </c>
      <c r="J488" s="46" t="str">
        <f t="shared" ca="1" si="83"/>
        <v>July</v>
      </c>
      <c r="K488" s="24">
        <f t="shared" ca="1" si="79"/>
        <v>2024</v>
      </c>
      <c r="L488" s="24" t="str">
        <f t="shared" ca="1" si="80"/>
        <v>Silver</v>
      </c>
      <c r="M488" s="29">
        <v>488</v>
      </c>
      <c r="N488" s="29" t="s">
        <v>837</v>
      </c>
      <c r="O488" s="29" t="s">
        <v>1346</v>
      </c>
      <c r="P488" s="30">
        <v>95</v>
      </c>
      <c r="Q488" s="30">
        <v>107.35</v>
      </c>
      <c r="R488" s="29">
        <v>488</v>
      </c>
      <c r="S488" s="24" t="str">
        <f t="shared" si="81"/>
        <v>Mar</v>
      </c>
      <c r="T488" s="47">
        <v>45718</v>
      </c>
      <c r="U488" s="29">
        <v>8</v>
      </c>
      <c r="V488" s="38">
        <v>188</v>
      </c>
      <c r="W488" s="29">
        <v>35</v>
      </c>
      <c r="X488" s="29">
        <v>1</v>
      </c>
      <c r="Y488" s="30">
        <f>combined_tbl!$Q488*(1-combined_tbl!$Z488)</f>
        <v>107.35</v>
      </c>
      <c r="Z488" s="31">
        <f>IF(combined_tbl!$Q488&gt;=500,0.2, IF(combined_tbl!$Q488&gt;=200,0.05, IF(combined_tbl!$X488&gt;=2,0.05,0)))</f>
        <v>0</v>
      </c>
      <c r="AA488" s="30">
        <f>combined_tbl!$Y488*combined_tbl!$X488</f>
        <v>107.35</v>
      </c>
      <c r="AB488" s="32">
        <f>(combined_tbl!$Q488*(1+combined_tbl!$Z488)-combined_tbl!$P488)*combined_tbl!$X488</f>
        <v>12.349999999999994</v>
      </c>
    </row>
    <row r="489" spans="1:28" x14ac:dyDescent="0.3">
      <c r="A489" s="29">
        <v>488</v>
      </c>
      <c r="B489" s="25" cm="1">
        <f t="array" aca="1" ref="B489" ca="1">MIN(IF($E:$E=E489,$H:$H))</f>
        <v>45495</v>
      </c>
      <c r="C489" s="25">
        <f t="shared" ca="1" si="76"/>
        <v>16</v>
      </c>
      <c r="D489" s="42">
        <f ca="1">COUNTIF(E:E,combined_tbl!$E489)</f>
        <v>8</v>
      </c>
      <c r="E489" s="24" t="str">
        <f t="shared" ca="1" si="82"/>
        <v>Customer003</v>
      </c>
      <c r="F489" s="24" t="str" cm="1">
        <f t="array" aca="1" ref="F489" ca="1">INDEX({"Male","Female"}, RANDBETWEEN(1,2))</f>
        <v>Female</v>
      </c>
      <c r="G489" s="29" t="str">
        <f t="shared" ca="1" si="75"/>
        <v>East</v>
      </c>
      <c r="H489" s="48">
        <f t="shared" ca="1" si="77"/>
        <v>45495</v>
      </c>
      <c r="I489" s="24">
        <f t="shared" ca="1" si="78"/>
        <v>22</v>
      </c>
      <c r="J489" s="46" t="str">
        <f t="shared" ca="1" si="83"/>
        <v>July</v>
      </c>
      <c r="K489" s="24">
        <f t="shared" ca="1" si="79"/>
        <v>2024</v>
      </c>
      <c r="L489" s="24" t="str">
        <f t="shared" ca="1" si="80"/>
        <v>Silver</v>
      </c>
      <c r="M489" s="24">
        <v>489</v>
      </c>
      <c r="N489" s="24" t="s">
        <v>1359</v>
      </c>
      <c r="O489" s="24" t="s">
        <v>1347</v>
      </c>
      <c r="P489" s="26">
        <v>104</v>
      </c>
      <c r="Q489" s="26">
        <v>120.63999999999999</v>
      </c>
      <c r="R489" s="24">
        <v>489</v>
      </c>
      <c r="S489" s="24" t="str">
        <f t="shared" si="81"/>
        <v>Jul</v>
      </c>
      <c r="T489" s="46">
        <v>45499</v>
      </c>
      <c r="U489" s="24">
        <v>2</v>
      </c>
      <c r="V489" s="37">
        <v>133</v>
      </c>
      <c r="W489" s="24">
        <v>17</v>
      </c>
      <c r="X489" s="24">
        <v>1</v>
      </c>
      <c r="Y489" s="26">
        <f>combined_tbl!$Q489*(1-combined_tbl!$Z489)</f>
        <v>120.63999999999999</v>
      </c>
      <c r="Z489" s="27">
        <f>IF(combined_tbl!$Q489&gt;=500,0.2, IF(combined_tbl!$Q489&gt;=200,0.05, IF(combined_tbl!$X489&gt;=2,0.05,0)))</f>
        <v>0</v>
      </c>
      <c r="AA489" s="26">
        <f>combined_tbl!$Y489*combined_tbl!$X489</f>
        <v>120.63999999999999</v>
      </c>
      <c r="AB489" s="28">
        <f>(combined_tbl!$Q489*(1+combined_tbl!$Z489)-combined_tbl!$P489)*combined_tbl!$X489</f>
        <v>16.639999999999986</v>
      </c>
    </row>
    <row r="490" spans="1:28" x14ac:dyDescent="0.3">
      <c r="A490" s="19">
        <v>489</v>
      </c>
      <c r="B490" s="25" cm="1">
        <f t="array" aca="1" ref="B490" ca="1">MIN(IF($E:$E=E490,$H:$H))</f>
        <v>44960</v>
      </c>
      <c r="C490" s="25">
        <f t="shared" ca="1" si="76"/>
        <v>34</v>
      </c>
      <c r="D490" s="43">
        <f ca="1">COUNTIF(E:E,combined_tbl!$E490)</f>
        <v>6</v>
      </c>
      <c r="E490" s="29" t="str">
        <f t="shared" ca="1" si="82"/>
        <v>Customer042</v>
      </c>
      <c r="F490" s="29" t="str" cm="1">
        <f t="array" aca="1" ref="F490" ca="1">INDEX({"Male","Female"}, RANDBETWEEN(1,2))</f>
        <v>Female</v>
      </c>
      <c r="G490" s="29" t="str">
        <f t="shared" ca="1" si="75"/>
        <v>East</v>
      </c>
      <c r="H490" s="48">
        <f t="shared" ca="1" si="77"/>
        <v>44960</v>
      </c>
      <c r="I490" s="24">
        <f t="shared" ca="1" si="78"/>
        <v>3</v>
      </c>
      <c r="J490" s="46" t="str">
        <f t="shared" ca="1" si="83"/>
        <v>February</v>
      </c>
      <c r="K490" s="24">
        <f t="shared" ca="1" si="79"/>
        <v>2023</v>
      </c>
      <c r="L490" s="24" t="str">
        <f t="shared" ca="1" si="80"/>
        <v>Silver</v>
      </c>
      <c r="M490" s="29">
        <v>490</v>
      </c>
      <c r="N490" s="29" t="s">
        <v>954</v>
      </c>
      <c r="O490" s="29" t="s">
        <v>1348</v>
      </c>
      <c r="P490" s="30">
        <v>578</v>
      </c>
      <c r="Q490" s="30">
        <v>658.92000000000007</v>
      </c>
      <c r="R490" s="29">
        <v>490</v>
      </c>
      <c r="S490" s="24" t="str">
        <f t="shared" si="81"/>
        <v>Sep</v>
      </c>
      <c r="T490" s="47">
        <v>45190</v>
      </c>
      <c r="U490" s="29">
        <v>2</v>
      </c>
      <c r="V490" s="38">
        <v>26</v>
      </c>
      <c r="W490" s="29">
        <v>61</v>
      </c>
      <c r="X490" s="29">
        <v>1</v>
      </c>
      <c r="Y490" s="30">
        <f>combined_tbl!$Q490*(1-combined_tbl!$Z490)</f>
        <v>527.13600000000008</v>
      </c>
      <c r="Z490" s="31">
        <f>IF(combined_tbl!$Q490&gt;=500,0.2, IF(combined_tbl!$Q490&gt;=200,0.05, IF(combined_tbl!$X490&gt;=2,0.05,0)))</f>
        <v>0.2</v>
      </c>
      <c r="AA490" s="30">
        <f>combined_tbl!$Y490*combined_tbl!$X490</f>
        <v>527.13600000000008</v>
      </c>
      <c r="AB490" s="32">
        <f>(combined_tbl!$Q490*(1+combined_tbl!$Z490)-combined_tbl!$P490)*combined_tbl!$X490</f>
        <v>212.70400000000006</v>
      </c>
    </row>
    <row r="491" spans="1:28" x14ac:dyDescent="0.3">
      <c r="A491" s="24">
        <v>490</v>
      </c>
      <c r="B491" s="25" cm="1">
        <f t="array" aca="1" ref="B491" ca="1">MIN(IF($E:$E=E491,$H:$H))</f>
        <v>45111</v>
      </c>
      <c r="C491" s="25">
        <f t="shared" ca="1" si="76"/>
        <v>29</v>
      </c>
      <c r="D491" s="42">
        <f ca="1">COUNTIF(E:E,combined_tbl!$E491)</f>
        <v>5</v>
      </c>
      <c r="E491" s="24" t="str">
        <f t="shared" ca="1" si="82"/>
        <v>Customer062</v>
      </c>
      <c r="F491" s="24" t="str" cm="1">
        <f t="array" aca="1" ref="F491" ca="1">INDEX({"Male","Female"}, RANDBETWEEN(1,2))</f>
        <v>Female</v>
      </c>
      <c r="G491" s="29" t="str">
        <f t="shared" ca="1" si="75"/>
        <v>South</v>
      </c>
      <c r="H491" s="48">
        <f t="shared" ca="1" si="77"/>
        <v>45111</v>
      </c>
      <c r="I491" s="24">
        <f t="shared" ca="1" si="78"/>
        <v>4</v>
      </c>
      <c r="J491" s="46" t="str">
        <f t="shared" ca="1" si="83"/>
        <v>July</v>
      </c>
      <c r="K491" s="24">
        <f t="shared" ca="1" si="79"/>
        <v>2023</v>
      </c>
      <c r="L491" s="24" t="str">
        <f t="shared" ca="1" si="80"/>
        <v>Silver</v>
      </c>
      <c r="M491" s="24">
        <v>491</v>
      </c>
      <c r="N491" s="24" t="s">
        <v>872</v>
      </c>
      <c r="O491" s="24" t="s">
        <v>1349</v>
      </c>
      <c r="P491" s="26">
        <v>49</v>
      </c>
      <c r="Q491" s="26">
        <v>55.37</v>
      </c>
      <c r="R491" s="24">
        <v>491</v>
      </c>
      <c r="S491" s="24" t="str">
        <f t="shared" si="81"/>
        <v>Mar</v>
      </c>
      <c r="T491" s="46">
        <v>45733</v>
      </c>
      <c r="U491" s="24">
        <v>6</v>
      </c>
      <c r="V491" s="37">
        <v>5</v>
      </c>
      <c r="W491" s="24">
        <v>42</v>
      </c>
      <c r="X491" s="24">
        <v>2</v>
      </c>
      <c r="Y491" s="26">
        <f>combined_tbl!$Q491*(1-combined_tbl!$Z491)</f>
        <v>52.601499999999994</v>
      </c>
      <c r="Z491" s="27">
        <f>IF(combined_tbl!$Q491&gt;=500,0.2, IF(combined_tbl!$Q491&gt;=200,0.05, IF(combined_tbl!$X491&gt;=2,0.05,0)))</f>
        <v>0.05</v>
      </c>
      <c r="AA491" s="26">
        <f>combined_tbl!$Y491*combined_tbl!$X491</f>
        <v>105.20299999999999</v>
      </c>
      <c r="AB491" s="28">
        <f>(combined_tbl!$Q491*(1+combined_tbl!$Z491)-combined_tbl!$P491)*combined_tbl!$X491</f>
        <v>18.277000000000001</v>
      </c>
    </row>
    <row r="492" spans="1:28" x14ac:dyDescent="0.3">
      <c r="A492" s="29">
        <v>491</v>
      </c>
      <c r="B492" s="25" cm="1">
        <f t="array" aca="1" ref="B492" ca="1">MIN(IF($E:$E=E492,$H:$H))</f>
        <v>45625</v>
      </c>
      <c r="C492" s="25">
        <f t="shared" ca="1" si="76"/>
        <v>12</v>
      </c>
      <c r="D492" s="43">
        <f ca="1">COUNTIF(E:E,combined_tbl!$E492)</f>
        <v>7</v>
      </c>
      <c r="E492" s="29" t="str">
        <f t="shared" ca="1" si="82"/>
        <v>Customer038</v>
      </c>
      <c r="F492" s="29" t="str" cm="1">
        <f t="array" aca="1" ref="F492" ca="1">INDEX({"Male","Female"}, RANDBETWEEN(1,2))</f>
        <v>Male</v>
      </c>
      <c r="G492" s="29" t="str">
        <f t="shared" ca="1" si="75"/>
        <v>West</v>
      </c>
      <c r="H492" s="48">
        <f t="shared" ca="1" si="77"/>
        <v>45625</v>
      </c>
      <c r="I492" s="24">
        <f t="shared" ca="1" si="78"/>
        <v>29</v>
      </c>
      <c r="J492" s="46" t="str">
        <f t="shared" ca="1" si="83"/>
        <v>November</v>
      </c>
      <c r="K492" s="24">
        <f t="shared" ca="1" si="79"/>
        <v>2024</v>
      </c>
      <c r="L492" s="24" t="str">
        <f t="shared" ca="1" si="80"/>
        <v>Silver</v>
      </c>
      <c r="M492" s="29">
        <v>492</v>
      </c>
      <c r="N492" s="29" t="s">
        <v>837</v>
      </c>
      <c r="O492" s="29" t="s">
        <v>1350</v>
      </c>
      <c r="P492" s="30">
        <v>144</v>
      </c>
      <c r="Q492" s="30">
        <v>187.20000000000002</v>
      </c>
      <c r="R492" s="29">
        <v>492</v>
      </c>
      <c r="S492" s="24" t="str">
        <f t="shared" si="81"/>
        <v>Nov</v>
      </c>
      <c r="T492" s="47">
        <v>45621</v>
      </c>
      <c r="U492" s="29">
        <v>6</v>
      </c>
      <c r="V492" s="38">
        <v>104</v>
      </c>
      <c r="W492" s="29">
        <v>4</v>
      </c>
      <c r="X492" s="29">
        <v>2</v>
      </c>
      <c r="Y492" s="30">
        <f>combined_tbl!$Q492*(1-combined_tbl!$Z492)</f>
        <v>177.84</v>
      </c>
      <c r="Z492" s="31">
        <f>IF(combined_tbl!$Q492&gt;=500,0.2, IF(combined_tbl!$Q492&gt;=200,0.05, IF(combined_tbl!$X492&gt;=2,0.05,0)))</f>
        <v>0.05</v>
      </c>
      <c r="AA492" s="30">
        <f>combined_tbl!$Y492*combined_tbl!$X492</f>
        <v>355.68</v>
      </c>
      <c r="AB492" s="32">
        <f>(combined_tbl!$Q492*(1+combined_tbl!$Z492)-combined_tbl!$P492)*combined_tbl!$X492</f>
        <v>105.12000000000006</v>
      </c>
    </row>
    <row r="493" spans="1:28" x14ac:dyDescent="0.3">
      <c r="A493" s="29">
        <v>492</v>
      </c>
      <c r="B493" s="25" cm="1">
        <f t="array" aca="1" ref="B493" ca="1">MIN(IF($E:$E=E493,$H:$H))</f>
        <v>45750</v>
      </c>
      <c r="C493" s="25">
        <f t="shared" ca="1" si="76"/>
        <v>8</v>
      </c>
      <c r="D493" s="42">
        <f ca="1">COUNTIF(E:E,combined_tbl!$E493)</f>
        <v>6</v>
      </c>
      <c r="E493" s="24" t="str">
        <f t="shared" ca="1" si="82"/>
        <v>Customer005</v>
      </c>
      <c r="F493" s="24" t="str" cm="1">
        <f t="array" aca="1" ref="F493" ca="1">INDEX({"Male","Female"}, RANDBETWEEN(1,2))</f>
        <v>Male</v>
      </c>
      <c r="G493" s="29" t="str">
        <f t="shared" ca="1" si="75"/>
        <v>East</v>
      </c>
      <c r="H493" s="48">
        <f t="shared" ca="1" si="77"/>
        <v>45750</v>
      </c>
      <c r="I493" s="24">
        <f t="shared" ca="1" si="78"/>
        <v>3</v>
      </c>
      <c r="J493" s="46" t="str">
        <f t="shared" ca="1" si="83"/>
        <v>April</v>
      </c>
      <c r="K493" s="24">
        <f t="shared" ca="1" si="79"/>
        <v>2025</v>
      </c>
      <c r="L493" s="24" t="str">
        <f t="shared" ca="1" si="80"/>
        <v>Bronze</v>
      </c>
      <c r="M493" s="24">
        <v>493</v>
      </c>
      <c r="N493" s="24" t="s">
        <v>955</v>
      </c>
      <c r="O493" s="24" t="s">
        <v>1351</v>
      </c>
      <c r="P493" s="26">
        <v>176</v>
      </c>
      <c r="Q493" s="26">
        <v>221.76</v>
      </c>
      <c r="R493" s="24">
        <v>493</v>
      </c>
      <c r="S493" s="24" t="str">
        <f t="shared" si="81"/>
        <v>Oct</v>
      </c>
      <c r="T493" s="46">
        <v>45222</v>
      </c>
      <c r="U493" s="24">
        <v>4</v>
      </c>
      <c r="V493" s="37">
        <v>167</v>
      </c>
      <c r="W493" s="24">
        <v>94</v>
      </c>
      <c r="X493" s="24">
        <v>1</v>
      </c>
      <c r="Y493" s="26">
        <f>combined_tbl!$Q493*(1-combined_tbl!$Z493)</f>
        <v>210.67199999999997</v>
      </c>
      <c r="Z493" s="27">
        <f>IF(combined_tbl!$Q493&gt;=500,0.2, IF(combined_tbl!$Q493&gt;=200,0.05, IF(combined_tbl!$X493&gt;=2,0.05,0)))</f>
        <v>0.05</v>
      </c>
      <c r="AA493" s="26">
        <f>combined_tbl!$Y493*combined_tbl!$X493</f>
        <v>210.67199999999997</v>
      </c>
      <c r="AB493" s="28">
        <f>(combined_tbl!$Q493*(1+combined_tbl!$Z493)-combined_tbl!$P493)*combined_tbl!$X493</f>
        <v>56.848000000000013</v>
      </c>
    </row>
    <row r="494" spans="1:28" x14ac:dyDescent="0.3">
      <c r="A494" s="29">
        <v>493</v>
      </c>
      <c r="B494" s="25" cm="1">
        <f t="array" aca="1" ref="B494" ca="1">MIN(IF($E:$E=E494,$H:$H))</f>
        <v>45111</v>
      </c>
      <c r="C494" s="25">
        <f t="shared" ca="1" si="76"/>
        <v>29</v>
      </c>
      <c r="D494" s="43">
        <f ca="1">COUNTIF(E:E,combined_tbl!$E494)</f>
        <v>5</v>
      </c>
      <c r="E494" s="29" t="str">
        <f t="shared" ca="1" si="82"/>
        <v>Customer062</v>
      </c>
      <c r="F494" s="29" t="str" cm="1">
        <f t="array" aca="1" ref="F494" ca="1">INDEX({"Male","Female"}, RANDBETWEEN(1,2))</f>
        <v>Female</v>
      </c>
      <c r="G494" s="29" t="str">
        <f t="shared" ca="1" si="75"/>
        <v>South</v>
      </c>
      <c r="H494" s="48">
        <f t="shared" ca="1" si="77"/>
        <v>45111</v>
      </c>
      <c r="I494" s="24">
        <f t="shared" ca="1" si="78"/>
        <v>4</v>
      </c>
      <c r="J494" s="46" t="str">
        <f t="shared" ca="1" si="83"/>
        <v>July</v>
      </c>
      <c r="K494" s="24">
        <f t="shared" ca="1" si="79"/>
        <v>2023</v>
      </c>
      <c r="L494" s="24" t="str">
        <f t="shared" ca="1" si="80"/>
        <v>Silver</v>
      </c>
      <c r="M494" s="29">
        <v>494</v>
      </c>
      <c r="N494" s="29" t="s">
        <v>831</v>
      </c>
      <c r="O494" s="29" t="s">
        <v>1352</v>
      </c>
      <c r="P494" s="30">
        <v>155</v>
      </c>
      <c r="Q494" s="30">
        <v>170.5</v>
      </c>
      <c r="R494" s="29">
        <v>494</v>
      </c>
      <c r="S494" s="24" t="str">
        <f t="shared" si="81"/>
        <v>Nov</v>
      </c>
      <c r="T494" s="47">
        <v>45969</v>
      </c>
      <c r="U494" s="29">
        <v>7</v>
      </c>
      <c r="V494" s="38">
        <v>134</v>
      </c>
      <c r="W494" s="29">
        <v>55</v>
      </c>
      <c r="X494" s="29">
        <v>1</v>
      </c>
      <c r="Y494" s="30">
        <f>combined_tbl!$Q494*(1-combined_tbl!$Z494)</f>
        <v>170.5</v>
      </c>
      <c r="Z494" s="31">
        <f>IF(combined_tbl!$Q494&gt;=500,0.2, IF(combined_tbl!$Q494&gt;=200,0.05, IF(combined_tbl!$X494&gt;=2,0.05,0)))</f>
        <v>0</v>
      </c>
      <c r="AA494" s="30">
        <f>combined_tbl!$Y494*combined_tbl!$X494</f>
        <v>170.5</v>
      </c>
      <c r="AB494" s="32">
        <f>(combined_tbl!$Q494*(1+combined_tbl!$Z494)-combined_tbl!$P494)*combined_tbl!$X494</f>
        <v>15.5</v>
      </c>
    </row>
    <row r="495" spans="1:28" x14ac:dyDescent="0.3">
      <c r="A495" s="29">
        <v>494</v>
      </c>
      <c r="B495" s="25" cm="1">
        <f t="array" aca="1" ref="B495" ca="1">MIN(IF($E:$E=E495,$H:$H))</f>
        <v>45268</v>
      </c>
      <c r="C495" s="25">
        <f t="shared" ca="1" si="76"/>
        <v>23</v>
      </c>
      <c r="D495" s="42">
        <f ca="1">COUNTIF(E:E,combined_tbl!$E495)</f>
        <v>9</v>
      </c>
      <c r="E495" s="24" t="str">
        <f t="shared" ca="1" si="82"/>
        <v>Customer012</v>
      </c>
      <c r="F495" s="24" t="str" cm="1">
        <f t="array" aca="1" ref="F495" ca="1">INDEX({"Male","Female"}, RANDBETWEEN(1,2))</f>
        <v>Female</v>
      </c>
      <c r="G495" s="29" t="str">
        <f t="shared" ca="1" si="75"/>
        <v>East</v>
      </c>
      <c r="H495" s="48">
        <f t="shared" ca="1" si="77"/>
        <v>45268</v>
      </c>
      <c r="I495" s="24">
        <f t="shared" ca="1" si="78"/>
        <v>8</v>
      </c>
      <c r="J495" s="46" t="str">
        <f t="shared" ca="1" si="83"/>
        <v>December</v>
      </c>
      <c r="K495" s="24">
        <f t="shared" ca="1" si="79"/>
        <v>2023</v>
      </c>
      <c r="L495" s="24" t="str">
        <f t="shared" ca="1" si="80"/>
        <v>Gold</v>
      </c>
      <c r="M495" s="24">
        <v>495</v>
      </c>
      <c r="N495" s="24" t="s">
        <v>872</v>
      </c>
      <c r="O495" s="24" t="s">
        <v>1353</v>
      </c>
      <c r="P495" s="26">
        <v>55</v>
      </c>
      <c r="Q495" s="26">
        <v>76.45</v>
      </c>
      <c r="R495" s="24">
        <v>495</v>
      </c>
      <c r="S495" s="24" t="str">
        <f t="shared" si="81"/>
        <v>Oct</v>
      </c>
      <c r="T495" s="46">
        <v>45951</v>
      </c>
      <c r="U495" s="24">
        <v>1</v>
      </c>
      <c r="V495" s="37">
        <v>188</v>
      </c>
      <c r="W495" s="24">
        <v>83</v>
      </c>
      <c r="X495" s="24">
        <v>1</v>
      </c>
      <c r="Y495" s="26">
        <f>combined_tbl!$Q495*(1-combined_tbl!$Z495)</f>
        <v>76.45</v>
      </c>
      <c r="Z495" s="27">
        <f>IF(combined_tbl!$Q495&gt;=500,0.2, IF(combined_tbl!$Q495&gt;=200,0.05, IF(combined_tbl!$X495&gt;=2,0.05,0)))</f>
        <v>0</v>
      </c>
      <c r="AA495" s="26">
        <f>combined_tbl!$Y495*combined_tbl!$X495</f>
        <v>76.45</v>
      </c>
      <c r="AB495" s="28">
        <f>(combined_tbl!$Q495*(1+combined_tbl!$Z495)-combined_tbl!$P495)*combined_tbl!$X495</f>
        <v>21.450000000000003</v>
      </c>
    </row>
    <row r="496" spans="1:28" x14ac:dyDescent="0.3">
      <c r="A496" s="29">
        <v>495</v>
      </c>
      <c r="B496" s="25" cm="1">
        <f t="array" aca="1" ref="B496" ca="1">MIN(IF($E:$E=E496,$H:$H))</f>
        <v>45955</v>
      </c>
      <c r="C496" s="25">
        <f t="shared" ca="1" si="76"/>
        <v>1</v>
      </c>
      <c r="D496" s="43">
        <f ca="1">COUNTIF(E:E,combined_tbl!$E496)</f>
        <v>9</v>
      </c>
      <c r="E496" s="29" t="str">
        <f t="shared" ca="1" si="82"/>
        <v>Customer080</v>
      </c>
      <c r="F496" s="29" t="str" cm="1">
        <f t="array" aca="1" ref="F496" ca="1">INDEX({"Male","Female"}, RANDBETWEEN(1,2))</f>
        <v>Male</v>
      </c>
      <c r="G496" s="29" t="str">
        <f t="shared" ca="1" si="75"/>
        <v>West</v>
      </c>
      <c r="H496" s="48">
        <f t="shared" ca="1" si="77"/>
        <v>45955</v>
      </c>
      <c r="I496" s="24">
        <f t="shared" ca="1" si="78"/>
        <v>25</v>
      </c>
      <c r="J496" s="46" t="str">
        <f t="shared" ca="1" si="83"/>
        <v>October</v>
      </c>
      <c r="K496" s="24">
        <f t="shared" ca="1" si="79"/>
        <v>2025</v>
      </c>
      <c r="L496" s="24" t="str">
        <f t="shared" ca="1" si="80"/>
        <v>Bronze</v>
      </c>
      <c r="M496" s="29">
        <v>496</v>
      </c>
      <c r="N496" s="29" t="s">
        <v>831</v>
      </c>
      <c r="O496" s="29" t="s">
        <v>1354</v>
      </c>
      <c r="P496" s="30">
        <v>66</v>
      </c>
      <c r="Q496" s="30">
        <v>76.559999999999988</v>
      </c>
      <c r="R496" s="29">
        <v>496</v>
      </c>
      <c r="S496" s="24" t="str">
        <f t="shared" si="81"/>
        <v>Apr</v>
      </c>
      <c r="T496" s="47">
        <v>45019</v>
      </c>
      <c r="U496" s="29">
        <v>1</v>
      </c>
      <c r="V496" s="38">
        <v>23</v>
      </c>
      <c r="W496" s="29">
        <v>34</v>
      </c>
      <c r="X496" s="29">
        <v>3</v>
      </c>
      <c r="Y496" s="30">
        <f>combined_tbl!$Q496*(1-combined_tbl!$Z496)</f>
        <v>72.731999999999985</v>
      </c>
      <c r="Z496" s="31">
        <f>IF(combined_tbl!$Q496&gt;=500,0.2, IF(combined_tbl!$Q496&gt;=200,0.05, IF(combined_tbl!$X496&gt;=2,0.05,0)))</f>
        <v>0.05</v>
      </c>
      <c r="AA496" s="30">
        <f>combined_tbl!$Y496*combined_tbl!$X496</f>
        <v>218.19599999999997</v>
      </c>
      <c r="AB496" s="32">
        <f>(combined_tbl!$Q496*(1+combined_tbl!$Z496)-combined_tbl!$P496)*combined_tbl!$X496</f>
        <v>43.163999999999973</v>
      </c>
    </row>
    <row r="497" spans="1:28" x14ac:dyDescent="0.3">
      <c r="A497" s="29">
        <v>496</v>
      </c>
      <c r="B497" s="25" cm="1">
        <f t="array" aca="1" ref="B497" ca="1">MIN(IF($E:$E=E497,$H:$H))</f>
        <v>45622</v>
      </c>
      <c r="C497" s="25">
        <f t="shared" ca="1" si="76"/>
        <v>12</v>
      </c>
      <c r="D497" s="42">
        <f ca="1">COUNTIF(E:E,combined_tbl!$E497)</f>
        <v>8</v>
      </c>
      <c r="E497" s="24" t="str">
        <f t="shared" ca="1" si="82"/>
        <v>Customer023</v>
      </c>
      <c r="F497" s="24" t="str" cm="1">
        <f t="array" aca="1" ref="F497" ca="1">INDEX({"Male","Female"}, RANDBETWEEN(1,2))</f>
        <v>Female</v>
      </c>
      <c r="G497" s="29" t="str">
        <f t="shared" ca="1" si="75"/>
        <v>North</v>
      </c>
      <c r="H497" s="48">
        <f t="shared" ca="1" si="77"/>
        <v>45622</v>
      </c>
      <c r="I497" s="24">
        <f t="shared" ca="1" si="78"/>
        <v>26</v>
      </c>
      <c r="J497" s="46" t="str">
        <f t="shared" ca="1" si="83"/>
        <v>November</v>
      </c>
      <c r="K497" s="24">
        <f t="shared" ca="1" si="79"/>
        <v>2024</v>
      </c>
      <c r="L497" s="24" t="str">
        <f t="shared" ca="1" si="80"/>
        <v>Silver</v>
      </c>
      <c r="M497" s="24">
        <v>497</v>
      </c>
      <c r="N497" s="24" t="s">
        <v>837</v>
      </c>
      <c r="O497" s="24" t="s">
        <v>1355</v>
      </c>
      <c r="P497" s="26">
        <v>126</v>
      </c>
      <c r="Q497" s="26">
        <v>151.19999999999999</v>
      </c>
      <c r="R497" s="24">
        <v>497</v>
      </c>
      <c r="S497" s="24" t="str">
        <f t="shared" si="81"/>
        <v>Oct</v>
      </c>
      <c r="T497" s="46">
        <v>45207</v>
      </c>
      <c r="U497" s="24">
        <v>6</v>
      </c>
      <c r="V497" s="37">
        <v>135</v>
      </c>
      <c r="W497" s="24">
        <v>68</v>
      </c>
      <c r="X497" s="24">
        <v>1</v>
      </c>
      <c r="Y497" s="26">
        <f>combined_tbl!$Q497*(1-combined_tbl!$Z497)</f>
        <v>151.19999999999999</v>
      </c>
      <c r="Z497" s="27">
        <f>IF(combined_tbl!$Q497&gt;=500,0.2, IF(combined_tbl!$Q497&gt;=200,0.05, IF(combined_tbl!$X497&gt;=2,0.05,0)))</f>
        <v>0</v>
      </c>
      <c r="AA497" s="26">
        <f>combined_tbl!$Y497*combined_tbl!$X497</f>
        <v>151.19999999999999</v>
      </c>
      <c r="AB497" s="28">
        <f>(combined_tbl!$Q497*(1+combined_tbl!$Z497)-combined_tbl!$P497)*combined_tbl!$X497</f>
        <v>25.199999999999989</v>
      </c>
    </row>
    <row r="498" spans="1:28" x14ac:dyDescent="0.3">
      <c r="A498" s="19">
        <v>497</v>
      </c>
      <c r="B498" s="25" cm="1">
        <f t="array" aca="1" ref="B498" ca="1">MIN(IF($E:$E=E498,$H:$H))</f>
        <v>45103</v>
      </c>
      <c r="C498" s="25">
        <f t="shared" ca="1" si="76"/>
        <v>29</v>
      </c>
      <c r="D498" s="43">
        <f ca="1">COUNTIF(E:E,combined_tbl!$E498)</f>
        <v>8</v>
      </c>
      <c r="E498" s="29" t="str">
        <f t="shared" ca="1" si="82"/>
        <v>Customer014</v>
      </c>
      <c r="F498" s="29" t="str" cm="1">
        <f t="array" aca="1" ref="F498" ca="1">INDEX({"Male","Female"}, RANDBETWEEN(1,2))</f>
        <v>Female</v>
      </c>
      <c r="G498" s="29" t="str">
        <f t="shared" ca="1" si="75"/>
        <v>West</v>
      </c>
      <c r="H498" s="48">
        <f t="shared" ca="1" si="77"/>
        <v>45103</v>
      </c>
      <c r="I498" s="24">
        <f t="shared" ca="1" si="78"/>
        <v>26</v>
      </c>
      <c r="J498" s="46" t="str">
        <f t="shared" ca="1" si="83"/>
        <v>June</v>
      </c>
      <c r="K498" s="24">
        <f t="shared" ca="1" si="79"/>
        <v>2023</v>
      </c>
      <c r="L498" s="24" t="str">
        <f t="shared" ca="1" si="80"/>
        <v>Gold</v>
      </c>
      <c r="M498" s="29">
        <v>498</v>
      </c>
      <c r="N498" s="29" t="s">
        <v>954</v>
      </c>
      <c r="O498" s="29" t="s">
        <v>1356</v>
      </c>
      <c r="P498" s="30">
        <v>860</v>
      </c>
      <c r="Q498" s="30">
        <v>1109.4000000000001</v>
      </c>
      <c r="R498" s="29">
        <v>498</v>
      </c>
      <c r="S498" s="24" t="str">
        <f t="shared" si="81"/>
        <v>Aug</v>
      </c>
      <c r="T498" s="47">
        <v>45897</v>
      </c>
      <c r="U498" s="29">
        <v>8</v>
      </c>
      <c r="V498" s="38">
        <v>68</v>
      </c>
      <c r="W498" s="29">
        <v>26</v>
      </c>
      <c r="X498" s="29">
        <v>1</v>
      </c>
      <c r="Y498" s="30">
        <f>combined_tbl!$Q498*(1-combined_tbl!$Z498)</f>
        <v>887.5200000000001</v>
      </c>
      <c r="Z498" s="31">
        <f>IF(combined_tbl!$Q498&gt;=500,0.2, IF(combined_tbl!$Q498&gt;=200,0.05, IF(combined_tbl!$X498&gt;=2,0.05,0)))</f>
        <v>0.2</v>
      </c>
      <c r="AA498" s="30">
        <f>combined_tbl!$Y498*combined_tbl!$X498</f>
        <v>887.5200000000001</v>
      </c>
      <c r="AB498" s="32">
        <f>(combined_tbl!$Q498*(1+combined_tbl!$Z498)-combined_tbl!$P498)*combined_tbl!$X498</f>
        <v>471.28</v>
      </c>
    </row>
    <row r="499" spans="1:28" x14ac:dyDescent="0.3">
      <c r="A499" s="24">
        <v>498</v>
      </c>
      <c r="B499" s="25" cm="1">
        <f t="array" aca="1" ref="B499" ca="1">MIN(IF($E:$E=E499,$H:$H))</f>
        <v>45268</v>
      </c>
      <c r="C499" s="25">
        <f t="shared" ca="1" si="76"/>
        <v>23</v>
      </c>
      <c r="D499" s="42">
        <f ca="1">COUNTIF(E:E,combined_tbl!$E499)</f>
        <v>9</v>
      </c>
      <c r="E499" s="24" t="str">
        <f t="shared" ca="1" si="82"/>
        <v>Customer012</v>
      </c>
      <c r="F499" s="24" t="str" cm="1">
        <f t="array" aca="1" ref="F499" ca="1">INDEX({"Male","Female"}, RANDBETWEEN(1,2))</f>
        <v>Female</v>
      </c>
      <c r="G499" s="29" t="str">
        <f t="shared" ca="1" si="75"/>
        <v>East</v>
      </c>
      <c r="H499" s="48">
        <f t="shared" ca="1" si="77"/>
        <v>45268</v>
      </c>
      <c r="I499" s="24">
        <f t="shared" ca="1" si="78"/>
        <v>8</v>
      </c>
      <c r="J499" s="46" t="str">
        <f t="shared" ca="1" si="83"/>
        <v>December</v>
      </c>
      <c r="K499" s="24">
        <f t="shared" ca="1" si="79"/>
        <v>2023</v>
      </c>
      <c r="L499" s="24" t="str">
        <f t="shared" ca="1" si="80"/>
        <v>Gold</v>
      </c>
      <c r="M499" s="24">
        <v>499</v>
      </c>
      <c r="N499" s="24" t="s">
        <v>851</v>
      </c>
      <c r="O499" s="24" t="s">
        <v>1357</v>
      </c>
      <c r="P499" s="26">
        <v>188</v>
      </c>
      <c r="Q499" s="26">
        <v>278.24</v>
      </c>
      <c r="R499" s="24">
        <v>499</v>
      </c>
      <c r="S499" s="24" t="str">
        <f t="shared" si="81"/>
        <v>Nov</v>
      </c>
      <c r="T499" s="46">
        <v>45232</v>
      </c>
      <c r="U499" s="24">
        <v>3</v>
      </c>
      <c r="V499" s="37">
        <v>10</v>
      </c>
      <c r="W499" s="24">
        <v>4</v>
      </c>
      <c r="X499" s="24">
        <v>1</v>
      </c>
      <c r="Y499" s="26">
        <f>combined_tbl!$Q499*(1-combined_tbl!$Z499)</f>
        <v>264.32799999999997</v>
      </c>
      <c r="Z499" s="27">
        <f>IF(combined_tbl!$Q499&gt;=500,0.2, IF(combined_tbl!$Q499&gt;=200,0.05, IF(combined_tbl!$X499&gt;=2,0.05,0)))</f>
        <v>0.05</v>
      </c>
      <c r="AA499" s="26">
        <f>combined_tbl!$Y499*combined_tbl!$X499</f>
        <v>264.32799999999997</v>
      </c>
      <c r="AB499" s="28">
        <f>(combined_tbl!$Q499*(1+combined_tbl!$Z499)-combined_tbl!$P499)*combined_tbl!$X499</f>
        <v>104.15200000000004</v>
      </c>
    </row>
    <row r="500" spans="1:28" x14ac:dyDescent="0.3">
      <c r="A500" s="29">
        <v>499</v>
      </c>
      <c r="B500" s="25" cm="1">
        <f t="array" aca="1" ref="B500" ca="1">MIN(IF($E:$E=E500,$H:$H))</f>
        <v>45667</v>
      </c>
      <c r="C500" s="25">
        <f t="shared" ca="1" si="76"/>
        <v>10</v>
      </c>
      <c r="D500" s="44">
        <f ca="1">COUNTIF(E:E,combined_tbl!$E500)</f>
        <v>5</v>
      </c>
      <c r="E500" s="18" t="str">
        <f t="shared" ca="1" si="82"/>
        <v>Customer067</v>
      </c>
      <c r="F500" s="18" t="str" cm="1">
        <f t="array" aca="1" ref="F500" ca="1">INDEX({"Male","Female"}, RANDBETWEEN(1,2))</f>
        <v>Female</v>
      </c>
      <c r="G500" s="29" t="str">
        <f t="shared" ca="1" si="75"/>
        <v>East</v>
      </c>
      <c r="H500" s="48">
        <f t="shared" ca="1" si="77"/>
        <v>45667</v>
      </c>
      <c r="I500" s="24">
        <f t="shared" ca="1" si="78"/>
        <v>10</v>
      </c>
      <c r="J500" s="46" t="str">
        <f t="shared" ca="1" si="83"/>
        <v>January</v>
      </c>
      <c r="K500" s="24">
        <f t="shared" ca="1" si="79"/>
        <v>2025</v>
      </c>
      <c r="L500" s="24" t="str">
        <f t="shared" ca="1" si="80"/>
        <v>Bronze</v>
      </c>
      <c r="M500" s="18">
        <v>500</v>
      </c>
      <c r="N500" s="18"/>
      <c r="O500" s="18" t="s">
        <v>1358</v>
      </c>
      <c r="P500" s="33">
        <v>203</v>
      </c>
      <c r="Q500" s="33">
        <v>243.6</v>
      </c>
      <c r="R500" s="18">
        <v>500</v>
      </c>
      <c r="S500" s="24" t="str">
        <f t="shared" si="81"/>
        <v>Nov</v>
      </c>
      <c r="T500" s="48">
        <v>45598</v>
      </c>
      <c r="U500" s="18">
        <v>6</v>
      </c>
      <c r="V500" s="39">
        <v>128</v>
      </c>
      <c r="W500" s="18">
        <v>68</v>
      </c>
      <c r="X500" s="18">
        <v>1</v>
      </c>
      <c r="Y500" s="33">
        <f>combined_tbl!$Q500*(1-combined_tbl!$Z500)</f>
        <v>231.42</v>
      </c>
      <c r="Z500" s="34">
        <f>IF(combined_tbl!$Q500&gt;=500,0.2, IF(combined_tbl!$Q500&gt;=200,0.05, IF(combined_tbl!$X500&gt;=2,0.05,0)))</f>
        <v>0.05</v>
      </c>
      <c r="AA500" s="33">
        <f>combined_tbl!$Y500*combined_tbl!$X500</f>
        <v>231.42</v>
      </c>
      <c r="AB500" s="35">
        <f>(combined_tbl!$Q500*(1+combined_tbl!$Z500)-combined_tbl!$P500)*combined_tbl!$X500</f>
        <v>52.78</v>
      </c>
    </row>
  </sheetData>
  <sortState xmlns:xlrd2="http://schemas.microsoft.com/office/spreadsheetml/2017/richdata2" ref="AI2:AI122">
    <sortCondition descending="1" ref="AI1:AI122"/>
  </sortState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0FABD4-929F-4BF5-A17D-CBB42402B1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Customers</vt:lpstr>
      <vt:lpstr>Sales (2)</vt:lpstr>
      <vt:lpstr>Products (2)</vt:lpstr>
      <vt:lpstr>Products</vt:lpstr>
      <vt:lpstr>Sheet2</vt:lpstr>
      <vt:lpstr>combined_tbl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OLADIMEJI'S WORK</cp:lastModifiedBy>
  <dcterms:created xsi:type="dcterms:W3CDTF">2025-11-20T14:39:16Z</dcterms:created>
  <dcterms:modified xsi:type="dcterms:W3CDTF">2026-04-10T20:49:47Z</dcterms:modified>
</cp:coreProperties>
</file>